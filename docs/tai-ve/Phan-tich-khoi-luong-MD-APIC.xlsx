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ân công dự kiến" sheetId="1" state="visible" r:id="rId3"/>
    <sheet name="Chỉ số tải 27SS" sheetId="2" state="visible" r:id="rId4"/>
    <sheet name="Dự báo GĐ1-GĐ2" sheetId="3" state="visible" r:id="rId5"/>
    <sheet name="Số mã theo mùa" sheetId="4" state="visible" r:id="rId6"/>
    <sheet name="Thực tế BULK" sheetId="5" state="visible" r:id="rId7"/>
    <sheet name="Thực tế mẫu" sheetId="6" state="visible" r:id="rId8"/>
    <sheet name="Nghiệp vụ APIC 2026" sheetId="7" state="visible" r:id="rId9"/>
  </sheets>
  <definedNames>
    <definedName function="false" hidden="true" localSheetId="4" name="_xlnm._FilterDatabase" vbProcedure="false">'Thực tế BULK'!$A$1:$H$221</definedName>
    <definedName function="false" hidden="true" localSheetId="5" name="_xlnm._FilterDatabase" vbProcedure="false">'Thực tế mẫu'!$A$1:$I$164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<sst xmlns="http://schemas.openxmlformats.org/spreadsheetml/2006/main" count="2002" uniqueCount="443">
  <si>
    <t xml:space="preserve">Phân công dự kiến nhóm MD APIC (quyết định 10/2026)</t>
  </si>
  <si>
    <t xml:space="preserve">GĐ1: từ nay đến hết mẫu triển lãm 27FW. GĐ2: từ mẫu 1st 28SS (bulk 27SS chạy chuyền).</t>
  </si>
  <si>
    <t xml:space="preserve">Người</t>
  </si>
  <si>
    <t xml:space="preserve">GĐ1 – từ nay đến hết mẫu triển lãm 27FW</t>
  </si>
  <si>
    <t xml:space="preserve">GĐ2 – từ mẫu 1st 28SS</t>
  </si>
  <si>
    <t xml:space="preserve">Ghi chú</t>
  </si>
  <si>
    <t xml:space="preserve">Cuong</t>
  </si>
  <si>
    <r>
      <rPr>
        <sz val="10"/>
        <rFont val="Arial"/>
        <family val="0"/>
        <charset val="1"/>
      </rPr>
      <t xml:space="preserve">HELLY HANSEN (chủ lực); TNF </t>
    </r>
    <r>
      <rPr>
        <sz val="10"/>
        <rFont val="WenQuanYi Zen Hei"/>
        <family val="2"/>
      </rPr>
      <t xml:space="preserve">東京企画 </t>
    </r>
    <r>
      <rPr>
        <sz val="10"/>
        <rFont val="Arial"/>
        <family val="0"/>
        <charset val="1"/>
      </rPr>
      <t xml:space="preserve">(đến hết GĐ1, bàn giao dần cho Khanh); điều phối xuất hàng chung cả nhóm; quản lý chung may mẫu</t>
    </r>
  </si>
  <si>
    <t xml:space="preserve">HELLY HANSEN; điều phối xuất hàng chung; quản lý chung may mẫu</t>
  </si>
  <si>
    <t xml:space="preserve">NEUTRALWORKS đã chuyển cho Khanh</t>
  </si>
  <si>
    <t xml:space="preserve">Luan</t>
  </si>
  <si>
    <r>
      <rPr>
        <sz val="10"/>
        <rFont val="Arial"/>
        <family val="0"/>
        <charset val="1"/>
      </rPr>
      <t xml:space="preserve">TNF </t>
    </r>
    <r>
      <rPr>
        <sz val="10"/>
        <rFont val="WenQuanYi Zen Hei"/>
        <family val="2"/>
      </rPr>
      <t xml:space="preserve">富山企画 </t>
    </r>
    <r>
      <rPr>
        <sz val="10"/>
        <rFont val="Arial"/>
        <family val="0"/>
        <charset val="1"/>
      </rPr>
      <t xml:space="preserve">(đầu mối duy nhất với TIJ); một phần việc quản lý (~1 giờ/ngày)</t>
    </r>
  </si>
  <si>
    <t xml:space="preserve">Như GĐ1</t>
  </si>
  <si>
    <t xml:space="preserve">Khanh hỗ trợ ~1/4 việc ở GĐ1, ~1/3 ở GĐ2</t>
  </si>
  <si>
    <t xml:space="preserve">Khanh</t>
  </si>
  <si>
    <r>
      <rPr>
        <sz val="10"/>
        <rFont val="Arial"/>
        <family val="0"/>
        <charset val="1"/>
      </rPr>
      <t xml:space="preserve">NEUTRALWORKS; hỗ trợ TNF </t>
    </r>
    <r>
      <rPr>
        <sz val="10"/>
        <rFont val="WenQuanYi Zen Hei"/>
        <family val="2"/>
      </rPr>
      <t xml:space="preserve">富山企画</t>
    </r>
    <r>
      <rPr>
        <sz val="10"/>
        <rFont val="Arial"/>
        <family val="0"/>
        <charset val="1"/>
      </rPr>
      <t xml:space="preserve">: báo cáo mã ngoài quy tắc 2 tuần, tiến độ NPL, BL/P/L (cc Luan), dịch một phần tài liệu; theo cùng Cuong các lô TNF </t>
    </r>
    <r>
      <rPr>
        <sz val="10"/>
        <rFont val="WenQuanYi Zen Hei"/>
        <family val="2"/>
      </rPr>
      <t xml:space="preserve">東京企画</t>
    </r>
  </si>
  <si>
    <r>
      <rPr>
        <sz val="10"/>
        <rFont val="Arial"/>
        <family val="0"/>
        <charset val="1"/>
      </rPr>
      <t xml:space="preserve">NEUTRALWORKS; TNF </t>
    </r>
    <r>
      <rPr>
        <sz val="10"/>
        <rFont val="WenQuanYi Zen Hei"/>
        <family val="2"/>
      </rPr>
      <t xml:space="preserve">東京企画 </t>
    </r>
    <r>
      <rPr>
        <sz val="10"/>
        <rFont val="Arial"/>
        <family val="0"/>
        <charset val="1"/>
      </rPr>
      <t xml:space="preserve">(PPS~đại trà); 1/3 mẫu TNF cùng B.Trang; hỗ trợ TNF </t>
    </r>
    <r>
      <rPr>
        <sz val="10"/>
        <rFont val="WenQuanYi Zen Hei"/>
        <family val="2"/>
      </rPr>
      <t xml:space="preserve">富山企画 </t>
    </r>
    <r>
      <rPr>
        <sz val="10"/>
        <rFont val="Arial"/>
        <family val="0"/>
        <charset val="1"/>
      </rPr>
      <t xml:space="preserve">(~1/3 việc Luan)</t>
    </r>
  </si>
  <si>
    <t xml:space="preserve">Làm đến 16h, có thể tăng ca đến 17h</t>
  </si>
  <si>
    <t xml:space="preserve">Bich Trang</t>
  </si>
  <si>
    <r>
      <rPr>
        <sz val="10"/>
        <rFont val="Arial"/>
        <family val="0"/>
        <charset val="1"/>
      </rPr>
      <t xml:space="preserve">TNF (ALL) mẫu (làm tiếp mẫu triển lãm 27FW); Premium Snow </t>
    </r>
    <r>
      <rPr>
        <sz val="10"/>
        <rFont val="WenQuanYi Zen Hei"/>
        <family val="2"/>
      </rPr>
      <t xml:space="preserve">別注</t>
    </r>
    <r>
      <rPr>
        <sz val="10"/>
        <rFont val="Arial"/>
        <family val="0"/>
        <charset val="1"/>
      </rPr>
      <t xml:space="preserve">, FOXFIRE, TATRAS, Kasco, YONEX</t>
    </r>
  </si>
  <si>
    <t xml:space="preserve">Như GĐ1, chia 1/3 mẫu TNF cho Khanh</t>
  </si>
  <si>
    <t xml:space="preserve">Huy</t>
  </si>
  <si>
    <r>
      <rPr>
        <sz val="10"/>
        <rFont val="Arial"/>
        <family val="0"/>
        <charset val="1"/>
      </rPr>
      <t xml:space="preserve">Goldwin (xuyên suốt mẫu và đại trà), TNF </t>
    </r>
    <r>
      <rPr>
        <sz val="10"/>
        <rFont val="WenQuanYi Zen Hei"/>
        <family val="2"/>
      </rPr>
      <t xml:space="preserve">別注 </t>
    </r>
    <r>
      <rPr>
        <sz val="10"/>
        <rFont val="Arial"/>
        <family val="0"/>
        <charset val="1"/>
      </rPr>
      <t xml:space="preserve">HOSOYA, 141 (hỗ trợ), CANTERBURY, NANGA</t>
    </r>
  </si>
  <si>
    <t xml:space="preserve">Giữ nguyên</t>
  </si>
  <si>
    <t xml:space="preserve">Theo dõi: ~1,39 ở GĐ2</t>
  </si>
  <si>
    <t xml:space="preserve">Hien</t>
  </si>
  <si>
    <t xml:space="preserve">Teton Bros, ALLTERRAIN, Mont-Bell, DESCENTE GOLF</t>
  </si>
  <si>
    <t xml:space="preserve">Không giao thêm</t>
  </si>
  <si>
    <t xml:space="preserve">Nhu</t>
  </si>
  <si>
    <r>
      <rPr>
        <sz val="10"/>
        <rFont val="Arial"/>
        <family val="0"/>
        <charset val="1"/>
      </rPr>
      <t xml:space="preserve">TNF </t>
    </r>
    <r>
      <rPr>
        <sz val="10"/>
        <rFont val="WenQuanYi Zen Hei"/>
        <family val="2"/>
      </rPr>
      <t xml:space="preserve">別注 </t>
    </r>
    <r>
      <rPr>
        <sz val="10"/>
        <rFont val="Arial"/>
        <family val="0"/>
        <charset val="1"/>
      </rPr>
      <t xml:space="preserve">SHIGEMOTO/NAKAO, UTMF, TOKYO MARATHON; việc văn phòng, báo cáo tháng, hóa đơn</t>
    </r>
  </si>
  <si>
    <t xml:space="preserve">Theo dõi thêm</t>
  </si>
  <si>
    <t xml:space="preserve">Chỉ số tải nhóm MD – kỳ vừa qua (bulk 26FW + 27SS, mẫu 27SS)</t>
  </si>
  <si>
    <t xml:space="preserve">Ô vàng chữ xanh = số đầu vào (đã nhân hệ số độ khó ALLTERRAIN/DESCENTE × 1,3) và trọng số; có thể sửa. Các cột chỉ số là công thức. 1,0 = trung bình 6 MD làm đủ kỳ.</t>
  </si>
  <si>
    <t xml:space="preserve">Số mã</t>
  </si>
  <si>
    <t xml:space="preserve">Ngày chuyền bulk</t>
  </si>
  <si>
    <t xml:space="preserve">Ngày may mẫu</t>
  </si>
  <si>
    <t xml:space="preserve">Giờ dịch</t>
  </si>
  <si>
    <t xml:space="preserve">Tổng (phải = 100%)</t>
  </si>
  <si>
    <t xml:space="preserve">Trọng số</t>
  </si>
  <si>
    <t xml:space="preserve">Nhóm</t>
  </si>
  <si>
    <t xml:space="preserve">Bulk 26FW mã</t>
  </si>
  <si>
    <t xml:space="preserve">Bulk 26FW SL</t>
  </si>
  <si>
    <t xml:space="preserve">Bulk 26FW ngày chuyền</t>
  </si>
  <si>
    <t xml:space="preserve">Bulk 27SS mã</t>
  </si>
  <si>
    <t xml:space="preserve">Bulk 27SS SL</t>
  </si>
  <si>
    <t xml:space="preserve">Bulk 27SS ngày chuyền</t>
  </si>
  <si>
    <t xml:space="preserve">Mẫu 27SS mã</t>
  </si>
  <si>
    <t xml:space="preserve">Mẫu 27SS SL</t>
  </si>
  <si>
    <t xml:space="preserve">Mẫu 27SS ngày may</t>
  </si>
  <si>
    <t xml:space="preserve">Giờ dịch 27SS (ước)</t>
  </si>
  <si>
    <t xml:space="preserve">Số brand</t>
  </si>
  <si>
    <t xml:space="preserve">Đầu vào: số mã</t>
  </si>
  <si>
    <t xml:space="preserve">Đầu vào: ngày chuyền bulk</t>
  </si>
  <si>
    <t xml:space="preserve">Đầu vào: ngày may mẫu</t>
  </si>
  <si>
    <t xml:space="preserve">Đầu vào: giờ dịch</t>
  </si>
  <si>
    <t xml:space="preserve">Chỉ số: số mã</t>
  </si>
  <si>
    <t xml:space="preserve">Chỉ số: bulk</t>
  </si>
  <si>
    <t xml:space="preserve">Chỉ số: mẫu</t>
  </si>
  <si>
    <t xml:space="preserve">Chỉ số: dịch</t>
  </si>
  <si>
    <t xml:space="preserve">CHỈ SỐ TẢI</t>
  </si>
  <si>
    <t xml:space="preserve">MD</t>
  </si>
  <si>
    <t xml:space="preserve">MD – vừa đi làm lại, không tính chỉ số</t>
  </si>
  <si>
    <t xml:space="preserve">Khanh vừa đi làm lại sau nghỉ thai sản (giữa 10/2026): không tính vào mức trung bình. H.Trang thuộc nhóm CAD, không có trong bảng. Nhu ~30% thời gian là việc văn phòng, chưa tính ở đây.</t>
  </si>
  <si>
    <t xml:space="preserve">Nguồn: file thực tế BULK 19FW–27SS và mẫu SPL 23FW–27SS (12/10/2026), sheet từng người. Giờ dịch = số mã × giờ dịch/mã của brand.</t>
  </si>
  <si>
    <t xml:space="preserve">Dự báo chỉ số tải theo phương án (11/2026 – 2/2027)</t>
  </si>
  <si>
    <t xml:space="preserve">Kết quả từ mô hình data/khoi-luong/du-bao.py (số đã tính, không phải công thức). 1,0 = trung bình nhóm trong giai đoạn. Công suất 9 giờ/ngày, Khanh 8 giờ. Việc giao thêm: Cuong, Luan ~1 giờ/ngày.</t>
  </si>
  <si>
    <t xml:space="preserve">Phương án</t>
  </si>
  <si>
    <t xml:space="preserve">GĐ1 (hiện tại: bulk 27SS, mẫu triển lãm 27FW, PPS 27SS). 0. Chưa chia việc Luan</t>
  </si>
  <si>
    <r>
      <rPr>
        <sz val="10"/>
        <rFont val="Arial"/>
        <family val="0"/>
        <charset val="1"/>
      </rPr>
      <t xml:space="preserve">GĐ1. Khanh làm hậu cần TNF </t>
    </r>
    <r>
      <rPr>
        <sz val="10"/>
        <rFont val="WenQuanYi Zen Hei"/>
        <family val="2"/>
      </rPr>
      <t xml:space="preserve">富山企画 </t>
    </r>
    <r>
      <rPr>
        <sz val="10"/>
        <rFont val="Arial"/>
        <family val="0"/>
        <charset val="1"/>
      </rPr>
      <t xml:space="preserve">(~15% việc Luan)</t>
    </r>
  </si>
  <si>
    <t xml:space="preserve">GĐ1. Khanh làm hậu cần + hỗ trợ dịch (~25% việc Luan)</t>
  </si>
  <si>
    <t xml:space="preserve">GĐ1. Khanh hỗ trợ ~35% việc Luan</t>
  </si>
  <si>
    <r>
      <rPr>
        <sz val="10"/>
        <rFont val="Arial"/>
        <family val="0"/>
        <charset val="1"/>
      </rPr>
      <t xml:space="preserve">GĐ1. Khanh hỗ trợ ~25% việc Luan + nhận TNF </t>
    </r>
    <r>
      <rPr>
        <sz val="10"/>
        <rFont val="WenQuanYi Zen Hei"/>
        <family val="2"/>
      </rPr>
      <t xml:space="preserve">東京企画 </t>
    </r>
    <r>
      <rPr>
        <sz val="10"/>
        <rFont val="Arial"/>
        <family val="0"/>
        <charset val="1"/>
      </rPr>
      <t xml:space="preserve">ngay</t>
    </r>
  </si>
  <si>
    <r>
      <rPr>
        <sz val="10"/>
        <rFont val="Arial"/>
        <family val="0"/>
        <charset val="1"/>
      </rPr>
      <t xml:space="preserve">GĐ1. Khanh hỗ trợ ~35% việc Luan + nhận TNF </t>
    </r>
    <r>
      <rPr>
        <sz val="10"/>
        <rFont val="WenQuanYi Zen Hei"/>
        <family val="2"/>
      </rPr>
      <t xml:space="preserve">東京企画 </t>
    </r>
    <r>
      <rPr>
        <sz val="10"/>
        <rFont val="Arial"/>
        <family val="0"/>
        <charset val="1"/>
      </rPr>
      <t xml:space="preserve">ngay</t>
    </r>
  </si>
  <si>
    <t xml:space="preserve">GĐ2 (mẫu phát triển, 1st 28SS). Khanh 1/3 mẫu TNF + hậu cần (~15%)</t>
  </si>
  <si>
    <t xml:space="preserve">GĐ2. + Khanh hỗ trợ dịch (~25% việc Luan)</t>
  </si>
  <si>
    <r>
      <rPr>
        <sz val="10"/>
        <rFont val="Arial"/>
        <family val="0"/>
        <charset val="1"/>
      </rPr>
      <t xml:space="preserve">GĐ2. Khanh hậu cần (~15%) + nhận TNF </t>
    </r>
    <r>
      <rPr>
        <sz val="10"/>
        <rFont val="WenQuanYi Zen Hei"/>
        <family val="2"/>
      </rPr>
      <t xml:space="preserve">東京企画 </t>
    </r>
    <r>
      <rPr>
        <sz val="10"/>
        <rFont val="Arial"/>
        <family val="0"/>
        <charset val="1"/>
      </rPr>
      <t xml:space="preserve">từ Cuong</t>
    </r>
  </si>
  <si>
    <t xml:space="preserve">GĐ2. Khanh hậu cần + dịch (~35% việc Luan)</t>
  </si>
  <si>
    <r>
      <rPr>
        <b val="true"/>
        <sz val="10"/>
        <rFont val="Arial"/>
        <family val="0"/>
        <charset val="1"/>
      </rPr>
      <t xml:space="preserve">GĐ2. Khanh hậu cần + dịch (~35%) + TNF </t>
    </r>
    <r>
      <rPr>
        <b val="true"/>
        <sz val="10"/>
        <rFont val="WenQuanYi Zen Hei"/>
        <family val="2"/>
      </rPr>
      <t xml:space="preserve">東京企画 </t>
    </r>
    <r>
      <rPr>
        <b val="true"/>
        <sz val="10"/>
        <rFont val="Arial"/>
        <family val="0"/>
        <charset val="1"/>
      </rPr>
      <t xml:space="preserve">(đã quyết)</t>
    </r>
  </si>
  <si>
    <t xml:space="preserve">Tô đỏ: chỉ số ≥ 1,4 (vượt mức tăng ca 1 giờ/ngày, cần chia việc).</t>
  </si>
  <si>
    <t xml:space="preserve">Bulk 26FW không tính (đã xong trên 95%). GĐ1: mẫu triển lãm 27FW ước bằng SMS 26FW × 40% (chỉ còn theo dõi tiến độ, dịch góp ý) + mẫu PPS 27SS (1 cái/mã bulk + 5% tái PPS). GĐ2: mẫu phát triển, 1st 28SS ước bằng 1st–3rd 27SS.</t>
  </si>
  <si>
    <t xml:space="preserve">Bich Trang ở GĐ2 bị tính thấp: file BULK chưa có bulk 27SS của FOXFIRE, TATRAS, Kasco, YONEX.</t>
  </si>
  <si>
    <t xml:space="preserve">Nhu: chỉ tính phần brand; chỉ số thực ≈ chỉ số ÷ 0,7.</t>
  </si>
  <si>
    <t xml:space="preserve">Số mã bulk và mẫu theo người, theo mùa</t>
  </si>
  <si>
    <t xml:space="preserve">Nguồn: sheet từng người trong file BULK và SPL.</t>
  </si>
  <si>
    <t xml:space="preserve">24FW bulk</t>
  </si>
  <si>
    <t xml:space="preserve">25SS bulk</t>
  </si>
  <si>
    <t xml:space="preserve">25FW bulk</t>
  </si>
  <si>
    <t xml:space="preserve">26SS bulk</t>
  </si>
  <si>
    <t xml:space="preserve">26FW bulk</t>
  </si>
  <si>
    <t xml:space="preserve">27SS bulk</t>
  </si>
  <si>
    <t xml:space="preserve">24FW mẫu</t>
  </si>
  <si>
    <t xml:space="preserve">25SS mẫu</t>
  </si>
  <si>
    <t xml:space="preserve">25FW mẫu</t>
  </si>
  <si>
    <t xml:space="preserve">26SS mẫu</t>
  </si>
  <si>
    <t xml:space="preserve">26FW mẫu</t>
  </si>
  <si>
    <t xml:space="preserve">27SS mẫu</t>
  </si>
  <si>
    <t xml:space="preserve">Tổng</t>
  </si>
  <si>
    <t xml:space="preserve">Mùa</t>
  </si>
  <si>
    <t xml:space="preserve">Brand</t>
  </si>
  <si>
    <t xml:space="preserve">Số lượng</t>
  </si>
  <si>
    <t xml:space="preserve">Giây TB</t>
  </si>
  <si>
    <t xml:space="preserve">Ngày chuyền / ngày may</t>
  </si>
  <si>
    <t xml:space="preserve">Thuan</t>
  </si>
  <si>
    <t xml:space="preserve">19FW</t>
  </si>
  <si>
    <t xml:space="preserve">WOOLRICH</t>
  </si>
  <si>
    <t xml:space="preserve">SCHOFEEL</t>
  </si>
  <si>
    <t xml:space="preserve">20SS</t>
  </si>
  <si>
    <t xml:space="preserve">20FW</t>
  </si>
  <si>
    <t xml:space="preserve">21SS</t>
  </si>
  <si>
    <t xml:space="preserve">ORCIVAL</t>
  </si>
  <si>
    <t xml:space="preserve">21FW</t>
  </si>
  <si>
    <t xml:space="preserve">NW</t>
  </si>
  <si>
    <t xml:space="preserve">Gymphlex</t>
  </si>
  <si>
    <t xml:space="preserve">DANTON</t>
  </si>
  <si>
    <t xml:space="preserve">22SS</t>
  </si>
  <si>
    <t xml:space="preserve">Phong</t>
  </si>
  <si>
    <t xml:space="preserve">241</t>
  </si>
  <si>
    <t xml:space="preserve">UNDER ARMOUR</t>
  </si>
  <si>
    <t xml:space="preserve">MUNSINGWEAR</t>
  </si>
  <si>
    <t xml:space="preserve">LECOQ</t>
  </si>
  <si>
    <t xml:space="preserve">SRIXON</t>
  </si>
  <si>
    <t xml:space="preserve">SNOWPEAK</t>
  </si>
  <si>
    <r>
      <rPr>
        <sz val="10"/>
        <rFont val="Arial"/>
        <family val="0"/>
        <charset val="1"/>
      </rPr>
      <t xml:space="preserve">TNF(</t>
    </r>
    <r>
      <rPr>
        <sz val="10"/>
        <rFont val="WenQuanYi Zen Hei"/>
        <family val="2"/>
      </rPr>
      <t xml:space="preserve">東京企画</t>
    </r>
    <r>
      <rPr>
        <sz val="10"/>
        <rFont val="Arial"/>
        <family val="0"/>
        <charset val="1"/>
      </rPr>
      <t xml:space="preserve">)</t>
    </r>
  </si>
  <si>
    <t xml:space="preserve">HH</t>
  </si>
  <si>
    <t xml:space="preserve">TETON BROS</t>
  </si>
  <si>
    <t xml:space="preserve">C3FIT</t>
  </si>
  <si>
    <t xml:space="preserve">CHAMPION</t>
  </si>
  <si>
    <t xml:space="preserve">22FW</t>
  </si>
  <si>
    <t xml:space="preserve">23SS</t>
  </si>
  <si>
    <t xml:space="preserve">23FW</t>
  </si>
  <si>
    <t xml:space="preserve">GOLDWIN</t>
  </si>
  <si>
    <t xml:space="preserve">RESURRECTION</t>
  </si>
  <si>
    <t xml:space="preserve">24SS</t>
  </si>
  <si>
    <t xml:space="preserve">MACKINTOSH</t>
  </si>
  <si>
    <t xml:space="preserve">24FW</t>
  </si>
  <si>
    <t xml:space="preserve">25SS</t>
  </si>
  <si>
    <t xml:space="preserve">25FW</t>
  </si>
  <si>
    <t xml:space="preserve">KOTI</t>
  </si>
  <si>
    <t xml:space="preserve">26SS</t>
  </si>
  <si>
    <t xml:space="preserve">26FW</t>
  </si>
  <si>
    <r>
      <rPr>
        <sz val="10"/>
        <rFont val="WenQuanYi Zen Hei"/>
        <family val="2"/>
      </rPr>
      <t xml:space="preserve">生産数</t>
    </r>
    <r>
      <rPr>
        <sz val="10"/>
        <rFont val="Arial"/>
        <family val="0"/>
        <charset val="1"/>
      </rPr>
      <t xml:space="preserve">34136→36373</t>
    </r>
    <r>
      <rPr>
        <sz val="10"/>
        <rFont val="WenQuanYi Zen Hei"/>
        <family val="2"/>
      </rPr>
      <t xml:space="preserve">、品番数</t>
    </r>
    <r>
      <rPr>
        <sz val="10"/>
        <rFont val="Arial"/>
        <family val="0"/>
        <charset val="1"/>
      </rPr>
      <t xml:space="preserve">40→56</t>
    </r>
  </si>
  <si>
    <t xml:space="preserve">YONEX</t>
  </si>
  <si>
    <t xml:space="preserve">27SS</t>
  </si>
  <si>
    <t xml:space="preserve">MILLET</t>
  </si>
  <si>
    <t xml:space="preserve">MARMOT</t>
  </si>
  <si>
    <t xml:space="preserve">MAMMUT</t>
  </si>
  <si>
    <t xml:space="preserve">AIGLE</t>
  </si>
  <si>
    <t xml:space="preserve">ALLTERRAIN</t>
  </si>
  <si>
    <t xml:space="preserve">LL.BEAN</t>
  </si>
  <si>
    <t xml:space="preserve">MONTBELL</t>
  </si>
  <si>
    <t xml:space="preserve">CANTERBURY</t>
  </si>
  <si>
    <t xml:space="preserve">DESCENT</t>
  </si>
  <si>
    <t xml:space="preserve">UMBRO</t>
  </si>
  <si>
    <t xml:space="preserve">INOV8</t>
  </si>
  <si>
    <t xml:space="preserve">DESCENTE</t>
  </si>
  <si>
    <t xml:space="preserve">TOKYO MARATHON</t>
  </si>
  <si>
    <t xml:space="preserve">KUIU</t>
  </si>
  <si>
    <t xml:space="preserve">Foxfire</t>
  </si>
  <si>
    <t xml:space="preserve">ARENA</t>
  </si>
  <si>
    <t xml:space="preserve">UTMF</t>
  </si>
  <si>
    <r>
      <rPr>
        <sz val="10"/>
        <rFont val="Arial"/>
        <family val="0"/>
        <charset val="1"/>
      </rPr>
      <t xml:space="preserve">TNF</t>
    </r>
    <r>
      <rPr>
        <sz val="10"/>
        <rFont val="WenQuanYi Zen Hei"/>
        <family val="2"/>
      </rPr>
      <t xml:space="preserve">別注　富山</t>
    </r>
  </si>
  <si>
    <r>
      <rPr>
        <sz val="10"/>
        <rFont val="Arial"/>
        <family val="0"/>
        <charset val="1"/>
      </rPr>
      <t xml:space="preserve">TNF(GTC</t>
    </r>
    <r>
      <rPr>
        <sz val="10"/>
        <rFont val="WenQuanYi Zen Hei"/>
        <family val="2"/>
      </rPr>
      <t xml:space="preserve">企画</t>
    </r>
    <r>
      <rPr>
        <sz val="10"/>
        <rFont val="Arial"/>
        <family val="0"/>
        <charset val="1"/>
      </rPr>
      <t xml:space="preserve">)</t>
    </r>
  </si>
  <si>
    <t xml:space="preserve">GSM</t>
  </si>
  <si>
    <t xml:space="preserve">V.Huy</t>
  </si>
  <si>
    <t xml:space="preserve">Q.Huy</t>
  </si>
  <si>
    <r>
      <rPr>
        <sz val="10"/>
        <rFont val="Arial"/>
        <family val="0"/>
        <charset val="1"/>
      </rPr>
      <t xml:space="preserve">TNF</t>
    </r>
    <r>
      <rPr>
        <sz val="10"/>
        <rFont val="WenQuanYi Zen Hei"/>
        <family val="2"/>
      </rPr>
      <t xml:space="preserve">別注　東京</t>
    </r>
  </si>
  <si>
    <t xml:space="preserve">HYKE</t>
  </si>
  <si>
    <t xml:space="preserve">141</t>
  </si>
  <si>
    <t xml:space="preserve">NANGA</t>
  </si>
  <si>
    <t xml:space="preserve">Trừ các mã PS + 2 mã mới bổ sung chưa có trên PT</t>
  </si>
  <si>
    <t xml:space="preserve">Bổ sung 4 mã đặt riêng</t>
  </si>
  <si>
    <t xml:space="preserve">H.Trang</t>
  </si>
  <si>
    <t xml:space="preserve">HAT +</t>
  </si>
  <si>
    <r>
      <rPr>
        <sz val="10"/>
        <rFont val="Arial"/>
        <family val="0"/>
        <charset val="1"/>
      </rPr>
      <t xml:space="preserve">SPL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Line</t>
    </r>
  </si>
  <si>
    <t xml:space="preserve">B.Trang</t>
  </si>
  <si>
    <t xml:space="preserve">KASCO</t>
  </si>
  <si>
    <r>
      <rPr>
        <sz val="10"/>
        <rFont val="Arial"/>
        <family val="0"/>
        <charset val="1"/>
      </rPr>
      <t xml:space="preserve">TNF</t>
    </r>
    <r>
      <rPr>
        <sz val="10"/>
        <rFont val="WenQuanYi Zen Hei"/>
        <family val="2"/>
      </rPr>
      <t xml:space="preserve">別注</t>
    </r>
  </si>
  <si>
    <t xml:space="preserve">FOXFIRE</t>
  </si>
  <si>
    <t xml:space="preserve">TATRAS</t>
  </si>
  <si>
    <t xml:space="preserve">Loại mẫu</t>
  </si>
  <si>
    <t xml:space="preserve">SMS</t>
  </si>
  <si>
    <t xml:space="preserve">1st-3rd</t>
  </si>
  <si>
    <t xml:space="preserve">MACKINTOSH LONDON</t>
  </si>
  <si>
    <t xml:space="preserve">TSUTSU+KOTI</t>
  </si>
  <si>
    <t xml:space="preserve">SHIMANO</t>
  </si>
  <si>
    <r>
      <rPr>
        <sz val="10"/>
        <rFont val="WenQuanYi Zen Hei"/>
        <family val="2"/>
      </rPr>
      <t xml:space="preserve">生産数</t>
    </r>
    <r>
      <rPr>
        <sz val="10"/>
        <rFont val="Arial"/>
        <family val="0"/>
        <charset val="1"/>
      </rPr>
      <t xml:space="preserve">42→47, </t>
    </r>
    <r>
      <rPr>
        <sz val="10"/>
        <rFont val="WenQuanYi Zen Hei"/>
        <family val="2"/>
      </rPr>
      <t xml:space="preserve">品番数</t>
    </r>
    <r>
      <rPr>
        <sz val="10"/>
        <rFont val="Arial"/>
        <family val="0"/>
        <charset val="1"/>
      </rPr>
      <t xml:space="preserve">37→42</t>
    </r>
  </si>
  <si>
    <r>
      <rPr>
        <sz val="10"/>
        <rFont val="WenQuanYi Zen Hei"/>
        <family val="2"/>
      </rPr>
      <t xml:space="preserve">生産数</t>
    </r>
    <r>
      <rPr>
        <sz val="10"/>
        <rFont val="Arial"/>
        <family val="0"/>
        <charset val="1"/>
      </rPr>
      <t xml:space="preserve">34→45, </t>
    </r>
    <r>
      <rPr>
        <sz val="10"/>
        <rFont val="WenQuanYi Zen Hei"/>
        <family val="2"/>
      </rPr>
      <t xml:space="preserve">品番数</t>
    </r>
    <r>
      <rPr>
        <sz val="10"/>
        <rFont val="Arial"/>
        <family val="0"/>
        <charset val="1"/>
      </rPr>
      <t xml:space="preserve">28→34</t>
    </r>
  </si>
  <si>
    <t xml:space="preserve">Hien 1st, Q.Huy SMS</t>
  </si>
  <si>
    <t xml:space="preserve">TETON</t>
  </si>
  <si>
    <t xml:space="preserve">TORAY SPORT</t>
  </si>
  <si>
    <t xml:space="preserve">1st anh Cường , 2nd với SMS Như</t>
  </si>
  <si>
    <t xml:space="preserve">1st Như theo, SMS Hien theo(S25 ko có nên bắt đầu từ 25FW?)</t>
  </si>
  <si>
    <t xml:space="preserve">1st Như theo, SMS Q.Huy theo</t>
  </si>
  <si>
    <r>
      <rPr>
        <sz val="10"/>
        <rFont val="Arial"/>
        <family val="0"/>
        <charset val="1"/>
      </rPr>
      <t xml:space="preserve">TNF</t>
    </r>
    <r>
      <rPr>
        <sz val="10"/>
        <rFont val="WenQuanYi Zen Hei"/>
        <family val="2"/>
      </rPr>
      <t xml:space="preserve">別注 </t>
    </r>
    <r>
      <rPr>
        <sz val="10"/>
        <rFont val="Arial"/>
        <family val="0"/>
        <charset val="1"/>
      </rPr>
      <t xml:space="preserve">TOYAMA</t>
    </r>
  </si>
  <si>
    <t xml:space="preserve">Như Theo</t>
  </si>
  <si>
    <r>
      <rPr>
        <sz val="10"/>
        <rFont val="Arial"/>
        <family val="0"/>
        <charset val="1"/>
      </rPr>
      <t xml:space="preserve">TNF(</t>
    </r>
    <r>
      <rPr>
        <sz val="10"/>
        <rFont val="WenQuanYi Zen Hei"/>
        <family val="2"/>
      </rPr>
      <t xml:space="preserve">東京企画、</t>
    </r>
    <r>
      <rPr>
        <sz val="10"/>
        <rFont val="Arial"/>
        <family val="0"/>
        <charset val="1"/>
      </rPr>
      <t xml:space="preserve">GTC</t>
    </r>
    <r>
      <rPr>
        <sz val="10"/>
        <rFont val="WenQuanYi Zen Hei"/>
        <family val="2"/>
      </rPr>
      <t xml:space="preserve">企画共通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サンプル</t>
    </r>
  </si>
  <si>
    <t xml:space="preserve">RIDGE MOUNTAIN GEAR</t>
  </si>
  <si>
    <t xml:space="preserve">Hiền 1st, Q.Huy SMS</t>
  </si>
  <si>
    <t xml:space="preserve">HAT+CAP...</t>
  </si>
  <si>
    <t xml:space="preserve">STT</t>
  </si>
  <si>
    <t xml:space="preserve">Phân loại</t>
  </si>
  <si>
    <t xml:space="preserve">Công đoạn</t>
  </si>
  <si>
    <t xml:space="preserve">Công việc</t>
  </si>
  <si>
    <t xml:space="preserve">Nội dung</t>
  </si>
  <si>
    <t xml:space="preserve">Tần suất</t>
  </si>
  <si>
    <t xml:space="preserve">Hori</t>
  </si>
  <si>
    <t xml:space="preserve">Chanh</t>
  </si>
  <si>
    <t xml:space="preserve">Cau</t>
  </si>
  <si>
    <t xml:space="preserve">Trang</t>
  </si>
  <si>
    <t xml:space="preserve">Ngan</t>
  </si>
  <si>
    <t xml:space="preserve">Vy</t>
  </si>
  <si>
    <t xml:space="preserve">Quyen</t>
  </si>
  <si>
    <t xml:space="preserve">Hong</t>
  </si>
  <si>
    <t xml:space="preserve">Phuong</t>
  </si>
  <si>
    <t xml:space="preserve">Luu</t>
  </si>
  <si>
    <r>
      <rPr>
        <b val="true"/>
        <sz val="10"/>
        <rFont val="Arial"/>
        <family val="0"/>
        <charset val="1"/>
      </rPr>
      <t xml:space="preserve">TIVN</t>
    </r>
    <r>
      <rPr>
        <b val="true"/>
        <sz val="10"/>
        <rFont val="WenQuanYi Zen Hei"/>
        <family val="2"/>
      </rPr>
      <t xml:space="preserve">本社</t>
    </r>
  </si>
  <si>
    <t xml:space="preserve">総括</t>
  </si>
  <si>
    <t xml:space="preserve">契約管理・交渉</t>
  </si>
  <si>
    <t xml:space="preserve">Debit Note</t>
  </si>
  <si>
    <r>
      <rPr>
        <sz val="10"/>
        <rFont val="Arial"/>
        <family val="0"/>
        <charset val="1"/>
      </rPr>
      <t xml:space="preserve">Debit Note</t>
    </r>
    <r>
      <rPr>
        <sz val="10"/>
        <rFont val="WenQuanYi Zen Hei"/>
        <family val="2"/>
      </rPr>
      <t xml:space="preserve">確認、実績踏まえ更新交渉</t>
    </r>
  </si>
  <si>
    <t xml:space="preserve">月次</t>
  </si>
  <si>
    <t xml:space="preserve">出勤管理</t>
  </si>
  <si>
    <t xml:space="preserve">月ごとの出勤状況をまとめる</t>
  </si>
  <si>
    <t xml:space="preserve">期中変更対応</t>
  </si>
  <si>
    <t xml:space="preserve">工場からの業務内容変更要請対応</t>
  </si>
  <si>
    <t xml:space="preserve">不定期（頻度低）</t>
  </si>
  <si>
    <t xml:space="preserve">生産計画調整</t>
  </si>
  <si>
    <t xml:space="preserve">工場との生産計画調整・決定</t>
  </si>
  <si>
    <t xml:space="preserve">週次</t>
  </si>
  <si>
    <t xml:space="preserve">残業要請</t>
  </si>
  <si>
    <r>
      <rPr>
        <sz val="10"/>
        <rFont val="Arial"/>
        <family val="0"/>
        <charset val="1"/>
      </rPr>
      <t xml:space="preserve">Air</t>
    </r>
    <r>
      <rPr>
        <sz val="10"/>
        <rFont val="WenQuanYi Zen Hei"/>
        <family val="2"/>
      </rPr>
      <t xml:space="preserve">代負担交渉</t>
    </r>
  </si>
  <si>
    <t xml:space="preserve">外注工賃交渉</t>
  </si>
  <si>
    <t xml:space="preserve">AUDIT</t>
  </si>
  <si>
    <t xml:space="preserve">事前準備</t>
  </si>
  <si>
    <t xml:space="preserve">提出書類、工場指導</t>
  </si>
  <si>
    <t xml:space="preserve">当日対応</t>
  </si>
  <si>
    <t xml:space="preserve">来客・出張対応</t>
  </si>
  <si>
    <t xml:space="preserve">移動</t>
  </si>
  <si>
    <t xml:space="preserve">車、ホテル手配</t>
  </si>
  <si>
    <t xml:space="preserve">不定期（頻度高）</t>
  </si>
  <si>
    <t xml:space="preserve">工場アテンド</t>
  </si>
  <si>
    <t xml:space="preserve">案内、食事</t>
  </si>
  <si>
    <t xml:space="preserve">安全管理</t>
  </si>
  <si>
    <t xml:space="preserve">行程把握、緊急時対応</t>
  </si>
  <si>
    <t xml:space="preserve">企画</t>
  </si>
  <si>
    <t xml:space="preserve">開発</t>
  </si>
  <si>
    <t xml:space="preserve">商品開発</t>
  </si>
  <si>
    <t xml:space="preserve">新規素材、加工技術調査、サンプル試作</t>
  </si>
  <si>
    <t xml:space="preserve">不定期（頻度中）</t>
  </si>
  <si>
    <t xml:space="preserve">加工技術</t>
  </si>
  <si>
    <t xml:space="preserve">溶着縫製、パターン自動機、ダウン充填機設計</t>
  </si>
  <si>
    <t xml:space="preserve">生産技術</t>
  </si>
  <si>
    <r>
      <rPr>
        <sz val="10"/>
        <rFont val="Arial"/>
        <family val="0"/>
        <charset val="1"/>
      </rPr>
      <t xml:space="preserve">IE</t>
    </r>
    <r>
      <rPr>
        <sz val="10"/>
        <rFont val="WenQuanYi Zen Hei"/>
        <family val="2"/>
      </rPr>
      <t xml:space="preserve">、ライン設計</t>
    </r>
  </si>
  <si>
    <t xml:space="preserve">管理技術</t>
  </si>
  <si>
    <r>
      <rPr>
        <sz val="10"/>
        <rFont val="WenQuanYi Zen Hei"/>
        <family val="2"/>
      </rPr>
      <t xml:space="preserve">工程分析、進捗ばらつき、</t>
    </r>
    <r>
      <rPr>
        <sz val="10"/>
        <rFont val="Arial"/>
        <family val="0"/>
        <charset val="1"/>
      </rPr>
      <t xml:space="preserve">QC</t>
    </r>
    <r>
      <rPr>
        <sz val="10"/>
        <rFont val="WenQuanYi Zen Hei"/>
        <family val="2"/>
      </rPr>
      <t xml:space="preserve">管理手法</t>
    </r>
  </si>
  <si>
    <t xml:space="preserve">評価技術</t>
  </si>
  <si>
    <t xml:space="preserve">機能性評価、商品評価、物性試験等</t>
  </si>
  <si>
    <t xml:space="preserve">前段取り</t>
  </si>
  <si>
    <t xml:space="preserve">生産計画</t>
  </si>
  <si>
    <t xml:space="preserve">プランテーブル</t>
  </si>
  <si>
    <t xml:space="preserve">長期生産計画</t>
  </si>
  <si>
    <t xml:space="preserve">明細連絡</t>
  </si>
  <si>
    <r>
      <rPr>
        <sz val="10"/>
        <rFont val="Arial"/>
        <family val="0"/>
        <charset val="1"/>
      </rPr>
      <t xml:space="preserve">SKU</t>
    </r>
    <r>
      <rPr>
        <sz val="10"/>
        <rFont val="WenQuanYi Zen Hei"/>
        <family val="2"/>
      </rPr>
      <t xml:space="preserve">明細を工場へ連絡する</t>
    </r>
  </si>
  <si>
    <t xml:space="preserve">日次</t>
  </si>
  <si>
    <t xml:space="preserve">工場生産計画</t>
  </si>
  <si>
    <t xml:space="preserve">中期生産計画</t>
  </si>
  <si>
    <t xml:space="preserve">資材進捗</t>
  </si>
  <si>
    <t xml:space="preserve">材料の進捗状況を確認し工場へ報告する</t>
  </si>
  <si>
    <t xml:space="preserve">注意連絡</t>
  </si>
  <si>
    <t xml:space="preserve">特別に注視する内容を工場へ連絡</t>
  </si>
  <si>
    <t xml:space="preserve">サンプル</t>
  </si>
  <si>
    <t xml:space="preserve">受注</t>
  </si>
  <si>
    <t xml:space="preserve">営業オーダー受注。サンプル管理表への記入</t>
  </si>
  <si>
    <t xml:space="preserve">工場指示</t>
  </si>
  <si>
    <t xml:space="preserve">日本からのサンプル依頼を工場へ連絡</t>
  </si>
  <si>
    <t xml:space="preserve">納期回答</t>
  </si>
  <si>
    <t xml:space="preserve">工場スケジューリング、納期回答</t>
  </si>
  <si>
    <t xml:space="preserve">仕様</t>
  </si>
  <si>
    <t xml:space="preserve">仕様書の受領、翻訳</t>
  </si>
  <si>
    <t xml:space="preserve">パターンチェック</t>
  </si>
  <si>
    <t xml:space="preserve">パターンの受領、寸法チェック</t>
  </si>
  <si>
    <t xml:space="preserve">用尺計算</t>
  </si>
  <si>
    <t xml:space="preserve">工場の作成したマーカー図のチェック、修正依頼</t>
  </si>
  <si>
    <t xml:space="preserve">資材不足確認</t>
  </si>
  <si>
    <r>
      <rPr>
        <sz val="10"/>
        <rFont val="WenQuanYi Zen Hei"/>
        <family val="2"/>
      </rPr>
      <t xml:space="preserve">不足資材を確認して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へ連絡する</t>
    </r>
  </si>
  <si>
    <t xml:space="preserve">進捗フォロー</t>
  </si>
  <si>
    <t xml:space="preserve">サンプルラインへの進捗フォロー</t>
  </si>
  <si>
    <r>
      <rPr>
        <sz val="10"/>
        <rFont val="WenQuanYi Zen Hei"/>
        <family val="2"/>
      </rPr>
      <t xml:space="preserve">週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回程度</t>
    </r>
  </si>
  <si>
    <t xml:space="preserve">諸確認</t>
  </si>
  <si>
    <t xml:space="preserve">サンプル班からの問合せ・質問対応</t>
  </si>
  <si>
    <t xml:space="preserve">問題抽出・改善提案</t>
  </si>
  <si>
    <t xml:space="preserve">仕様・素材に不具合があればアラート・改善提案する。</t>
  </si>
  <si>
    <t xml:space="preserve">コメント連絡</t>
  </si>
  <si>
    <t xml:space="preserve">サンプルコメント・採寸表の記入と連絡</t>
  </si>
  <si>
    <t xml:space="preserve">二次加工</t>
  </si>
  <si>
    <t xml:space="preserve">外部工場の見本に関してバルクでの問題点を確認・連絡</t>
  </si>
  <si>
    <t xml:space="preserve">出荷連絡</t>
  </si>
  <si>
    <r>
      <rPr>
        <sz val="10"/>
        <rFont val="WenQuanYi Zen Hei"/>
        <family val="2"/>
      </rPr>
      <t xml:space="preserve">出荷明細、送り状</t>
    </r>
    <r>
      <rPr>
        <sz val="10"/>
        <rFont val="Arial"/>
        <family val="0"/>
        <charset val="1"/>
      </rPr>
      <t xml:space="preserve">No</t>
    </r>
    <r>
      <rPr>
        <sz val="10"/>
        <rFont val="WenQuanYi Zen Hei"/>
        <family val="2"/>
      </rPr>
      <t xml:space="preserve">を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へ連絡する</t>
    </r>
  </si>
  <si>
    <t xml:space="preserve">発送</t>
  </si>
  <si>
    <t xml:space="preserve">サンプル発送</t>
  </si>
  <si>
    <t xml:space="preserve">生産条件設定</t>
  </si>
  <si>
    <t xml:space="preserve">接着・シーム条件検討。機能性検査・記録</t>
  </si>
  <si>
    <t xml:space="preserve">工程分析</t>
  </si>
  <si>
    <t xml:space="preserve">生産能力・コスト試算</t>
  </si>
  <si>
    <t xml:space="preserve">元見本管理</t>
  </si>
  <si>
    <t xml:space="preserve">元見本台帳を作成し入出庫を管理する</t>
  </si>
  <si>
    <t xml:space="preserve">仕様書</t>
  </si>
  <si>
    <t xml:space="preserve">ファイル作成</t>
  </si>
  <si>
    <t xml:space="preserve">仕様書をプリントアウトしブランド・シーズン別にファイルを作成</t>
  </si>
  <si>
    <t xml:space="preserve">翻訳</t>
  </si>
  <si>
    <t xml:space="preserve">ベトナム語への翻訳</t>
  </si>
  <si>
    <t xml:space="preserve">チェック</t>
  </si>
  <si>
    <r>
      <rPr>
        <sz val="10"/>
        <rFont val="WenQuanYi Zen Hei"/>
        <family val="2"/>
      </rPr>
      <t xml:space="preserve">パターンや元見本と違ったり問題があった場合、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へ連絡する</t>
    </r>
  </si>
  <si>
    <t xml:space="preserve">修正連絡</t>
  </si>
  <si>
    <t xml:space="preserve">修正があれば修正仕様書を翻訳し工場へ連絡する</t>
  </si>
  <si>
    <t xml:space="preserve">パターン</t>
  </si>
  <si>
    <t xml:space="preserve">パターン確認と連絡</t>
  </si>
  <si>
    <r>
      <rPr>
        <sz val="10"/>
        <rFont val="WenQuanYi Zen Hei"/>
        <family val="2"/>
      </rPr>
      <t xml:space="preserve">パターンデータを工場へ転送、問題があれば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へ連絡</t>
    </r>
  </si>
  <si>
    <t xml:space="preserve">パターン修正</t>
  </si>
  <si>
    <t xml:space="preserve">一部不具合を工場で修正するように指示</t>
  </si>
  <si>
    <t xml:space="preserve">CAD</t>
  </si>
  <si>
    <t xml:space="preserve">パターンメイク</t>
  </si>
  <si>
    <t xml:space="preserve">パターン作成作業、トレーニング</t>
  </si>
  <si>
    <t xml:space="preserve">グレーデイング</t>
  </si>
  <si>
    <t xml:space="preserve">グレーデイング作業、トレーニング</t>
  </si>
  <si>
    <t xml:space="preserve">縫製仕様書</t>
  </si>
  <si>
    <t xml:space="preserve">縫製仕様書作成作業、トレーニング</t>
  </si>
  <si>
    <t xml:space="preserve">資材管理</t>
  </si>
  <si>
    <t xml:space="preserve">資材着荷確認</t>
  </si>
  <si>
    <r>
      <rPr>
        <sz val="10"/>
        <rFont val="Arial"/>
        <family val="0"/>
        <charset val="1"/>
      </rPr>
      <t xml:space="preserve">BL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P/L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DHL No </t>
    </r>
    <r>
      <rPr>
        <sz val="10"/>
        <rFont val="WenQuanYi Zen Hei"/>
        <family val="2"/>
      </rPr>
      <t xml:space="preserve">などを工場へ連絡する</t>
    </r>
  </si>
  <si>
    <r>
      <rPr>
        <sz val="10"/>
        <rFont val="WenQuanYi Zen Hei"/>
        <family val="2"/>
      </rPr>
      <t xml:space="preserve">工場からのバランスシートをもとに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へ不足連絡をする</t>
    </r>
  </si>
  <si>
    <t xml:space="preserve">生地不良確認</t>
  </si>
  <si>
    <r>
      <rPr>
        <sz val="10"/>
        <rFont val="WenQuanYi Zen Hei"/>
        <family val="2"/>
      </rPr>
      <t xml:space="preserve">工場から検反報告をもらい不良内容を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へ確認する</t>
    </r>
  </si>
  <si>
    <t xml:space="preserve">本生産</t>
  </si>
  <si>
    <t xml:space="preserve">裁断</t>
  </si>
  <si>
    <t xml:space="preserve">明細確認</t>
  </si>
  <si>
    <t xml:space="preserve">工場が作成した裁断明細を入手しチェックする</t>
  </si>
  <si>
    <t xml:space="preserve">要尺確認</t>
  </si>
  <si>
    <r>
      <rPr>
        <sz val="10"/>
        <rFont val="WenQuanYi Zen Hei"/>
        <family val="2"/>
      </rPr>
      <t xml:space="preserve">サンプル要尺を確認して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へ連絡する</t>
    </r>
  </si>
  <si>
    <t xml:space="preserve">トラブル対応</t>
  </si>
  <si>
    <t xml:space="preserve">色違い・収縮等のトラブル発生時の対応</t>
  </si>
  <si>
    <t xml:space="preserve">刺繍</t>
  </si>
  <si>
    <t xml:space="preserve">刺繍データを入手し、刺繍屋に連絡する</t>
  </si>
  <si>
    <t xml:space="preserve">プリント</t>
  </si>
  <si>
    <t xml:space="preserve">プリントデータを入手し、プリント屋に連絡する</t>
  </si>
  <si>
    <t xml:space="preserve">キルト</t>
  </si>
  <si>
    <t xml:space="preserve">依頼内容のバルク展開可否判断</t>
  </si>
  <si>
    <t xml:space="preserve">品位確認・評価</t>
  </si>
  <si>
    <t xml:space="preserve">現物確認、客先個別試験</t>
  </si>
  <si>
    <t xml:space="preserve">生産</t>
  </si>
  <si>
    <t xml:space="preserve">仕様確認</t>
  </si>
  <si>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との量産品の仕様確認</t>
    </r>
  </si>
  <si>
    <t xml:space="preserve">縫製指導</t>
  </si>
  <si>
    <t xml:space="preserve">現場での縫製指導</t>
  </si>
  <si>
    <t xml:space="preserve">シーム・溶着指導</t>
  </si>
  <si>
    <t xml:space="preserve">納期管理</t>
  </si>
  <si>
    <t xml:space="preserve">生産日報、進捗の確認</t>
  </si>
  <si>
    <t xml:space="preserve">トラブルシュート</t>
  </si>
  <si>
    <r>
      <rPr>
        <sz val="10"/>
        <rFont val="WenQuanYi Zen Hei"/>
        <family val="2"/>
      </rPr>
      <t xml:space="preserve">各種トラブル対応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段取り、計画、工程、品質</t>
    </r>
    <r>
      <rPr>
        <sz val="10"/>
        <rFont val="Arial"/>
        <family val="0"/>
        <charset val="1"/>
      </rPr>
      <t xml:space="preserve">)</t>
    </r>
  </si>
  <si>
    <t xml:space="preserve">生産結果記録</t>
  </si>
  <si>
    <t xml:space="preserve">問題・対策内容の記録と類似生産への水平展開</t>
  </si>
  <si>
    <r>
      <rPr>
        <sz val="10"/>
        <rFont val="WenQuanYi Zen Hei"/>
        <family val="2"/>
      </rPr>
      <t xml:space="preserve">技術者</t>
    </r>
    <r>
      <rPr>
        <sz val="10"/>
        <rFont val="Arial"/>
        <family val="0"/>
        <charset val="1"/>
      </rPr>
      <t xml:space="preserve">MTG</t>
    </r>
  </si>
  <si>
    <r>
      <rPr>
        <sz val="10"/>
        <rFont val="WenQuanYi Zen Hei"/>
        <family val="2"/>
      </rPr>
      <t xml:space="preserve">工場の投入前</t>
    </r>
    <r>
      <rPr>
        <sz val="10"/>
        <rFont val="Arial"/>
        <family val="0"/>
        <charset val="1"/>
      </rPr>
      <t xml:space="preserve">MTG</t>
    </r>
    <r>
      <rPr>
        <sz val="10"/>
        <rFont val="WenQuanYi Zen Hei"/>
        <family val="2"/>
      </rPr>
      <t xml:space="preserve">に参加し注意事項の確認</t>
    </r>
  </si>
  <si>
    <t xml:space="preserve">検査</t>
  </si>
  <si>
    <t xml:space="preserve">検査目合わせ</t>
  </si>
  <si>
    <t xml:space="preserve">投入後、最初に上がった製品の基準目合わせ</t>
  </si>
  <si>
    <t xml:space="preserve">一次検査</t>
  </si>
  <si>
    <t xml:space="preserve">ライン上がり製品の縫製検査</t>
  </si>
  <si>
    <t xml:space="preserve">二次検査</t>
  </si>
  <si>
    <t xml:space="preserve">仕上げ製品の外観検査</t>
  </si>
  <si>
    <t xml:space="preserve">出荷前検査</t>
  </si>
  <si>
    <t xml:space="preserve">工場検品後の製品の抜取チェック</t>
  </si>
  <si>
    <t xml:space="preserve">下札、ﾈｰﾑ確認</t>
  </si>
  <si>
    <t xml:space="preserve">下げ札、ネーム類の印字内容のチェック</t>
  </si>
  <si>
    <t xml:space="preserve">客先検査</t>
  </si>
  <si>
    <t xml:space="preserve">客先検査結果の工場連絡</t>
  </si>
  <si>
    <t xml:space="preserve">機能検査</t>
  </si>
  <si>
    <t xml:space="preserve">耐水圧・シーム製品抜き取り検査チェック</t>
  </si>
  <si>
    <t xml:space="preserve">第三者検品</t>
  </si>
  <si>
    <t xml:space="preserve">外部検査機関との品質基準・日程調整</t>
  </si>
  <si>
    <t xml:space="preserve">出荷</t>
  </si>
  <si>
    <r>
      <rPr>
        <sz val="10"/>
        <rFont val="Arial"/>
        <family val="0"/>
        <charset val="1"/>
      </rPr>
      <t xml:space="preserve">P/L</t>
    </r>
    <r>
      <rPr>
        <sz val="10"/>
        <rFont val="WenQuanYi Zen Hei"/>
        <family val="2"/>
      </rPr>
      <t xml:space="preserve">管理</t>
    </r>
  </si>
  <si>
    <r>
      <rPr>
        <sz val="10"/>
        <rFont val="WenQuanYi Zen Hei"/>
        <family val="2"/>
      </rPr>
      <t xml:space="preserve">出荷後の</t>
    </r>
    <r>
      <rPr>
        <sz val="10"/>
        <rFont val="Arial"/>
        <family val="0"/>
        <charset val="1"/>
      </rPr>
      <t xml:space="preserve">P/L</t>
    </r>
    <r>
      <rPr>
        <sz val="10"/>
        <rFont val="WenQuanYi Zen Hei"/>
        <family val="2"/>
      </rPr>
      <t xml:space="preserve">チェックし、減産していれば補充確認する</t>
    </r>
  </si>
  <si>
    <r>
      <rPr>
        <sz val="10"/>
        <rFont val="WenQuanYi Zen Hei"/>
        <family val="2"/>
      </rPr>
      <t xml:space="preserve">出荷情報確認、</t>
    </r>
    <r>
      <rPr>
        <sz val="10"/>
        <rFont val="Arial"/>
        <family val="0"/>
        <charset val="1"/>
      </rPr>
      <t xml:space="preserve">P/L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C/O</t>
    </r>
    <r>
      <rPr>
        <sz val="10"/>
        <rFont val="WenQuanYi Zen Hei"/>
        <family val="2"/>
      </rPr>
      <t xml:space="preserve">を連絡</t>
    </r>
    <r>
      <rPr>
        <sz val="10"/>
        <rFont val="Arial"/>
        <family val="0"/>
        <charset val="1"/>
      </rPr>
      <t xml:space="preserve">(BL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IV</t>
    </r>
    <r>
      <rPr>
        <sz val="10"/>
        <rFont val="WenQuanYi Zen Hei"/>
        <family val="2"/>
      </rPr>
      <t xml:space="preserve">は工場から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へ連絡）</t>
    </r>
  </si>
  <si>
    <t xml:space="preserve">日程調整</t>
  </si>
  <si>
    <t xml:space="preserve">出荷日・数量の変更依頼を工場と調整</t>
  </si>
  <si>
    <t xml:space="preserve">工場管理</t>
  </si>
  <si>
    <t xml:space="preserve">備品管理</t>
  </si>
  <si>
    <t xml:space="preserve">消耗品管理</t>
  </si>
  <si>
    <r>
      <rPr>
        <sz val="10"/>
        <rFont val="WenQuanYi Zen Hei"/>
        <family val="2"/>
      </rPr>
      <t xml:space="preserve">工場で必要な消耗品を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へ発注し受渡伝票を作成する</t>
    </r>
  </si>
  <si>
    <t xml:space="preserve">労務管理</t>
  </si>
  <si>
    <t xml:space="preserve">出勤簿管理</t>
  </si>
  <si>
    <t xml:space="preserve">その他</t>
  </si>
  <si>
    <t xml:space="preserve">日次作業</t>
  </si>
  <si>
    <t xml:space="preserve">業務日報</t>
  </si>
  <si>
    <r>
      <rPr>
        <sz val="10"/>
        <rFont val="WenQuanYi Zen Hei"/>
        <family val="2"/>
      </rPr>
      <t xml:space="preserve">当日の行内容を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東京へ報告</t>
    </r>
  </si>
  <si>
    <t xml:space="preserve">進捗報告会</t>
  </si>
  <si>
    <t xml:space="preserve">前日の生産進捗・工員出欠を各工場長より確認</t>
  </si>
  <si>
    <r>
      <rPr>
        <sz val="10"/>
        <rFont val="WenQuanYi Zen Hei"/>
        <family val="2"/>
      </rPr>
      <t xml:space="preserve">技術</t>
    </r>
    <r>
      <rPr>
        <sz val="10"/>
        <rFont val="Arial"/>
        <family val="0"/>
        <charset val="1"/>
      </rPr>
      <t xml:space="preserve">MTG</t>
    </r>
  </si>
  <si>
    <t xml:space="preserve">工場技術・品管リーダーより前日のトピックスを確認</t>
  </si>
  <si>
    <t xml:space="preserve">工場ラウンド</t>
  </si>
  <si>
    <t xml:space="preserve">工場報告内容確認</t>
  </si>
  <si>
    <r>
      <rPr>
        <sz val="10"/>
        <rFont val="Arial"/>
        <family val="0"/>
        <charset val="1"/>
      </rPr>
      <t xml:space="preserve">HCM</t>
    </r>
    <r>
      <rPr>
        <sz val="10"/>
        <rFont val="WenQuanYi Zen Hei"/>
        <family val="2"/>
      </rPr>
      <t xml:space="preserve">より材料引き取り</t>
    </r>
  </si>
  <si>
    <t xml:space="preserve">材料引き取り方法確認</t>
  </si>
  <si>
    <t xml:space="preserve">週次作業</t>
  </si>
  <si>
    <r>
      <rPr>
        <sz val="10"/>
        <rFont val="WenQuanYi Zen Hei"/>
        <family val="2"/>
      </rPr>
      <t xml:space="preserve">生産</t>
    </r>
    <r>
      <rPr>
        <sz val="10"/>
        <rFont val="Arial"/>
        <family val="0"/>
        <charset val="1"/>
      </rPr>
      <t xml:space="preserve">MTG</t>
    </r>
  </si>
  <si>
    <t xml:space="preserve">次週以降の生産計画を工場と調整・確認</t>
  </si>
  <si>
    <r>
      <rPr>
        <sz val="10"/>
        <rFont val="WenQuanYi Zen Hei"/>
        <family val="2"/>
      </rPr>
      <t xml:space="preserve">サンプル</t>
    </r>
    <r>
      <rPr>
        <sz val="10"/>
        <rFont val="Arial"/>
        <family val="0"/>
        <charset val="1"/>
      </rPr>
      <t xml:space="preserve">MTG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</si>
  <si>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府先までのサンプル班計画を調整・確認</t>
    </r>
  </si>
  <si>
    <t xml:space="preserve">業務週報</t>
  </si>
  <si>
    <r>
      <rPr>
        <sz val="10"/>
        <rFont val="WenQuanYi Zen Hei"/>
        <family val="2"/>
      </rPr>
      <t xml:space="preserve">当週の行内容を</t>
    </r>
    <r>
      <rPr>
        <sz val="10"/>
        <rFont val="Arial"/>
        <family val="0"/>
        <charset val="1"/>
      </rPr>
      <t xml:space="preserve">TI</t>
    </r>
    <r>
      <rPr>
        <sz val="10"/>
        <rFont val="WenQuanYi Zen Hei"/>
        <family val="2"/>
      </rPr>
      <t xml:space="preserve">東京へ報告</t>
    </r>
  </si>
  <si>
    <t xml:space="preserve">計画修正連絡</t>
  </si>
  <si>
    <t xml:space="preserve">生産管理課へ計画修正案・空きライン・問題点を連絡</t>
  </si>
  <si>
    <t xml:space="preserve">プランテーブル修正</t>
  </si>
  <si>
    <t xml:space="preserve">生産管理課へ修正計画を盛り込んだプランテーブルを送付</t>
  </si>
  <si>
    <r>
      <rPr>
        <sz val="10"/>
        <rFont val="Arial"/>
        <family val="0"/>
        <charset val="1"/>
      </rPr>
      <t xml:space="preserve">Update</t>
    </r>
    <r>
      <rPr>
        <sz val="10"/>
        <rFont val="WenQuanYi Zen Hei"/>
        <family val="2"/>
      </rPr>
      <t xml:space="preserve">修正内容確認</t>
    </r>
  </si>
  <si>
    <r>
      <rPr>
        <sz val="10"/>
        <rFont val="WenQuanYi Zen Hei"/>
        <family val="2"/>
      </rPr>
      <t xml:space="preserve">計画修正された</t>
    </r>
    <r>
      <rPr>
        <sz val="10"/>
        <rFont val="Arial"/>
        <family val="0"/>
        <charset val="1"/>
      </rPr>
      <t xml:space="preserve">Update</t>
    </r>
    <r>
      <rPr>
        <sz val="10"/>
        <rFont val="WenQuanYi Zen Hei"/>
        <family val="2"/>
      </rPr>
      <t xml:space="preserve">とプランテーブルの照合</t>
    </r>
  </si>
  <si>
    <t xml:space="preserve">出勤名簿の抜き打ち確認</t>
  </si>
  <si>
    <t xml:space="preserve">工場工員の出勤名簿とラインの抜き打ち照合</t>
  </si>
  <si>
    <t xml:space="preserve">月次作業</t>
  </si>
  <si>
    <t xml:space="preserve">業務月報</t>
  </si>
  <si>
    <t xml:space="preserve">毎月のトピックス・生産実績・要員情報を報告</t>
  </si>
  <si>
    <t xml:space="preserve">材料在庫管理</t>
  </si>
  <si>
    <t xml:space="preserve">工場算出の材料在庫数をまとめて報告</t>
  </si>
  <si>
    <t xml:space="preserve">製品在庫管理</t>
  </si>
  <si>
    <t xml:space="preserve">工場算出の生産実績日報を必要項目毎に計算して報告</t>
  </si>
  <si>
    <t xml:space="preserve">生産計画・実績報告</t>
  </si>
  <si>
    <t xml:space="preserve">前月の生産実績と翌月の生産計画を報告</t>
  </si>
  <si>
    <t xml:space="preserve">機材管理報告</t>
  </si>
  <si>
    <t xml:space="preserve">工場へ貸し出している機材明細の報告</t>
  </si>
  <si>
    <t xml:space="preserve">計画・実績情報報告</t>
  </si>
  <si>
    <t xml:space="preserve">品番毎の計画・実績及び早見表計画日数との比較を報告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</si>
  <si>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週間ルール外品番報告</t>
    </r>
  </si>
  <si>
    <r>
      <rPr>
        <sz val="10"/>
        <rFont val="WenQuanYi Zen Hei"/>
        <family val="2"/>
      </rPr>
      <t xml:space="preserve">工場算出の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週間ルール外品番リストを報告</t>
    </r>
  </si>
  <si>
    <t xml:space="preserve">品質改善報告会議</t>
  </si>
  <si>
    <t xml:space="preserve">会議資料作成</t>
  </si>
  <si>
    <t xml:space="preserve">会議</t>
  </si>
  <si>
    <r>
      <rPr>
        <sz val="10"/>
        <rFont val="WenQuanYi Zen Hei"/>
        <family val="2"/>
      </rPr>
      <t xml:space="preserve">出勤名簿・</t>
    </r>
    <r>
      <rPr>
        <sz val="10"/>
        <rFont val="Arial"/>
        <family val="0"/>
        <charset val="1"/>
      </rPr>
      <t xml:space="preserve">D/N</t>
    </r>
    <r>
      <rPr>
        <sz val="10"/>
        <rFont val="WenQuanYi Zen Hei"/>
        <family val="2"/>
      </rPr>
      <t xml:space="preserve">照合</t>
    </r>
  </si>
  <si>
    <r>
      <rPr>
        <sz val="10"/>
        <rFont val="WenQuanYi Zen Hei"/>
        <family val="2"/>
      </rPr>
      <t xml:space="preserve">工員出勤名簿人数と</t>
    </r>
    <r>
      <rPr>
        <sz val="10"/>
        <rFont val="Arial"/>
        <family val="0"/>
        <charset val="1"/>
      </rPr>
      <t xml:space="preserve">D/N</t>
    </r>
    <r>
      <rPr>
        <sz val="10"/>
        <rFont val="WenQuanYi Zen Hei"/>
        <family val="2"/>
      </rPr>
      <t xml:space="preserve">記載人数の照合</t>
    </r>
  </si>
  <si>
    <r>
      <rPr>
        <sz val="10"/>
        <rFont val="Arial"/>
        <family val="0"/>
        <charset val="1"/>
      </rPr>
      <t xml:space="preserve">TIVN</t>
    </r>
    <r>
      <rPr>
        <sz val="10"/>
        <rFont val="WenQuanYi Zen Hei"/>
        <family val="2"/>
      </rPr>
      <t xml:space="preserve">スタッフ労務管理</t>
    </r>
  </si>
  <si>
    <r>
      <rPr>
        <sz val="10"/>
        <rFont val="Arial"/>
        <family val="0"/>
        <charset val="1"/>
      </rPr>
      <t xml:space="preserve">TIVN</t>
    </r>
    <r>
      <rPr>
        <sz val="10"/>
        <rFont val="WenQuanYi Zen Hei"/>
        <family val="2"/>
      </rPr>
      <t xml:space="preserve">スタッフのタイムカード確認及び残業時間確認</t>
    </r>
  </si>
  <si>
    <t xml:space="preserve">Tổng mỗi người (= 100%)</t>
  </si>
  <si>
    <r>
      <rPr>
        <i val="true"/>
        <sz val="9"/>
        <rFont val="Arial"/>
        <family val="0"/>
        <charset val="1"/>
      </rPr>
      <t xml:space="preserve">Nguồn: bảng phân tích nghiệp vụ APIC 2026 </t>
    </r>
    <r>
      <rPr>
        <i val="true"/>
        <sz val="9"/>
        <rFont val="WenQuanYi Zen Hei"/>
        <family val="2"/>
      </rPr>
      <t xml:space="preserve">上期 </t>
    </r>
    <r>
      <rPr>
        <i val="true"/>
        <sz val="9"/>
        <rFont val="Arial"/>
        <family val="0"/>
        <charset val="1"/>
      </rPr>
      <t xml:space="preserve">(cập nhật 1/4/2026), tỷ lệ thời gian khai báo của từng người.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</si>
</sst>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#,##0.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WenQuanYi Zen Hei"/>
      <family val="2"/>
    </font>
    <font>
      <i val="true"/>
      <sz val="9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55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5.3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23.85" hidden="false" customHeight="false" outlineLevel="0" collapsed="false">
      <c r="A6" s="4" t="s">
        <v>10</v>
      </c>
      <c r="B6" s="5" t="s">
        <v>11</v>
      </c>
      <c r="C6" s="5" t="s">
        <v>12</v>
      </c>
      <c r="D6" s="5" t="s">
        <v>13</v>
      </c>
    </row>
    <row r="7" customFormat="false" ht="26.85" hidden="false" customHeight="false" outlineLevel="0" collapsed="false">
      <c r="A7" s="4" t="s">
        <v>14</v>
      </c>
      <c r="B7" s="5" t="s">
        <v>15</v>
      </c>
      <c r="C7" s="5" t="s">
        <v>16</v>
      </c>
      <c r="D7" s="5" t="s">
        <v>17</v>
      </c>
    </row>
    <row r="8" customFormat="false" ht="25.35" hidden="false" customHeight="false" outlineLevel="0" collapsed="false">
      <c r="A8" s="4" t="s">
        <v>18</v>
      </c>
      <c r="B8" s="5" t="s">
        <v>19</v>
      </c>
      <c r="C8" s="5" t="s">
        <v>20</v>
      </c>
      <c r="D8" s="5"/>
    </row>
    <row r="9" customFormat="false" ht="25.35" hidden="false" customHeight="false" outlineLevel="0" collapsed="false">
      <c r="A9" s="4" t="s">
        <v>21</v>
      </c>
      <c r="B9" s="5" t="s">
        <v>22</v>
      </c>
      <c r="C9" s="5" t="s">
        <v>23</v>
      </c>
      <c r="D9" s="5" t="s">
        <v>24</v>
      </c>
    </row>
    <row r="10" customFormat="false" ht="15" hidden="false" customHeight="false" outlineLevel="0" collapsed="false">
      <c r="A10" s="4" t="s">
        <v>25</v>
      </c>
      <c r="B10" s="5" t="s">
        <v>26</v>
      </c>
      <c r="C10" s="5" t="s">
        <v>23</v>
      </c>
      <c r="D10" s="5" t="s">
        <v>27</v>
      </c>
    </row>
    <row r="11" customFormat="false" ht="25.35" hidden="false" customHeight="false" outlineLevel="0" collapsed="false">
      <c r="A11" s="4" t="s">
        <v>28</v>
      </c>
      <c r="B11" s="5" t="s">
        <v>29</v>
      </c>
      <c r="C11" s="5" t="s">
        <v>23</v>
      </c>
      <c r="D1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7" min="3" style="0" width="11"/>
    <col collapsed="false" customWidth="true" hidden="false" outlineLevel="0" max="21" min="18" style="0" width="10"/>
    <col collapsed="false" customWidth="true" hidden="false" outlineLevel="0" max="22" min="22" style="0" width="11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23.85" hidden="false" customHeight="false" outlineLevel="0" collapsed="false"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</row>
    <row r="4" customFormat="false" ht="15" hidden="false" customHeight="false" outlineLevel="0" collapsed="false">
      <c r="A4" s="3" t="s">
        <v>38</v>
      </c>
      <c r="B4" s="6" t="n">
        <v>0.25</v>
      </c>
      <c r="C4" s="6" t="n">
        <v>0.25</v>
      </c>
      <c r="D4" s="6" t="n">
        <v>0.25</v>
      </c>
      <c r="E4" s="6" t="n">
        <v>0.25</v>
      </c>
      <c r="F4" s="7" t="n">
        <f aca="false">SUM(B4:E4)</f>
        <v>1</v>
      </c>
    </row>
    <row r="6" customFormat="false" ht="45" hidden="false" customHeight="true" outlineLevel="0" collapsed="false">
      <c r="A6" s="3" t="s">
        <v>2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  <c r="O6" s="3" t="s">
        <v>52</v>
      </c>
      <c r="P6" s="3" t="s">
        <v>53</v>
      </c>
      <c r="Q6" s="3" t="s">
        <v>54</v>
      </c>
      <c r="R6" s="3" t="s">
        <v>55</v>
      </c>
      <c r="S6" s="3" t="s">
        <v>56</v>
      </c>
      <c r="T6" s="3" t="s">
        <v>57</v>
      </c>
      <c r="U6" s="3" t="s">
        <v>58</v>
      </c>
      <c r="V6" s="3" t="s">
        <v>59</v>
      </c>
    </row>
    <row r="7" customFormat="false" ht="15" hidden="false" customHeight="false" outlineLevel="0" collapsed="false">
      <c r="A7" s="4" t="s">
        <v>25</v>
      </c>
      <c r="B7" s="5" t="s">
        <v>60</v>
      </c>
      <c r="C7" s="8" t="n">
        <v>35</v>
      </c>
      <c r="D7" s="8" t="n">
        <v>31394</v>
      </c>
      <c r="E7" s="8" t="n">
        <v>579</v>
      </c>
      <c r="F7" s="8" t="n">
        <v>40</v>
      </c>
      <c r="G7" s="8" t="n">
        <v>20275</v>
      </c>
      <c r="H7" s="8" t="n">
        <v>371</v>
      </c>
      <c r="I7" s="8" t="n">
        <v>96</v>
      </c>
      <c r="J7" s="8" t="n">
        <v>282</v>
      </c>
      <c r="K7" s="8" t="n">
        <v>782</v>
      </c>
      <c r="L7" s="8" t="n">
        <v>389</v>
      </c>
      <c r="M7" s="8" t="n">
        <v>4</v>
      </c>
      <c r="N7" s="9" t="n">
        <v>157.3</v>
      </c>
      <c r="O7" s="9" t="n">
        <v>1119.8</v>
      </c>
      <c r="P7" s="9" t="n">
        <v>912.8</v>
      </c>
      <c r="Q7" s="9" t="n">
        <v>463.5</v>
      </c>
      <c r="R7" s="10" t="n">
        <f aca="false">N7/AVERAGE(N$7:N$12)</f>
        <v>1.42935029532031</v>
      </c>
      <c r="S7" s="10" t="n">
        <f aca="false">O7/AVERAGE(O$7:O$12)</f>
        <v>0.619826934076275</v>
      </c>
      <c r="T7" s="10" t="n">
        <f aca="false">P7/AVERAGE(P$7:P$12)</f>
        <v>1.81063210790796</v>
      </c>
      <c r="U7" s="10" t="n">
        <f aca="false">Q7/AVERAGE(Q$7:Q$12)</f>
        <v>1.21060421382553</v>
      </c>
      <c r="V7" s="11" t="n">
        <f aca="false">SUMPRODUCT($B$4:$E$4,R7:U7)</f>
        <v>1.26760338778252</v>
      </c>
    </row>
    <row r="8" customFormat="false" ht="15" hidden="false" customHeight="false" outlineLevel="0" collapsed="false">
      <c r="A8" s="4" t="s">
        <v>6</v>
      </c>
      <c r="B8" s="5" t="s">
        <v>60</v>
      </c>
      <c r="C8" s="8" t="n">
        <v>81</v>
      </c>
      <c r="D8" s="8" t="n">
        <v>42691</v>
      </c>
      <c r="E8" s="8" t="n">
        <v>717</v>
      </c>
      <c r="F8" s="8" t="n">
        <v>48</v>
      </c>
      <c r="G8" s="8" t="n">
        <v>48820</v>
      </c>
      <c r="H8" s="8" t="n">
        <v>706</v>
      </c>
      <c r="I8" s="8" t="n">
        <v>89</v>
      </c>
      <c r="J8" s="8" t="n">
        <v>192</v>
      </c>
      <c r="K8" s="8" t="n">
        <v>738</v>
      </c>
      <c r="L8" s="8" t="n">
        <v>582</v>
      </c>
      <c r="M8" s="8" t="n">
        <v>4</v>
      </c>
      <c r="N8" s="9" t="n">
        <v>137</v>
      </c>
      <c r="O8" s="9" t="n">
        <v>1423</v>
      </c>
      <c r="P8" s="9" t="n">
        <v>738</v>
      </c>
      <c r="Q8" s="9" t="n">
        <v>581.7</v>
      </c>
      <c r="R8" s="10" t="n">
        <f aca="false">N8/AVERAGE(N$7:N$12)</f>
        <v>1.24488868696047</v>
      </c>
      <c r="S8" s="10" t="n">
        <f aca="false">O8/AVERAGE(O$7:O$12)</f>
        <v>0.787652908725253</v>
      </c>
      <c r="T8" s="10" t="n">
        <f aca="false">P8/AVERAGE(P$7:P$12)</f>
        <v>1.46389843956625</v>
      </c>
      <c r="U8" s="10" t="n">
        <f aca="false">Q8/AVERAGE(Q$7:Q$12)</f>
        <v>1.51932787741599</v>
      </c>
      <c r="V8" s="11" t="n">
        <f aca="false">SUMPRODUCT($B$4:$E$4,R8:U8)</f>
        <v>1.25394197816699</v>
      </c>
    </row>
    <row r="9" customFormat="false" ht="15" hidden="false" customHeight="false" outlineLevel="0" collapsed="false">
      <c r="A9" s="4" t="s">
        <v>10</v>
      </c>
      <c r="B9" s="5" t="s">
        <v>60</v>
      </c>
      <c r="C9" s="8" t="n">
        <v>89</v>
      </c>
      <c r="D9" s="8" t="n">
        <v>179012</v>
      </c>
      <c r="E9" s="8" t="n">
        <v>2922</v>
      </c>
      <c r="F9" s="8" t="n">
        <v>45</v>
      </c>
      <c r="G9" s="8" t="n">
        <v>207757</v>
      </c>
      <c r="H9" s="8" t="n">
        <v>2471</v>
      </c>
      <c r="I9" s="8" t="n">
        <v>25</v>
      </c>
      <c r="J9" s="8" t="n">
        <v>52</v>
      </c>
      <c r="K9" s="8" t="n">
        <v>104</v>
      </c>
      <c r="L9" s="8" t="n">
        <v>268</v>
      </c>
      <c r="M9" s="8" t="n">
        <v>1</v>
      </c>
      <c r="N9" s="9" t="n">
        <v>70</v>
      </c>
      <c r="O9" s="9" t="n">
        <v>5393</v>
      </c>
      <c r="P9" s="9" t="n">
        <v>104</v>
      </c>
      <c r="Q9" s="9" t="n">
        <v>268.3</v>
      </c>
      <c r="R9" s="10" t="n">
        <f aca="false">N9/AVERAGE(N$7:N$12)</f>
        <v>0.636074511585643</v>
      </c>
      <c r="S9" s="10" t="n">
        <f aca="false">O9/AVERAGE(O$7:O$12)</f>
        <v>2.98511042639163</v>
      </c>
      <c r="T9" s="10" t="n">
        <f aca="false">P9/AVERAGE(P$7:P$12)</f>
        <v>0.206294631049987</v>
      </c>
      <c r="U9" s="10" t="n">
        <f aca="false">Q9/AVERAGE(Q$7:Q$12)</f>
        <v>0.700766150095769</v>
      </c>
      <c r="V9" s="11" t="n">
        <f aca="false">SUMPRODUCT($B$4:$E$4,R9:U9)</f>
        <v>1.13206142978076</v>
      </c>
    </row>
    <row r="10" customFormat="false" ht="15" hidden="false" customHeight="false" outlineLevel="0" collapsed="false">
      <c r="A10" s="4" t="s">
        <v>21</v>
      </c>
      <c r="B10" s="5" t="s">
        <v>60</v>
      </c>
      <c r="C10" s="8" t="n">
        <v>77</v>
      </c>
      <c r="D10" s="8" t="n">
        <v>50760</v>
      </c>
      <c r="E10" s="8" t="n">
        <v>935</v>
      </c>
      <c r="F10" s="8" t="n">
        <v>43</v>
      </c>
      <c r="G10" s="8" t="n">
        <v>26439</v>
      </c>
      <c r="H10" s="8" t="n">
        <v>451</v>
      </c>
      <c r="I10" s="8" t="n">
        <v>80</v>
      </c>
      <c r="J10" s="8" t="n">
        <v>146</v>
      </c>
      <c r="K10" s="8" t="n">
        <v>492</v>
      </c>
      <c r="L10" s="8" t="n">
        <v>407</v>
      </c>
      <c r="M10" s="8" t="n">
        <v>4</v>
      </c>
      <c r="N10" s="9" t="n">
        <v>123</v>
      </c>
      <c r="O10" s="9" t="n">
        <v>1386</v>
      </c>
      <c r="P10" s="9" t="n">
        <v>492</v>
      </c>
      <c r="Q10" s="9" t="n">
        <v>407</v>
      </c>
      <c r="R10" s="10" t="n">
        <f aca="false">N10/AVERAGE(N$7:N$12)</f>
        <v>1.11767378464334</v>
      </c>
      <c r="S10" s="10" t="n">
        <f aca="false">O10/AVERAGE(O$7:O$12)</f>
        <v>0.767172826066902</v>
      </c>
      <c r="T10" s="10" t="n">
        <f aca="false">P10/AVERAGE(P$7:P$12)</f>
        <v>0.975932293044168</v>
      </c>
      <c r="U10" s="10" t="n">
        <f aca="false">Q10/AVERAGE(Q$7:Q$12)</f>
        <v>1.06303325787916</v>
      </c>
      <c r="V10" s="11" t="n">
        <f aca="false">SUMPRODUCT($B$4:$E$4,R10:U10)</f>
        <v>0.980953040408393</v>
      </c>
    </row>
    <row r="11" customFormat="false" ht="15" hidden="false" customHeight="false" outlineLevel="0" collapsed="false">
      <c r="A11" s="4" t="s">
        <v>18</v>
      </c>
      <c r="B11" s="5" t="s">
        <v>60</v>
      </c>
      <c r="C11" s="8" t="n">
        <v>15</v>
      </c>
      <c r="D11" s="8" t="n">
        <v>2244</v>
      </c>
      <c r="E11" s="8" t="n">
        <v>300</v>
      </c>
      <c r="F11" s="8" t="n">
        <v>0</v>
      </c>
      <c r="G11" s="8" t="n">
        <v>0</v>
      </c>
      <c r="H11" s="8" t="n">
        <v>0</v>
      </c>
      <c r="I11" s="8" t="n">
        <v>104</v>
      </c>
      <c r="J11" s="8" t="n">
        <v>340</v>
      </c>
      <c r="K11" s="8" t="n">
        <v>680</v>
      </c>
      <c r="L11" s="8" t="n">
        <v>347</v>
      </c>
      <c r="M11" s="8" t="n">
        <v>4</v>
      </c>
      <c r="N11" s="9" t="n">
        <v>104</v>
      </c>
      <c r="O11" s="9" t="n">
        <v>300</v>
      </c>
      <c r="P11" s="9" t="n">
        <v>680</v>
      </c>
      <c r="Q11" s="9" t="n">
        <v>346.7</v>
      </c>
      <c r="R11" s="10" t="n">
        <f aca="false">N11/AVERAGE(N$7:N$12)</f>
        <v>0.945024988641527</v>
      </c>
      <c r="S11" s="10" t="n">
        <f aca="false">O11/AVERAGE(O$7:O$12)</f>
        <v>0.166054724256905</v>
      </c>
      <c r="T11" s="10" t="n">
        <f aca="false">P11/AVERAGE(P$7:P$12)</f>
        <v>1.34884951071145</v>
      </c>
      <c r="U11" s="10" t="n">
        <f aca="false">Q11/AVERAGE(Q$7:Q$12)</f>
        <v>0.905537175692147</v>
      </c>
      <c r="V11" s="11" t="n">
        <f aca="false">SUMPRODUCT($B$4:$E$4,R11:U11)</f>
        <v>0.841366599825508</v>
      </c>
    </row>
    <row r="12" customFormat="false" ht="15" hidden="false" customHeight="false" outlineLevel="0" collapsed="false">
      <c r="A12" s="4" t="s">
        <v>28</v>
      </c>
      <c r="B12" s="5" t="s">
        <v>60</v>
      </c>
      <c r="C12" s="8" t="n">
        <v>79</v>
      </c>
      <c r="D12" s="8" t="n">
        <v>56164</v>
      </c>
      <c r="E12" s="8" t="n">
        <v>770</v>
      </c>
      <c r="F12" s="8" t="n">
        <v>35</v>
      </c>
      <c r="G12" s="8" t="n">
        <v>32056</v>
      </c>
      <c r="H12" s="8" t="n">
        <v>448</v>
      </c>
      <c r="I12" s="8" t="n">
        <v>34</v>
      </c>
      <c r="J12" s="8" t="n">
        <v>49</v>
      </c>
      <c r="K12" s="8" t="n">
        <v>98</v>
      </c>
      <c r="L12" s="8" t="n">
        <v>230</v>
      </c>
      <c r="M12" s="8" t="n">
        <v>1</v>
      </c>
      <c r="N12" s="9" t="n">
        <v>69</v>
      </c>
      <c r="O12" s="9" t="n">
        <v>1218</v>
      </c>
      <c r="P12" s="9" t="n">
        <v>98</v>
      </c>
      <c r="Q12" s="9" t="n">
        <v>230</v>
      </c>
      <c r="R12" s="10" t="n">
        <f aca="false">N12/AVERAGE(N$7:N$12)</f>
        <v>0.626987732848705</v>
      </c>
      <c r="S12" s="10" t="n">
        <f aca="false">O12/AVERAGE(O$7:O$12)</f>
        <v>0.674182180483035</v>
      </c>
      <c r="T12" s="10" t="n">
        <f aca="false">P12/AVERAGE(P$7:P$12)</f>
        <v>0.19439301772018</v>
      </c>
      <c r="U12" s="10" t="n">
        <f aca="false">Q12/AVERAGE(Q$7:Q$12)</f>
        <v>0.600731325091416</v>
      </c>
      <c r="V12" s="11" t="n">
        <f aca="false">SUMPRODUCT($B$4:$E$4,R12:U12)</f>
        <v>0.524073564035834</v>
      </c>
    </row>
    <row r="13" customFormat="false" ht="23.85" hidden="false" customHeight="false" outlineLevel="0" collapsed="false">
      <c r="A13" s="4" t="s">
        <v>14</v>
      </c>
      <c r="B13" s="5" t="s">
        <v>61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6</v>
      </c>
      <c r="J13" s="8" t="n">
        <v>11</v>
      </c>
      <c r="K13" s="8" t="n">
        <v>22</v>
      </c>
      <c r="L13" s="8" t="n">
        <v>20</v>
      </c>
      <c r="M13" s="8" t="n">
        <v>1</v>
      </c>
      <c r="N13" s="9" t="n">
        <v>6</v>
      </c>
      <c r="O13" s="9" t="n">
        <v>0</v>
      </c>
      <c r="P13" s="9" t="n">
        <v>22</v>
      </c>
      <c r="Q13" s="9" t="n">
        <v>20</v>
      </c>
      <c r="R13" s="10" t="n">
        <f aca="false">N13/AVERAGE(N$7:N$12)</f>
        <v>0.0545206724216265</v>
      </c>
      <c r="S13" s="10" t="n">
        <f aca="false">O13/AVERAGE(O$7:O$12)</f>
        <v>0</v>
      </c>
      <c r="T13" s="10" t="n">
        <f aca="false">P13/AVERAGE(P$7:P$12)</f>
        <v>0.0436392488759587</v>
      </c>
      <c r="U13" s="10" t="n">
        <f aca="false">Q13/AVERAGE(Q$7:Q$12)</f>
        <v>0.0522375065296883</v>
      </c>
      <c r="V13" s="11" t="n">
        <f aca="false">SUMPRODUCT($B$4:$E$4,R13:U13)</f>
        <v>0.0375993569568184</v>
      </c>
    </row>
    <row r="15" customFormat="false" ht="15" hidden="false" customHeight="false" outlineLevel="0" collapsed="false">
      <c r="A15" s="12" t="s">
        <v>62</v>
      </c>
    </row>
    <row r="16" customFormat="false" ht="15" hidden="false" customHeight="false" outlineLevel="0" collapsed="false">
      <c r="A16" s="1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3" t="s">
        <v>66</v>
      </c>
      <c r="B4" s="3" t="s">
        <v>6</v>
      </c>
      <c r="C4" s="3" t="s">
        <v>10</v>
      </c>
      <c r="D4" s="3" t="s">
        <v>14</v>
      </c>
      <c r="E4" s="3" t="s">
        <v>18</v>
      </c>
      <c r="F4" s="3" t="s">
        <v>21</v>
      </c>
      <c r="G4" s="3" t="s">
        <v>25</v>
      </c>
      <c r="H4" s="3" t="s">
        <v>28</v>
      </c>
    </row>
    <row r="5" customFormat="false" ht="23.85" hidden="false" customHeight="false" outlineLevel="0" collapsed="false">
      <c r="A5" s="5" t="s">
        <v>67</v>
      </c>
      <c r="B5" s="13" t="n">
        <v>1.46</v>
      </c>
      <c r="C5" s="13" t="n">
        <v>1.73</v>
      </c>
      <c r="D5" s="10" t="n">
        <v>0.15</v>
      </c>
      <c r="E5" s="10" t="n">
        <v>1.17</v>
      </c>
      <c r="F5" s="10" t="n">
        <v>1.14</v>
      </c>
      <c r="G5" s="10" t="n">
        <v>0.96</v>
      </c>
      <c r="H5" s="10" t="n">
        <v>0.62</v>
      </c>
    </row>
    <row r="6" customFormat="false" ht="15" hidden="false" customHeight="false" outlineLevel="0" collapsed="false">
      <c r="A6" s="5" t="s">
        <v>68</v>
      </c>
      <c r="B6" s="13" t="n">
        <v>1.46</v>
      </c>
      <c r="C6" s="13" t="n">
        <v>1.47</v>
      </c>
      <c r="D6" s="10" t="n">
        <v>0.41</v>
      </c>
      <c r="E6" s="10" t="n">
        <v>1.17</v>
      </c>
      <c r="F6" s="10" t="n">
        <v>1.14</v>
      </c>
      <c r="G6" s="10" t="n">
        <v>0.96</v>
      </c>
      <c r="H6" s="10" t="n">
        <v>0.62</v>
      </c>
    </row>
    <row r="7" customFormat="false" ht="15" hidden="false" customHeight="false" outlineLevel="0" collapsed="false">
      <c r="A7" s="5" t="s">
        <v>69</v>
      </c>
      <c r="B7" s="13" t="n">
        <v>1.46</v>
      </c>
      <c r="C7" s="10" t="n">
        <v>1.3</v>
      </c>
      <c r="D7" s="10" t="n">
        <v>0.59</v>
      </c>
      <c r="E7" s="10" t="n">
        <v>1.17</v>
      </c>
      <c r="F7" s="10" t="n">
        <v>1.14</v>
      </c>
      <c r="G7" s="10" t="n">
        <v>0.96</v>
      </c>
      <c r="H7" s="10" t="n">
        <v>0.62</v>
      </c>
    </row>
    <row r="8" customFormat="false" ht="15" hidden="false" customHeight="false" outlineLevel="0" collapsed="false">
      <c r="A8" s="5" t="s">
        <v>70</v>
      </c>
      <c r="B8" s="13" t="n">
        <v>1.46</v>
      </c>
      <c r="C8" s="10" t="n">
        <v>1.13</v>
      </c>
      <c r="D8" s="10" t="n">
        <v>0.76</v>
      </c>
      <c r="E8" s="10" t="n">
        <v>1.17</v>
      </c>
      <c r="F8" s="10" t="n">
        <v>1.14</v>
      </c>
      <c r="G8" s="10" t="n">
        <v>0.96</v>
      </c>
      <c r="H8" s="10" t="n">
        <v>0.62</v>
      </c>
    </row>
    <row r="9" customFormat="false" ht="15" hidden="false" customHeight="false" outlineLevel="0" collapsed="false">
      <c r="A9" s="5" t="s">
        <v>71</v>
      </c>
      <c r="B9" s="10" t="n">
        <v>1.25</v>
      </c>
      <c r="C9" s="10" t="n">
        <v>1.3</v>
      </c>
      <c r="D9" s="10" t="n">
        <v>0.8</v>
      </c>
      <c r="E9" s="10" t="n">
        <v>1.17</v>
      </c>
      <c r="F9" s="10" t="n">
        <v>1.14</v>
      </c>
      <c r="G9" s="10" t="n">
        <v>0.96</v>
      </c>
      <c r="H9" s="10" t="n">
        <v>0.62</v>
      </c>
    </row>
    <row r="10" customFormat="false" ht="15" hidden="false" customHeight="false" outlineLevel="0" collapsed="false">
      <c r="A10" s="5" t="s">
        <v>72</v>
      </c>
      <c r="B10" s="10" t="n">
        <v>1.25</v>
      </c>
      <c r="C10" s="10" t="n">
        <v>1.13</v>
      </c>
      <c r="D10" s="10" t="n">
        <v>0.97</v>
      </c>
      <c r="E10" s="10" t="n">
        <v>1.17</v>
      </c>
      <c r="F10" s="10" t="n">
        <v>1.14</v>
      </c>
      <c r="G10" s="10" t="n">
        <v>0.96</v>
      </c>
      <c r="H10" s="10" t="n">
        <v>0.62</v>
      </c>
    </row>
    <row r="11" customFormat="false" ht="15" hidden="false" customHeight="false" outlineLevel="0" collapsed="false">
      <c r="A11" s="5" t="s">
        <v>73</v>
      </c>
      <c r="B11" s="13" t="n">
        <v>1.41</v>
      </c>
      <c r="C11" s="13" t="n">
        <v>1.6</v>
      </c>
      <c r="D11" s="10" t="n">
        <v>0.53</v>
      </c>
      <c r="E11" s="10" t="n">
        <v>0.32</v>
      </c>
      <c r="F11" s="10" t="n">
        <v>1.39</v>
      </c>
      <c r="G11" s="10" t="n">
        <v>1.13</v>
      </c>
      <c r="H11" s="10" t="n">
        <v>0.87</v>
      </c>
    </row>
    <row r="12" customFormat="false" ht="15" hidden="false" customHeight="false" outlineLevel="0" collapsed="false">
      <c r="A12" s="5" t="s">
        <v>74</v>
      </c>
      <c r="B12" s="13" t="n">
        <v>1.41</v>
      </c>
      <c r="C12" s="13" t="n">
        <v>1.41</v>
      </c>
      <c r="D12" s="10" t="n">
        <v>0.72</v>
      </c>
      <c r="E12" s="10" t="n">
        <v>0.32</v>
      </c>
      <c r="F12" s="10" t="n">
        <v>1.39</v>
      </c>
      <c r="G12" s="10" t="n">
        <v>1.13</v>
      </c>
      <c r="H12" s="10" t="n">
        <v>0.87</v>
      </c>
    </row>
    <row r="13" customFormat="false" ht="15" hidden="false" customHeight="false" outlineLevel="0" collapsed="false">
      <c r="A13" s="5" t="s">
        <v>75</v>
      </c>
      <c r="B13" s="10" t="n">
        <v>1.24</v>
      </c>
      <c r="C13" s="13" t="n">
        <v>1.6</v>
      </c>
      <c r="D13" s="10" t="n">
        <v>0.7</v>
      </c>
      <c r="E13" s="10" t="n">
        <v>0.32</v>
      </c>
      <c r="F13" s="10" t="n">
        <v>1.39</v>
      </c>
      <c r="G13" s="10" t="n">
        <v>1.13</v>
      </c>
      <c r="H13" s="10" t="n">
        <v>0.87</v>
      </c>
    </row>
    <row r="14" customFormat="false" ht="15" hidden="false" customHeight="false" outlineLevel="0" collapsed="false">
      <c r="A14" s="5" t="s">
        <v>76</v>
      </c>
      <c r="B14" s="13" t="n">
        <v>1.41</v>
      </c>
      <c r="C14" s="10" t="n">
        <v>1.22</v>
      </c>
      <c r="D14" s="10" t="n">
        <v>0.91</v>
      </c>
      <c r="E14" s="10" t="n">
        <v>0.32</v>
      </c>
      <c r="F14" s="10" t="n">
        <v>1.39</v>
      </c>
      <c r="G14" s="10" t="n">
        <v>1.13</v>
      </c>
      <c r="H14" s="10" t="n">
        <v>0.87</v>
      </c>
    </row>
    <row r="15" customFormat="false" ht="15" hidden="false" customHeight="false" outlineLevel="0" collapsed="false">
      <c r="A15" s="4" t="s">
        <v>77</v>
      </c>
      <c r="B15" s="11" t="n">
        <v>1.24</v>
      </c>
      <c r="C15" s="11" t="n">
        <v>1.22</v>
      </c>
      <c r="D15" s="11" t="n">
        <v>1.08</v>
      </c>
      <c r="E15" s="11" t="n">
        <v>0.32</v>
      </c>
      <c r="F15" s="11" t="n">
        <v>1.39</v>
      </c>
      <c r="G15" s="11" t="n">
        <v>1.13</v>
      </c>
      <c r="H15" s="11" t="n">
        <v>0.87</v>
      </c>
    </row>
    <row r="17" customFormat="false" ht="15" hidden="false" customHeight="false" outlineLevel="0" collapsed="false">
      <c r="A17" s="12" t="s">
        <v>78</v>
      </c>
    </row>
    <row r="18" customFormat="false" ht="15" hidden="false" customHeight="false" outlineLevel="0" collapsed="false">
      <c r="A18" s="12" t="s">
        <v>79</v>
      </c>
    </row>
    <row r="19" customFormat="false" ht="15" hidden="false" customHeight="false" outlineLevel="0" collapsed="false">
      <c r="A19" s="12" t="s">
        <v>80</v>
      </c>
    </row>
    <row r="20" customFormat="false" ht="15" hidden="false" customHeight="false" outlineLevel="0" collapsed="false">
      <c r="A20" s="1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0"/>
  </cols>
  <sheetData>
    <row r="1" customFormat="false" ht="16.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2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94</v>
      </c>
      <c r="M4" s="3" t="s">
        <v>95</v>
      </c>
    </row>
    <row r="5" customFormat="false" ht="15" hidden="false" customHeight="false" outlineLevel="0" collapsed="false">
      <c r="A5" s="4" t="s">
        <v>6</v>
      </c>
      <c r="B5" s="8" t="n">
        <v>65</v>
      </c>
      <c r="C5" s="8" t="n">
        <v>53</v>
      </c>
      <c r="D5" s="8" t="n">
        <v>74</v>
      </c>
      <c r="E5" s="8" t="n">
        <v>49</v>
      </c>
      <c r="F5" s="8" t="n">
        <v>81</v>
      </c>
      <c r="G5" s="8" t="n">
        <v>48</v>
      </c>
      <c r="H5" s="8" t="n">
        <v>65</v>
      </c>
      <c r="I5" s="8" t="n">
        <v>93</v>
      </c>
      <c r="J5" s="8" t="n">
        <v>131</v>
      </c>
      <c r="K5" s="8" t="n">
        <v>56</v>
      </c>
      <c r="L5" s="8" t="n">
        <v>113</v>
      </c>
      <c r="M5" s="8" t="n">
        <v>89</v>
      </c>
    </row>
    <row r="6" customFormat="false" ht="15" hidden="false" customHeight="false" outlineLevel="0" collapsed="false">
      <c r="A6" s="4" t="s">
        <v>10</v>
      </c>
      <c r="B6" s="8" t="n">
        <v>83</v>
      </c>
      <c r="C6" s="8" t="n">
        <v>88</v>
      </c>
      <c r="D6" s="8" t="n">
        <v>86</v>
      </c>
      <c r="E6" s="8" t="n">
        <v>41</v>
      </c>
      <c r="F6" s="8" t="n">
        <v>89</v>
      </c>
      <c r="G6" s="8" t="n">
        <v>45</v>
      </c>
      <c r="H6" s="8" t="n">
        <v>0</v>
      </c>
      <c r="I6" s="8" t="n">
        <v>39</v>
      </c>
      <c r="J6" s="8" t="n">
        <v>61</v>
      </c>
      <c r="K6" s="8" t="n">
        <v>14</v>
      </c>
      <c r="L6" s="8" t="n">
        <v>15</v>
      </c>
      <c r="M6" s="8" t="n">
        <v>25</v>
      </c>
    </row>
    <row r="7" customFormat="false" ht="15" hidden="false" customHeight="false" outlineLevel="0" collapsed="false">
      <c r="A7" s="4" t="s">
        <v>25</v>
      </c>
      <c r="B7" s="8" t="n">
        <v>22</v>
      </c>
      <c r="C7" s="8" t="n">
        <v>10</v>
      </c>
      <c r="D7" s="8" t="n">
        <v>20</v>
      </c>
      <c r="E7" s="8" t="n">
        <v>27</v>
      </c>
      <c r="F7" s="8" t="n">
        <v>35</v>
      </c>
      <c r="G7" s="8" t="n">
        <v>40</v>
      </c>
      <c r="H7" s="8" t="n">
        <v>66</v>
      </c>
      <c r="I7" s="8" t="n">
        <v>47</v>
      </c>
      <c r="J7" s="8" t="n">
        <v>12</v>
      </c>
      <c r="K7" s="8" t="n">
        <v>51</v>
      </c>
      <c r="L7" s="8" t="n">
        <v>0</v>
      </c>
      <c r="M7" s="8" t="n">
        <v>96</v>
      </c>
    </row>
    <row r="8" customFormat="false" ht="15" hidden="false" customHeight="false" outlineLevel="0" collapsed="false">
      <c r="A8" s="4" t="s">
        <v>21</v>
      </c>
      <c r="B8" s="8" t="n">
        <v>24</v>
      </c>
      <c r="C8" s="8" t="n">
        <v>32</v>
      </c>
      <c r="D8" s="8" t="n">
        <v>19</v>
      </c>
      <c r="E8" s="8" t="n">
        <v>33</v>
      </c>
      <c r="F8" s="8" t="n">
        <v>77</v>
      </c>
      <c r="G8" s="8" t="n">
        <v>43</v>
      </c>
      <c r="H8" s="8" t="n">
        <v>29</v>
      </c>
      <c r="I8" s="8" t="n">
        <v>46</v>
      </c>
      <c r="J8" s="8" t="n">
        <v>101</v>
      </c>
      <c r="K8" s="8" t="n">
        <v>103</v>
      </c>
      <c r="L8" s="8" t="n">
        <v>127</v>
      </c>
      <c r="M8" s="8" t="n">
        <v>80</v>
      </c>
    </row>
    <row r="9" customFormat="false" ht="15" hidden="false" customHeight="false" outlineLevel="0" collapsed="false">
      <c r="A9" s="4" t="s">
        <v>18</v>
      </c>
      <c r="B9" s="8" t="n">
        <v>0</v>
      </c>
      <c r="C9" s="8" t="n">
        <v>0</v>
      </c>
      <c r="D9" s="8" t="n">
        <v>0</v>
      </c>
      <c r="E9" s="8" t="n">
        <v>2</v>
      </c>
      <c r="F9" s="8" t="n">
        <v>15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104</v>
      </c>
    </row>
    <row r="10" customFormat="false" ht="15" hidden="false" customHeight="false" outlineLevel="0" collapsed="false">
      <c r="A10" s="4" t="s">
        <v>28</v>
      </c>
      <c r="B10" s="8" t="n">
        <v>20</v>
      </c>
      <c r="C10" s="8" t="n">
        <v>1</v>
      </c>
      <c r="D10" s="8" t="n">
        <v>66</v>
      </c>
      <c r="E10" s="8" t="n">
        <v>49</v>
      </c>
      <c r="F10" s="8" t="n">
        <v>79</v>
      </c>
      <c r="G10" s="8" t="n">
        <v>35</v>
      </c>
      <c r="H10" s="8" t="n">
        <v>95</v>
      </c>
      <c r="I10" s="8" t="n">
        <v>37</v>
      </c>
      <c r="J10" s="8" t="n">
        <v>26</v>
      </c>
      <c r="K10" s="8" t="n">
        <v>63</v>
      </c>
      <c r="L10" s="8" t="n">
        <v>49</v>
      </c>
      <c r="M10" s="8" t="n">
        <v>34</v>
      </c>
    </row>
    <row r="11" customFormat="false" ht="15" hidden="false" customHeight="false" outlineLevel="0" collapsed="false">
      <c r="A11" s="4" t="s">
        <v>14</v>
      </c>
      <c r="B11" s="8" t="n">
        <v>47</v>
      </c>
      <c r="C11" s="8" t="n">
        <v>15</v>
      </c>
      <c r="D11" s="8" t="n">
        <v>36</v>
      </c>
      <c r="E11" s="8" t="n">
        <v>23</v>
      </c>
      <c r="F11" s="8" t="n">
        <v>0</v>
      </c>
      <c r="G11" s="8" t="n">
        <v>0</v>
      </c>
      <c r="H11" s="8" t="n">
        <v>108</v>
      </c>
      <c r="I11" s="8" t="n">
        <v>77</v>
      </c>
      <c r="J11" s="8" t="n">
        <v>183</v>
      </c>
      <c r="K11" s="8" t="n">
        <v>112</v>
      </c>
      <c r="L11" s="8" t="n">
        <v>145</v>
      </c>
      <c r="M11" s="8" t="n">
        <v>6</v>
      </c>
    </row>
    <row r="12" customFormat="false" ht="15" hidden="false" customHeight="false" outlineLevel="0" collapsed="false">
      <c r="A12" s="4" t="s">
        <v>96</v>
      </c>
      <c r="B12" s="14" t="n">
        <f aca="false">SUM(B5:B11)</f>
        <v>261</v>
      </c>
      <c r="C12" s="14" t="n">
        <f aca="false">SUM(C5:C11)</f>
        <v>199</v>
      </c>
      <c r="D12" s="14" t="n">
        <f aca="false">SUM(D5:D11)</f>
        <v>301</v>
      </c>
      <c r="E12" s="14" t="n">
        <f aca="false">SUM(E5:E11)</f>
        <v>224</v>
      </c>
      <c r="F12" s="14" t="n">
        <f aca="false">SUM(F5:F11)</f>
        <v>376</v>
      </c>
      <c r="G12" s="14" t="n">
        <f aca="false">SUM(G5:G11)</f>
        <v>211</v>
      </c>
      <c r="H12" s="14" t="n">
        <f aca="false">SUM(H5:H11)</f>
        <v>363</v>
      </c>
      <c r="I12" s="14" t="n">
        <f aca="false">SUM(I5:I11)</f>
        <v>339</v>
      </c>
      <c r="J12" s="14" t="n">
        <f aca="false">SUM(J5:J11)</f>
        <v>514</v>
      </c>
      <c r="K12" s="14" t="n">
        <f aca="false">SUM(K5:K11)</f>
        <v>399</v>
      </c>
      <c r="L12" s="14" t="n">
        <f aca="false">SUM(L5:L11)</f>
        <v>449</v>
      </c>
      <c r="M12" s="14" t="n">
        <f aca="false">SUM(M5:M11)</f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8" min="4" style="0" width="11"/>
  </cols>
  <sheetData>
    <row r="1" customFormat="false" ht="46.25" hidden="false" customHeight="false" outlineLevel="0" collapsed="false">
      <c r="A1" s="3" t="s">
        <v>2</v>
      </c>
      <c r="B1" s="3" t="s">
        <v>97</v>
      </c>
      <c r="C1" s="3" t="s">
        <v>98</v>
      </c>
      <c r="D1" s="3" t="s">
        <v>99</v>
      </c>
      <c r="E1" s="3" t="s">
        <v>33</v>
      </c>
      <c r="F1" s="3" t="s">
        <v>100</v>
      </c>
      <c r="G1" s="3" t="s">
        <v>101</v>
      </c>
      <c r="H1" s="3" t="s">
        <v>5</v>
      </c>
    </row>
    <row r="2" customFormat="false" ht="15" hidden="false" customHeight="false" outlineLevel="0" collapsed="false">
      <c r="A2" s="15" t="s">
        <v>102</v>
      </c>
      <c r="B2" s="15" t="s">
        <v>103</v>
      </c>
      <c r="C2" s="15" t="s">
        <v>104</v>
      </c>
      <c r="D2" s="16" t="n">
        <v>1581</v>
      </c>
      <c r="E2" s="16" t="n">
        <v>8</v>
      </c>
      <c r="F2" s="16" t="n">
        <v>14044</v>
      </c>
      <c r="G2" s="16" t="n">
        <v>53</v>
      </c>
      <c r="H2" s="15"/>
    </row>
    <row r="3" customFormat="false" ht="15" hidden="false" customHeight="false" outlineLevel="0" collapsed="false">
      <c r="A3" s="15" t="s">
        <v>102</v>
      </c>
      <c r="B3" s="15" t="s">
        <v>103</v>
      </c>
      <c r="C3" s="15" t="s">
        <v>105</v>
      </c>
      <c r="D3" s="16" t="n">
        <v>345</v>
      </c>
      <c r="E3" s="16" t="n">
        <v>5</v>
      </c>
      <c r="F3" s="16" t="n">
        <v>12127</v>
      </c>
      <c r="G3" s="16" t="n">
        <v>11</v>
      </c>
      <c r="H3" s="15"/>
    </row>
    <row r="4" customFormat="false" ht="15" hidden="false" customHeight="false" outlineLevel="0" collapsed="false">
      <c r="A4" s="15" t="s">
        <v>102</v>
      </c>
      <c r="B4" s="15" t="s">
        <v>106</v>
      </c>
      <c r="C4" s="15" t="s">
        <v>104</v>
      </c>
      <c r="D4" s="16" t="n">
        <v>400</v>
      </c>
      <c r="E4" s="16" t="n">
        <v>2</v>
      </c>
      <c r="F4" s="16" t="n">
        <v>18205</v>
      </c>
      <c r="G4" s="16" t="n">
        <v>7</v>
      </c>
      <c r="H4" s="15"/>
    </row>
    <row r="5" customFormat="false" ht="15" hidden="false" customHeight="false" outlineLevel="0" collapsed="false">
      <c r="A5" s="15" t="s">
        <v>102</v>
      </c>
      <c r="B5" s="15" t="s">
        <v>107</v>
      </c>
      <c r="C5" s="15" t="s">
        <v>104</v>
      </c>
      <c r="D5" s="16" t="n">
        <v>3679</v>
      </c>
      <c r="E5" s="16" t="n">
        <v>14</v>
      </c>
      <c r="F5" s="16" t="n">
        <v>12050</v>
      </c>
      <c r="G5" s="16" t="n">
        <v>100</v>
      </c>
      <c r="H5" s="15"/>
    </row>
    <row r="6" customFormat="false" ht="15" hidden="false" customHeight="false" outlineLevel="0" collapsed="false">
      <c r="A6" s="15" t="s">
        <v>102</v>
      </c>
      <c r="B6" s="15" t="s">
        <v>107</v>
      </c>
      <c r="C6" s="15" t="s">
        <v>105</v>
      </c>
      <c r="D6" s="16" t="n">
        <v>250</v>
      </c>
      <c r="E6" s="16" t="n">
        <v>2</v>
      </c>
      <c r="F6" s="16" t="n">
        <v>11428</v>
      </c>
      <c r="G6" s="16" t="n">
        <v>7</v>
      </c>
      <c r="H6" s="15"/>
    </row>
    <row r="7" customFormat="false" ht="15" hidden="false" customHeight="false" outlineLevel="0" collapsed="false">
      <c r="A7" s="15" t="s">
        <v>102</v>
      </c>
      <c r="B7" s="15" t="s">
        <v>108</v>
      </c>
      <c r="C7" s="15" t="s">
        <v>109</v>
      </c>
      <c r="D7" s="16" t="n">
        <v>2888</v>
      </c>
      <c r="E7" s="16" t="n">
        <v>5</v>
      </c>
      <c r="F7" s="16" t="n">
        <v>6212</v>
      </c>
      <c r="G7" s="16" t="n">
        <v>45</v>
      </c>
      <c r="H7" s="15"/>
    </row>
    <row r="8" customFormat="false" ht="15" hidden="false" customHeight="false" outlineLevel="0" collapsed="false">
      <c r="A8" s="15" t="s">
        <v>102</v>
      </c>
      <c r="B8" s="15" t="s">
        <v>108</v>
      </c>
      <c r="C8" s="15" t="s">
        <v>104</v>
      </c>
      <c r="D8" s="16" t="n">
        <v>3831</v>
      </c>
      <c r="E8" s="16" t="n">
        <v>14</v>
      </c>
      <c r="F8" s="16" t="n">
        <v>9149</v>
      </c>
      <c r="G8" s="16" t="n">
        <v>98</v>
      </c>
      <c r="H8" s="15"/>
    </row>
    <row r="9" customFormat="false" ht="15" hidden="false" customHeight="false" outlineLevel="0" collapsed="false">
      <c r="A9" s="15" t="s">
        <v>102</v>
      </c>
      <c r="B9" s="15" t="s">
        <v>110</v>
      </c>
      <c r="C9" s="15" t="s">
        <v>111</v>
      </c>
      <c r="D9" s="16" t="n">
        <v>355</v>
      </c>
      <c r="E9" s="16" t="n">
        <v>3</v>
      </c>
      <c r="F9" s="16" t="n">
        <v>6149</v>
      </c>
      <c r="G9" s="16" t="n">
        <v>11</v>
      </c>
      <c r="H9" s="15"/>
    </row>
    <row r="10" customFormat="false" ht="15" hidden="false" customHeight="false" outlineLevel="0" collapsed="false">
      <c r="A10" s="15" t="s">
        <v>102</v>
      </c>
      <c r="B10" s="15" t="s">
        <v>110</v>
      </c>
      <c r="C10" s="15" t="s">
        <v>112</v>
      </c>
      <c r="D10" s="16" t="n">
        <v>2596</v>
      </c>
      <c r="E10" s="16" t="n">
        <v>7</v>
      </c>
      <c r="F10" s="16" t="n">
        <v>5800</v>
      </c>
      <c r="G10" s="16" t="n">
        <v>40</v>
      </c>
      <c r="H10" s="15"/>
    </row>
    <row r="11" customFormat="false" ht="15" hidden="false" customHeight="false" outlineLevel="0" collapsed="false">
      <c r="A11" s="15" t="s">
        <v>102</v>
      </c>
      <c r="B11" s="15" t="s">
        <v>110</v>
      </c>
      <c r="C11" s="15" t="s">
        <v>113</v>
      </c>
      <c r="D11" s="16" t="n">
        <v>34077</v>
      </c>
      <c r="E11" s="16" t="n">
        <v>11</v>
      </c>
      <c r="F11" s="16" t="n">
        <v>4182</v>
      </c>
      <c r="G11" s="16" t="n">
        <v>231</v>
      </c>
      <c r="H11" s="15"/>
    </row>
    <row r="12" customFormat="false" ht="15" hidden="false" customHeight="false" outlineLevel="0" collapsed="false">
      <c r="A12" s="15" t="s">
        <v>102</v>
      </c>
      <c r="B12" s="15" t="s">
        <v>110</v>
      </c>
      <c r="C12" s="15" t="s">
        <v>104</v>
      </c>
      <c r="D12" s="16" t="n">
        <v>1469</v>
      </c>
      <c r="E12" s="16" t="n">
        <v>9</v>
      </c>
      <c r="F12" s="16" t="n">
        <v>12491</v>
      </c>
      <c r="G12" s="16" t="n">
        <v>60</v>
      </c>
      <c r="H12" s="15"/>
    </row>
    <row r="13" customFormat="false" ht="15" hidden="false" customHeight="false" outlineLevel="0" collapsed="false">
      <c r="A13" s="15" t="s">
        <v>102</v>
      </c>
      <c r="B13" s="15" t="s">
        <v>114</v>
      </c>
      <c r="C13" s="15" t="s">
        <v>109</v>
      </c>
      <c r="D13" s="16" t="n">
        <v>2888</v>
      </c>
      <c r="E13" s="16" t="n">
        <v>5</v>
      </c>
      <c r="F13" s="16" t="n">
        <v>6223</v>
      </c>
      <c r="G13" s="16" t="n">
        <v>43</v>
      </c>
      <c r="H13" s="15"/>
    </row>
    <row r="14" customFormat="false" ht="15" hidden="false" customHeight="false" outlineLevel="0" collapsed="false">
      <c r="A14" s="15" t="s">
        <v>102</v>
      </c>
      <c r="B14" s="15" t="s">
        <v>114</v>
      </c>
      <c r="C14" s="15" t="s">
        <v>104</v>
      </c>
      <c r="D14" s="16" t="n">
        <v>666</v>
      </c>
      <c r="E14" s="16" t="n">
        <v>4</v>
      </c>
      <c r="F14" s="16" t="n">
        <v>10460</v>
      </c>
      <c r="G14" s="16" t="n">
        <v>30</v>
      </c>
      <c r="H14" s="15"/>
    </row>
    <row r="15" customFormat="false" ht="15" hidden="false" customHeight="false" outlineLevel="0" collapsed="false">
      <c r="A15" s="15" t="s">
        <v>115</v>
      </c>
      <c r="B15" s="15" t="s">
        <v>103</v>
      </c>
      <c r="C15" s="15" t="s">
        <v>116</v>
      </c>
      <c r="D15" s="16" t="n">
        <v>278</v>
      </c>
      <c r="E15" s="16" t="n">
        <v>1</v>
      </c>
      <c r="F15" s="16" t="n">
        <v>19068</v>
      </c>
      <c r="G15" s="16" t="n">
        <v>8</v>
      </c>
      <c r="H15" s="15"/>
    </row>
    <row r="16" customFormat="false" ht="15" hidden="false" customHeight="false" outlineLevel="0" collapsed="false">
      <c r="A16" s="15" t="s">
        <v>115</v>
      </c>
      <c r="B16" s="15" t="s">
        <v>103</v>
      </c>
      <c r="C16" s="15" t="s">
        <v>117</v>
      </c>
      <c r="D16" s="16" t="n">
        <v>20226</v>
      </c>
      <c r="E16" s="16" t="n">
        <v>6</v>
      </c>
      <c r="F16" s="16" t="n">
        <v>5953</v>
      </c>
      <c r="G16" s="16" t="n">
        <v>179</v>
      </c>
      <c r="H16" s="15"/>
    </row>
    <row r="17" customFormat="false" ht="15" hidden="false" customHeight="false" outlineLevel="0" collapsed="false">
      <c r="A17" s="15" t="s">
        <v>115</v>
      </c>
      <c r="B17" s="15" t="s">
        <v>103</v>
      </c>
      <c r="C17" s="15" t="s">
        <v>118</v>
      </c>
      <c r="D17" s="16" t="n">
        <v>914</v>
      </c>
      <c r="E17" s="16" t="n">
        <v>3</v>
      </c>
      <c r="F17" s="16" t="n">
        <v>5925</v>
      </c>
      <c r="G17" s="16" t="n">
        <v>32</v>
      </c>
      <c r="H17" s="15"/>
    </row>
    <row r="18" customFormat="false" ht="15" hidden="false" customHeight="false" outlineLevel="0" collapsed="false">
      <c r="A18" s="15" t="s">
        <v>115</v>
      </c>
      <c r="B18" s="15" t="s">
        <v>106</v>
      </c>
      <c r="C18" s="15" t="s">
        <v>118</v>
      </c>
      <c r="D18" s="16" t="n">
        <v>548</v>
      </c>
      <c r="E18" s="16" t="n">
        <v>1</v>
      </c>
      <c r="F18" s="16" t="n">
        <v>4911</v>
      </c>
      <c r="G18" s="16" t="n">
        <v>7</v>
      </c>
      <c r="H18" s="15"/>
    </row>
    <row r="19" customFormat="false" ht="15" hidden="false" customHeight="false" outlineLevel="0" collapsed="false">
      <c r="A19" s="15" t="s">
        <v>115</v>
      </c>
      <c r="B19" s="15" t="s">
        <v>106</v>
      </c>
      <c r="C19" s="15" t="s">
        <v>119</v>
      </c>
      <c r="D19" s="16" t="n">
        <v>3782</v>
      </c>
      <c r="E19" s="16" t="n">
        <v>3</v>
      </c>
      <c r="F19" s="16" t="n">
        <v>4883</v>
      </c>
      <c r="G19" s="16" t="n">
        <v>33</v>
      </c>
      <c r="H19" s="15"/>
    </row>
    <row r="20" customFormat="false" ht="15" hidden="false" customHeight="false" outlineLevel="0" collapsed="false">
      <c r="A20" s="15" t="s">
        <v>115</v>
      </c>
      <c r="B20" s="15" t="s">
        <v>106</v>
      </c>
      <c r="C20" s="15" t="s">
        <v>120</v>
      </c>
      <c r="D20" s="16" t="n">
        <v>5400</v>
      </c>
      <c r="E20" s="16" t="n">
        <v>2</v>
      </c>
      <c r="F20" s="16" t="n">
        <v>7214</v>
      </c>
      <c r="G20" s="16" t="n">
        <v>59</v>
      </c>
      <c r="H20" s="15"/>
    </row>
    <row r="21" customFormat="false" ht="15" hidden="false" customHeight="false" outlineLevel="0" collapsed="false">
      <c r="A21" s="15" t="s">
        <v>115</v>
      </c>
      <c r="B21" s="15" t="s">
        <v>107</v>
      </c>
      <c r="C21" s="15" t="s">
        <v>120</v>
      </c>
      <c r="D21" s="16" t="n">
        <v>16154</v>
      </c>
      <c r="E21" s="16" t="n">
        <v>4</v>
      </c>
      <c r="F21" s="16" t="n">
        <v>5378</v>
      </c>
      <c r="G21" s="16" t="n">
        <v>117</v>
      </c>
      <c r="H21" s="15"/>
    </row>
    <row r="22" customFormat="false" ht="15" hidden="false" customHeight="false" outlineLevel="0" collapsed="false">
      <c r="A22" s="15" t="s">
        <v>115</v>
      </c>
      <c r="B22" s="15" t="s">
        <v>108</v>
      </c>
      <c r="C22" s="15" t="s">
        <v>116</v>
      </c>
      <c r="D22" s="16" t="n">
        <v>1050</v>
      </c>
      <c r="E22" s="16" t="n">
        <v>2</v>
      </c>
      <c r="F22" s="16" t="n">
        <v>6520</v>
      </c>
      <c r="G22" s="16" t="n">
        <v>39</v>
      </c>
      <c r="H22" s="15"/>
    </row>
    <row r="23" customFormat="false" ht="15" hidden="false" customHeight="false" outlineLevel="0" collapsed="false">
      <c r="A23" s="15" t="s">
        <v>115</v>
      </c>
      <c r="B23" s="15" t="s">
        <v>108</v>
      </c>
      <c r="C23" s="15" t="s">
        <v>121</v>
      </c>
      <c r="D23" s="16" t="n">
        <v>18185</v>
      </c>
      <c r="E23" s="16" t="n">
        <v>6</v>
      </c>
      <c r="F23" s="16" t="n">
        <v>5665</v>
      </c>
      <c r="G23" s="16" t="n">
        <v>265</v>
      </c>
      <c r="H23" s="15"/>
    </row>
    <row r="24" customFormat="false" ht="15" hidden="false" customHeight="false" outlineLevel="0" collapsed="false">
      <c r="A24" s="15" t="s">
        <v>115</v>
      </c>
      <c r="B24" s="15" t="s">
        <v>110</v>
      </c>
      <c r="C24" s="15" t="s">
        <v>116</v>
      </c>
      <c r="D24" s="16" t="n">
        <v>250</v>
      </c>
      <c r="E24" s="16" t="n">
        <v>2</v>
      </c>
      <c r="F24" s="16" t="n">
        <v>16534</v>
      </c>
      <c r="G24" s="16" t="n">
        <v>12</v>
      </c>
      <c r="H24" s="15"/>
    </row>
    <row r="25" customFormat="false" ht="15" hidden="false" customHeight="false" outlineLevel="0" collapsed="false">
      <c r="A25" s="15" t="s">
        <v>115</v>
      </c>
      <c r="B25" s="15" t="s">
        <v>110</v>
      </c>
      <c r="C25" s="15" t="s">
        <v>121</v>
      </c>
      <c r="D25" s="16" t="n">
        <v>12276</v>
      </c>
      <c r="E25" s="16" t="n">
        <v>15</v>
      </c>
      <c r="F25" s="16" t="n">
        <v>5959</v>
      </c>
      <c r="G25" s="16" t="n">
        <v>177</v>
      </c>
      <c r="H25" s="15"/>
    </row>
    <row r="26" customFormat="false" ht="15" hidden="false" customHeight="false" outlineLevel="0" collapsed="false">
      <c r="A26" s="15" t="s">
        <v>115</v>
      </c>
      <c r="B26" s="15" t="s">
        <v>114</v>
      </c>
      <c r="C26" s="15" t="s">
        <v>116</v>
      </c>
      <c r="D26" s="16" t="n">
        <v>821</v>
      </c>
      <c r="E26" s="16" t="n">
        <v>6</v>
      </c>
      <c r="F26" s="16" t="n">
        <v>4593</v>
      </c>
      <c r="G26" s="16" t="n">
        <v>17</v>
      </c>
      <c r="H26" s="15"/>
    </row>
    <row r="27" customFormat="false" ht="15" hidden="false" customHeight="false" outlineLevel="0" collapsed="false">
      <c r="A27" s="15" t="s">
        <v>115</v>
      </c>
      <c r="B27" s="15" t="s">
        <v>114</v>
      </c>
      <c r="C27" s="15" t="s">
        <v>121</v>
      </c>
      <c r="D27" s="16" t="n">
        <v>7355</v>
      </c>
      <c r="E27" s="16" t="n">
        <v>10</v>
      </c>
      <c r="F27" s="16" t="n">
        <v>6215</v>
      </c>
      <c r="G27" s="16" t="n">
        <v>91</v>
      </c>
      <c r="H27" s="15"/>
    </row>
    <row r="28" customFormat="false" ht="15" hidden="false" customHeight="false" outlineLevel="0" collapsed="false">
      <c r="A28" s="15" t="s">
        <v>6</v>
      </c>
      <c r="B28" s="15" t="s">
        <v>103</v>
      </c>
      <c r="C28" s="15" t="s">
        <v>122</v>
      </c>
      <c r="D28" s="16" t="n">
        <v>9350</v>
      </c>
      <c r="E28" s="16" t="n">
        <v>18</v>
      </c>
      <c r="F28" s="16" t="n">
        <v>4915</v>
      </c>
      <c r="G28" s="16" t="n">
        <v>109</v>
      </c>
      <c r="H28" s="15"/>
    </row>
    <row r="29" customFormat="false" ht="15" hidden="false" customHeight="false" outlineLevel="0" collapsed="false">
      <c r="A29" s="15" t="s">
        <v>6</v>
      </c>
      <c r="B29" s="15" t="s">
        <v>103</v>
      </c>
      <c r="C29" s="15" t="s">
        <v>123</v>
      </c>
      <c r="D29" s="16" t="n">
        <v>8892</v>
      </c>
      <c r="E29" s="16" t="n">
        <v>13</v>
      </c>
      <c r="F29" s="16" t="n">
        <v>8929</v>
      </c>
      <c r="G29" s="16" t="n">
        <v>151</v>
      </c>
      <c r="H29" s="15"/>
    </row>
    <row r="30" customFormat="false" ht="15" hidden="false" customHeight="false" outlineLevel="0" collapsed="false">
      <c r="A30" s="15" t="s">
        <v>6</v>
      </c>
      <c r="B30" s="15" t="s">
        <v>103</v>
      </c>
      <c r="C30" s="15" t="s">
        <v>124</v>
      </c>
      <c r="D30" s="16" t="n">
        <v>1608</v>
      </c>
      <c r="E30" s="16" t="n">
        <v>14</v>
      </c>
      <c r="F30" s="16" t="n">
        <v>7919</v>
      </c>
      <c r="G30" s="16" t="n">
        <v>41</v>
      </c>
      <c r="H30" s="15"/>
    </row>
    <row r="31" customFormat="false" ht="15" hidden="false" customHeight="false" outlineLevel="0" collapsed="false">
      <c r="A31" s="15" t="s">
        <v>6</v>
      </c>
      <c r="B31" s="15" t="s">
        <v>103</v>
      </c>
      <c r="C31" s="15" t="s">
        <v>125</v>
      </c>
      <c r="D31" s="16" t="n">
        <v>2000</v>
      </c>
      <c r="E31" s="16" t="n">
        <v>1</v>
      </c>
      <c r="F31" s="16" t="n">
        <v>4836</v>
      </c>
      <c r="G31" s="16" t="n">
        <v>13</v>
      </c>
      <c r="H31" s="15"/>
    </row>
    <row r="32" customFormat="false" ht="15" hidden="false" customHeight="false" outlineLevel="0" collapsed="false">
      <c r="A32" s="15" t="s">
        <v>6</v>
      </c>
      <c r="B32" s="15" t="s">
        <v>103</v>
      </c>
      <c r="C32" s="15" t="s">
        <v>126</v>
      </c>
      <c r="D32" s="16" t="n">
        <v>50717</v>
      </c>
      <c r="E32" s="16" t="n">
        <v>8</v>
      </c>
      <c r="F32" s="16" t="n">
        <v>7698</v>
      </c>
      <c r="G32" s="16" t="n">
        <v>546</v>
      </c>
      <c r="H32" s="15"/>
    </row>
    <row r="33" customFormat="false" ht="15" hidden="false" customHeight="false" outlineLevel="0" collapsed="false">
      <c r="A33" s="15" t="s">
        <v>6</v>
      </c>
      <c r="B33" s="15" t="s">
        <v>106</v>
      </c>
      <c r="C33" s="15" t="s">
        <v>122</v>
      </c>
      <c r="D33" s="16" t="n">
        <v>21965</v>
      </c>
      <c r="E33" s="16" t="n">
        <v>19</v>
      </c>
      <c r="F33" s="16" t="n">
        <v>4604</v>
      </c>
      <c r="G33" s="16" t="n">
        <v>169</v>
      </c>
      <c r="H33" s="15"/>
    </row>
    <row r="34" customFormat="false" ht="15" hidden="false" customHeight="false" outlineLevel="0" collapsed="false">
      <c r="A34" s="15" t="s">
        <v>6</v>
      </c>
      <c r="B34" s="15" t="s">
        <v>106</v>
      </c>
      <c r="C34" s="15" t="s">
        <v>123</v>
      </c>
      <c r="D34" s="16" t="n">
        <v>11214</v>
      </c>
      <c r="E34" s="16" t="n">
        <v>19</v>
      </c>
      <c r="F34" s="16" t="n">
        <v>8221</v>
      </c>
      <c r="G34" s="16" t="n">
        <v>177</v>
      </c>
      <c r="H34" s="15"/>
    </row>
    <row r="35" customFormat="false" ht="15" hidden="false" customHeight="false" outlineLevel="0" collapsed="false">
      <c r="A35" s="15" t="s">
        <v>6</v>
      </c>
      <c r="B35" s="15" t="s">
        <v>106</v>
      </c>
      <c r="C35" s="15" t="s">
        <v>124</v>
      </c>
      <c r="D35" s="16" t="n">
        <v>5815</v>
      </c>
      <c r="E35" s="16" t="n">
        <v>19</v>
      </c>
      <c r="F35" s="16" t="n">
        <v>5040</v>
      </c>
      <c r="G35" s="16" t="n">
        <v>111</v>
      </c>
      <c r="H35" s="15"/>
    </row>
    <row r="36" customFormat="false" ht="15" hidden="false" customHeight="false" outlineLevel="0" collapsed="false">
      <c r="A36" s="15" t="s">
        <v>6</v>
      </c>
      <c r="B36" s="15" t="s">
        <v>106</v>
      </c>
      <c r="C36" s="15" t="s">
        <v>125</v>
      </c>
      <c r="D36" s="16" t="n">
        <v>2000</v>
      </c>
      <c r="E36" s="16" t="n">
        <v>1</v>
      </c>
      <c r="F36" s="16" t="n">
        <v>4836</v>
      </c>
      <c r="G36" s="16" t="n">
        <v>16</v>
      </c>
      <c r="H36" s="15"/>
    </row>
    <row r="37" customFormat="false" ht="15" hidden="false" customHeight="false" outlineLevel="0" collapsed="false">
      <c r="A37" s="15" t="s">
        <v>6</v>
      </c>
      <c r="B37" s="15" t="s">
        <v>107</v>
      </c>
      <c r="C37" s="15" t="s">
        <v>126</v>
      </c>
      <c r="D37" s="16" t="n">
        <v>10763</v>
      </c>
      <c r="E37" s="16" t="n">
        <v>4</v>
      </c>
      <c r="F37" s="16" t="n">
        <v>6304</v>
      </c>
      <c r="G37" s="16" t="n">
        <v>100</v>
      </c>
      <c r="H37" s="15"/>
    </row>
    <row r="38" customFormat="false" ht="15" hidden="false" customHeight="false" outlineLevel="0" collapsed="false">
      <c r="A38" s="15" t="s">
        <v>6</v>
      </c>
      <c r="B38" s="15" t="s">
        <v>107</v>
      </c>
      <c r="C38" s="15" t="s">
        <v>125</v>
      </c>
      <c r="D38" s="16" t="n">
        <v>9108</v>
      </c>
      <c r="E38" s="16" t="n">
        <v>15</v>
      </c>
      <c r="F38" s="16" t="n">
        <v>11736</v>
      </c>
      <c r="G38" s="16" t="n">
        <v>169</v>
      </c>
      <c r="H38" s="15"/>
    </row>
    <row r="39" customFormat="false" ht="15" hidden="false" customHeight="false" outlineLevel="0" collapsed="false">
      <c r="A39" s="15" t="s">
        <v>6</v>
      </c>
      <c r="B39" s="15" t="s">
        <v>108</v>
      </c>
      <c r="C39" s="15" t="s">
        <v>125</v>
      </c>
      <c r="D39" s="16" t="n">
        <v>9120</v>
      </c>
      <c r="E39" s="16" t="n">
        <v>8</v>
      </c>
      <c r="F39" s="16" t="n">
        <v>8636</v>
      </c>
      <c r="G39" s="16" t="n">
        <v>226</v>
      </c>
      <c r="H39" s="15"/>
    </row>
    <row r="40" customFormat="false" ht="15" hidden="false" customHeight="false" outlineLevel="0" collapsed="false">
      <c r="A40" s="15" t="s">
        <v>6</v>
      </c>
      <c r="B40" s="15" t="s">
        <v>110</v>
      </c>
      <c r="C40" s="15" t="s">
        <v>123</v>
      </c>
      <c r="D40" s="16" t="n">
        <v>13557</v>
      </c>
      <c r="E40" s="16" t="n">
        <v>30</v>
      </c>
      <c r="F40" s="16" t="n">
        <v>10653</v>
      </c>
      <c r="G40" s="16" t="n">
        <v>258</v>
      </c>
      <c r="H40" s="15"/>
    </row>
    <row r="41" customFormat="false" ht="15" hidden="false" customHeight="false" outlineLevel="0" collapsed="false">
      <c r="A41" s="15" t="s">
        <v>6</v>
      </c>
      <c r="B41" s="15" t="s">
        <v>110</v>
      </c>
      <c r="C41" s="15" t="s">
        <v>126</v>
      </c>
      <c r="D41" s="16" t="n">
        <v>30496</v>
      </c>
      <c r="E41" s="16" t="n">
        <v>8</v>
      </c>
      <c r="F41" s="16" t="n">
        <v>7572</v>
      </c>
      <c r="G41" s="16" t="n">
        <v>306</v>
      </c>
      <c r="H41" s="15"/>
    </row>
    <row r="42" customFormat="false" ht="15" hidden="false" customHeight="false" outlineLevel="0" collapsed="false">
      <c r="A42" s="15" t="s">
        <v>6</v>
      </c>
      <c r="B42" s="15" t="s">
        <v>114</v>
      </c>
      <c r="C42" s="15" t="s">
        <v>123</v>
      </c>
      <c r="D42" s="16" t="n">
        <v>7227</v>
      </c>
      <c r="E42" s="16" t="n">
        <v>21</v>
      </c>
      <c r="F42" s="16" t="n">
        <v>8693</v>
      </c>
      <c r="G42" s="16" t="n">
        <v>160</v>
      </c>
      <c r="H42" s="15"/>
    </row>
    <row r="43" customFormat="false" ht="15" hidden="false" customHeight="false" outlineLevel="0" collapsed="false">
      <c r="A43" s="15" t="s">
        <v>6</v>
      </c>
      <c r="B43" s="15" t="s">
        <v>114</v>
      </c>
      <c r="C43" s="15" t="s">
        <v>125</v>
      </c>
      <c r="D43" s="16" t="n">
        <v>1701</v>
      </c>
      <c r="E43" s="16" t="n">
        <v>1</v>
      </c>
      <c r="F43" s="16" t="n">
        <v>4094</v>
      </c>
      <c r="G43" s="16" t="n">
        <v>13</v>
      </c>
      <c r="H43" s="15"/>
    </row>
    <row r="44" customFormat="false" ht="15" hidden="false" customHeight="false" outlineLevel="0" collapsed="false">
      <c r="A44" s="15" t="s">
        <v>6</v>
      </c>
      <c r="B44" s="15" t="s">
        <v>127</v>
      </c>
      <c r="C44" s="15" t="s">
        <v>113</v>
      </c>
      <c r="D44" s="16" t="n">
        <v>16804</v>
      </c>
      <c r="E44" s="16" t="n">
        <v>13</v>
      </c>
      <c r="F44" s="16" t="n">
        <v>5509</v>
      </c>
      <c r="G44" s="16" t="n">
        <v>163</v>
      </c>
      <c r="H44" s="15"/>
    </row>
    <row r="45" customFormat="false" ht="15" hidden="false" customHeight="false" outlineLevel="0" collapsed="false">
      <c r="A45" s="15" t="s">
        <v>6</v>
      </c>
      <c r="B45" s="15" t="s">
        <v>127</v>
      </c>
      <c r="C45" s="15" t="s">
        <v>122</v>
      </c>
      <c r="D45" s="16" t="n">
        <v>12067</v>
      </c>
      <c r="E45" s="16" t="n">
        <v>6</v>
      </c>
      <c r="F45" s="16" t="n">
        <v>11194</v>
      </c>
      <c r="G45" s="16" t="n">
        <v>53</v>
      </c>
      <c r="H45" s="15"/>
    </row>
    <row r="46" customFormat="false" ht="15" hidden="false" customHeight="false" outlineLevel="0" collapsed="false">
      <c r="A46" s="15" t="s">
        <v>6</v>
      </c>
      <c r="B46" s="15" t="s">
        <v>127</v>
      </c>
      <c r="C46" s="15" t="s">
        <v>112</v>
      </c>
      <c r="D46" s="16" t="n">
        <v>329</v>
      </c>
      <c r="E46" s="16" t="n">
        <v>1</v>
      </c>
      <c r="F46" s="16" t="n">
        <v>5259</v>
      </c>
      <c r="G46" s="16" t="n">
        <v>5</v>
      </c>
      <c r="H46" s="15"/>
    </row>
    <row r="47" customFormat="false" ht="15" hidden="false" customHeight="false" outlineLevel="0" collapsed="false">
      <c r="A47" s="15" t="s">
        <v>6</v>
      </c>
      <c r="B47" s="15" t="s">
        <v>127</v>
      </c>
      <c r="C47" s="15" t="s">
        <v>123</v>
      </c>
      <c r="D47" s="16" t="n">
        <v>20674</v>
      </c>
      <c r="E47" s="16" t="n">
        <v>31</v>
      </c>
      <c r="F47" s="16" t="n">
        <v>9933</v>
      </c>
      <c r="G47" s="16" t="n">
        <v>373</v>
      </c>
      <c r="H47" s="15"/>
    </row>
    <row r="48" customFormat="false" ht="15" hidden="false" customHeight="false" outlineLevel="0" collapsed="false">
      <c r="A48" s="15" t="s">
        <v>6</v>
      </c>
      <c r="B48" s="15" t="s">
        <v>127</v>
      </c>
      <c r="C48" s="15" t="s">
        <v>126</v>
      </c>
      <c r="D48" s="16" t="n">
        <v>6003</v>
      </c>
      <c r="E48" s="16" t="n">
        <v>5</v>
      </c>
      <c r="F48" s="16" t="n">
        <v>7363</v>
      </c>
      <c r="G48" s="16" t="n">
        <v>69</v>
      </c>
      <c r="H48" s="15"/>
    </row>
    <row r="49" customFormat="false" ht="15" hidden="false" customHeight="false" outlineLevel="0" collapsed="false">
      <c r="A49" s="15" t="s">
        <v>6</v>
      </c>
      <c r="B49" s="15" t="s">
        <v>127</v>
      </c>
      <c r="C49" s="15" t="s">
        <v>116</v>
      </c>
      <c r="D49" s="16" t="n">
        <v>150</v>
      </c>
      <c r="E49" s="16" t="n">
        <v>1</v>
      </c>
      <c r="F49" s="16" t="n">
        <v>16131</v>
      </c>
      <c r="G49" s="16" t="n">
        <v>8</v>
      </c>
      <c r="H49" s="15"/>
    </row>
    <row r="50" customFormat="false" ht="15" hidden="false" customHeight="false" outlineLevel="0" collapsed="false">
      <c r="A50" s="15" t="s">
        <v>6</v>
      </c>
      <c r="B50" s="15" t="s">
        <v>128</v>
      </c>
      <c r="C50" s="15" t="s">
        <v>122</v>
      </c>
      <c r="D50" s="16" t="n">
        <v>21124</v>
      </c>
      <c r="E50" s="16" t="n">
        <v>20</v>
      </c>
      <c r="F50" s="16" t="n">
        <v>7784</v>
      </c>
      <c r="G50" s="16" t="n">
        <v>183</v>
      </c>
      <c r="H50" s="15"/>
    </row>
    <row r="51" customFormat="false" ht="15" hidden="false" customHeight="false" outlineLevel="0" collapsed="false">
      <c r="A51" s="15" t="s">
        <v>6</v>
      </c>
      <c r="B51" s="15" t="s">
        <v>128</v>
      </c>
      <c r="C51" s="15" t="s">
        <v>113</v>
      </c>
      <c r="D51" s="16" t="n">
        <v>5199</v>
      </c>
      <c r="E51" s="16" t="n">
        <v>9</v>
      </c>
      <c r="F51" s="16" t="n">
        <v>5778</v>
      </c>
      <c r="G51" s="16" t="n">
        <v>69</v>
      </c>
      <c r="H51" s="15"/>
    </row>
    <row r="52" customFormat="false" ht="15" hidden="false" customHeight="false" outlineLevel="0" collapsed="false">
      <c r="A52" s="15" t="s">
        <v>6</v>
      </c>
      <c r="B52" s="15" t="s">
        <v>128</v>
      </c>
      <c r="C52" s="15" t="s">
        <v>123</v>
      </c>
      <c r="D52" s="16" t="n">
        <v>14544</v>
      </c>
      <c r="E52" s="16" t="n">
        <v>20</v>
      </c>
      <c r="F52" s="16" t="n">
        <v>8623</v>
      </c>
      <c r="G52" s="16" t="n">
        <v>235</v>
      </c>
      <c r="H52" s="15"/>
    </row>
    <row r="53" customFormat="false" ht="15" hidden="false" customHeight="false" outlineLevel="0" collapsed="false">
      <c r="A53" s="15" t="s">
        <v>6</v>
      </c>
      <c r="B53" s="15" t="s">
        <v>128</v>
      </c>
      <c r="C53" s="15" t="s">
        <v>125</v>
      </c>
      <c r="D53" s="16" t="n">
        <v>15800</v>
      </c>
      <c r="E53" s="16" t="n">
        <v>2</v>
      </c>
      <c r="F53" s="16" t="n">
        <v>449</v>
      </c>
      <c r="G53" s="16" t="n">
        <v>7</v>
      </c>
      <c r="H53" s="15"/>
    </row>
    <row r="54" customFormat="false" ht="15" hidden="false" customHeight="false" outlineLevel="0" collapsed="false">
      <c r="A54" s="15" t="s">
        <v>6</v>
      </c>
      <c r="B54" s="15" t="s">
        <v>129</v>
      </c>
      <c r="C54" s="15" t="s">
        <v>122</v>
      </c>
      <c r="D54" s="16" t="n">
        <v>7795</v>
      </c>
      <c r="E54" s="16" t="n">
        <v>5</v>
      </c>
      <c r="F54" s="16" t="n">
        <v>10683</v>
      </c>
      <c r="G54" s="16" t="n">
        <v>68</v>
      </c>
      <c r="H54" s="15"/>
    </row>
    <row r="55" customFormat="false" ht="15" hidden="false" customHeight="false" outlineLevel="0" collapsed="false">
      <c r="A55" s="15" t="s">
        <v>6</v>
      </c>
      <c r="B55" s="15" t="s">
        <v>129</v>
      </c>
      <c r="C55" s="15" t="s">
        <v>123</v>
      </c>
      <c r="D55" s="16" t="n">
        <v>29328</v>
      </c>
      <c r="E55" s="16" t="n">
        <v>30</v>
      </c>
      <c r="F55" s="16" t="n">
        <v>10940</v>
      </c>
      <c r="G55" s="16" t="n">
        <v>434</v>
      </c>
      <c r="H55" s="15"/>
    </row>
    <row r="56" customFormat="false" ht="15" hidden="false" customHeight="false" outlineLevel="0" collapsed="false">
      <c r="A56" s="15" t="s">
        <v>6</v>
      </c>
      <c r="B56" s="15" t="s">
        <v>129</v>
      </c>
      <c r="C56" s="15" t="s">
        <v>126</v>
      </c>
      <c r="D56" s="16" t="n">
        <v>4882</v>
      </c>
      <c r="E56" s="16" t="n">
        <v>3</v>
      </c>
      <c r="F56" s="16" t="n">
        <v>1627</v>
      </c>
      <c r="G56" s="16" t="n">
        <v>45</v>
      </c>
      <c r="H56" s="15"/>
    </row>
    <row r="57" customFormat="false" ht="15" hidden="false" customHeight="false" outlineLevel="0" collapsed="false">
      <c r="A57" s="15" t="s">
        <v>6</v>
      </c>
      <c r="B57" s="15" t="s">
        <v>129</v>
      </c>
      <c r="C57" s="15" t="s">
        <v>130</v>
      </c>
      <c r="D57" s="16" t="n">
        <v>6131</v>
      </c>
      <c r="E57" s="16" t="n">
        <v>11</v>
      </c>
      <c r="F57" s="16" t="n">
        <v>9865</v>
      </c>
      <c r="G57" s="16" t="n">
        <v>114</v>
      </c>
      <c r="H57" s="15"/>
    </row>
    <row r="58" customFormat="false" ht="15" hidden="false" customHeight="false" outlineLevel="0" collapsed="false">
      <c r="A58" s="15" t="s">
        <v>6</v>
      </c>
      <c r="B58" s="15" t="s">
        <v>129</v>
      </c>
      <c r="C58" s="15" t="s">
        <v>131</v>
      </c>
      <c r="D58" s="16" t="n">
        <v>805</v>
      </c>
      <c r="E58" s="16" t="n">
        <v>5</v>
      </c>
      <c r="F58" s="16" t="n">
        <v>4935</v>
      </c>
      <c r="G58" s="16" t="n">
        <v>10</v>
      </c>
      <c r="H58" s="15"/>
    </row>
    <row r="59" customFormat="false" ht="15" hidden="false" customHeight="false" outlineLevel="0" collapsed="false">
      <c r="A59" s="15" t="s">
        <v>6</v>
      </c>
      <c r="B59" s="15" t="s">
        <v>132</v>
      </c>
      <c r="C59" s="15" t="s">
        <v>122</v>
      </c>
      <c r="D59" s="16" t="n">
        <v>109487</v>
      </c>
      <c r="E59" s="16" t="n">
        <v>30</v>
      </c>
      <c r="F59" s="16" t="n">
        <v>7478</v>
      </c>
      <c r="G59" s="16" t="n">
        <v>568</v>
      </c>
      <c r="H59" s="15"/>
    </row>
    <row r="60" customFormat="false" ht="15" hidden="false" customHeight="false" outlineLevel="0" collapsed="false">
      <c r="A60" s="15" t="s">
        <v>6</v>
      </c>
      <c r="B60" s="15" t="s">
        <v>132</v>
      </c>
      <c r="C60" s="15" t="s">
        <v>123</v>
      </c>
      <c r="D60" s="16" t="n">
        <v>26543</v>
      </c>
      <c r="E60" s="16" t="n">
        <v>18</v>
      </c>
      <c r="F60" s="16" t="n">
        <v>8349</v>
      </c>
      <c r="G60" s="16" t="n">
        <v>325</v>
      </c>
      <c r="H60" s="15"/>
    </row>
    <row r="61" customFormat="false" ht="15" hidden="false" customHeight="false" outlineLevel="0" collapsed="false">
      <c r="A61" s="15" t="s">
        <v>6</v>
      </c>
      <c r="B61" s="15" t="s">
        <v>132</v>
      </c>
      <c r="C61" s="15" t="s">
        <v>133</v>
      </c>
      <c r="D61" s="16" t="n">
        <v>874</v>
      </c>
      <c r="E61" s="16" t="n">
        <v>2</v>
      </c>
      <c r="F61" s="16" t="n">
        <v>6196</v>
      </c>
      <c r="G61" s="16" t="n">
        <v>12</v>
      </c>
      <c r="H61" s="15"/>
    </row>
    <row r="62" customFormat="false" ht="15" hidden="false" customHeight="false" outlineLevel="0" collapsed="false">
      <c r="A62" s="15" t="s">
        <v>6</v>
      </c>
      <c r="B62" s="15" t="s">
        <v>134</v>
      </c>
      <c r="C62" s="15" t="s">
        <v>122</v>
      </c>
      <c r="D62" s="16" t="n">
        <v>19320</v>
      </c>
      <c r="E62" s="16" t="n">
        <v>13</v>
      </c>
      <c r="F62" s="16" t="n">
        <v>6300</v>
      </c>
      <c r="G62" s="16" t="n">
        <v>212</v>
      </c>
      <c r="H62" s="15"/>
    </row>
    <row r="63" customFormat="false" ht="15" hidden="false" customHeight="false" outlineLevel="0" collapsed="false">
      <c r="A63" s="15" t="s">
        <v>6</v>
      </c>
      <c r="B63" s="15" t="s">
        <v>134</v>
      </c>
      <c r="C63" s="15" t="s">
        <v>111</v>
      </c>
      <c r="D63" s="16" t="n">
        <v>4885</v>
      </c>
      <c r="E63" s="16" t="n">
        <v>21</v>
      </c>
      <c r="F63" s="16" t="n">
        <v>7770</v>
      </c>
      <c r="G63" s="16" t="n">
        <v>142</v>
      </c>
      <c r="H63" s="15"/>
    </row>
    <row r="64" customFormat="false" ht="15" hidden="false" customHeight="false" outlineLevel="0" collapsed="false">
      <c r="A64" s="15" t="s">
        <v>6</v>
      </c>
      <c r="B64" s="15" t="s">
        <v>134</v>
      </c>
      <c r="C64" s="15" t="s">
        <v>123</v>
      </c>
      <c r="D64" s="16" t="n">
        <v>24694</v>
      </c>
      <c r="E64" s="16" t="n">
        <v>31</v>
      </c>
      <c r="F64" s="16" t="n">
        <v>10557</v>
      </c>
      <c r="G64" s="16" t="n">
        <v>406</v>
      </c>
      <c r="H64" s="15"/>
    </row>
    <row r="65" customFormat="false" ht="15" hidden="false" customHeight="false" outlineLevel="0" collapsed="false">
      <c r="A65" s="15" t="s">
        <v>6</v>
      </c>
      <c r="B65" s="15" t="s">
        <v>135</v>
      </c>
      <c r="C65" s="15" t="s">
        <v>122</v>
      </c>
      <c r="D65" s="16" t="n">
        <v>35392</v>
      </c>
      <c r="E65" s="16" t="n">
        <v>10</v>
      </c>
      <c r="F65" s="16" t="n">
        <v>5661</v>
      </c>
      <c r="G65" s="16" t="n">
        <v>245</v>
      </c>
      <c r="H65" s="15"/>
    </row>
    <row r="66" customFormat="false" ht="15" hidden="false" customHeight="false" outlineLevel="0" collapsed="false">
      <c r="A66" s="15" t="s">
        <v>6</v>
      </c>
      <c r="B66" s="15" t="s">
        <v>135</v>
      </c>
      <c r="C66" s="15" t="s">
        <v>111</v>
      </c>
      <c r="D66" s="16" t="n">
        <v>6450</v>
      </c>
      <c r="E66" s="16" t="n">
        <v>17</v>
      </c>
      <c r="F66" s="16" t="n">
        <v>5515</v>
      </c>
      <c r="G66" s="16" t="n">
        <v>112</v>
      </c>
      <c r="H66" s="15"/>
    </row>
    <row r="67" customFormat="false" ht="15" hidden="false" customHeight="false" outlineLevel="0" collapsed="false">
      <c r="A67" s="15" t="s">
        <v>6</v>
      </c>
      <c r="B67" s="15" t="s">
        <v>135</v>
      </c>
      <c r="C67" s="15" t="s">
        <v>123</v>
      </c>
      <c r="D67" s="16" t="n">
        <v>18161</v>
      </c>
      <c r="E67" s="16" t="n">
        <v>26</v>
      </c>
      <c r="F67" s="16" t="n">
        <v>10594</v>
      </c>
      <c r="G67" s="16" t="n">
        <v>326</v>
      </c>
      <c r="H67" s="15"/>
    </row>
    <row r="68" customFormat="false" ht="15" hidden="false" customHeight="false" outlineLevel="0" collapsed="false">
      <c r="A68" s="15" t="s">
        <v>6</v>
      </c>
      <c r="B68" s="15" t="s">
        <v>136</v>
      </c>
      <c r="C68" s="15" t="s">
        <v>122</v>
      </c>
      <c r="D68" s="16" t="n">
        <v>14612</v>
      </c>
      <c r="E68" s="16" t="n">
        <v>7</v>
      </c>
      <c r="F68" s="16" t="n">
        <v>6048</v>
      </c>
      <c r="G68" s="16" t="n">
        <v>117</v>
      </c>
      <c r="H68" s="15"/>
    </row>
    <row r="69" customFormat="false" ht="15" hidden="false" customHeight="false" outlineLevel="0" collapsed="false">
      <c r="A69" s="15" t="s">
        <v>6</v>
      </c>
      <c r="B69" s="15" t="s">
        <v>136</v>
      </c>
      <c r="C69" s="15" t="s">
        <v>111</v>
      </c>
      <c r="D69" s="16" t="n">
        <v>5654</v>
      </c>
      <c r="E69" s="16" t="n">
        <v>22</v>
      </c>
      <c r="F69" s="16" t="n">
        <v>8099</v>
      </c>
      <c r="G69" s="16" t="n">
        <v>164</v>
      </c>
      <c r="H69" s="15"/>
    </row>
    <row r="70" customFormat="false" ht="15" hidden="false" customHeight="false" outlineLevel="0" collapsed="false">
      <c r="A70" s="15" t="s">
        <v>6</v>
      </c>
      <c r="B70" s="15" t="s">
        <v>136</v>
      </c>
      <c r="C70" s="15" t="s">
        <v>123</v>
      </c>
      <c r="D70" s="16" t="n">
        <v>43447</v>
      </c>
      <c r="E70" s="16" t="n">
        <v>42</v>
      </c>
      <c r="F70" s="16" t="n">
        <v>13550</v>
      </c>
      <c r="G70" s="16" t="n">
        <v>675</v>
      </c>
      <c r="H70" s="15"/>
    </row>
    <row r="71" customFormat="false" ht="15" hidden="false" customHeight="false" outlineLevel="0" collapsed="false">
      <c r="A71" s="15" t="s">
        <v>6</v>
      </c>
      <c r="B71" s="15" t="s">
        <v>136</v>
      </c>
      <c r="C71" s="15" t="s">
        <v>137</v>
      </c>
      <c r="D71" s="16" t="n">
        <v>518</v>
      </c>
      <c r="E71" s="16" t="n">
        <v>3</v>
      </c>
      <c r="F71" s="16" t="n">
        <v>13031</v>
      </c>
      <c r="G71" s="16" t="n">
        <v>23</v>
      </c>
      <c r="H71" s="15"/>
    </row>
    <row r="72" customFormat="false" ht="15" hidden="false" customHeight="false" outlineLevel="0" collapsed="false">
      <c r="A72" s="15" t="s">
        <v>6</v>
      </c>
      <c r="B72" s="15" t="s">
        <v>138</v>
      </c>
      <c r="C72" s="15" t="s">
        <v>122</v>
      </c>
      <c r="D72" s="16" t="n">
        <v>41883</v>
      </c>
      <c r="E72" s="16" t="n">
        <v>9</v>
      </c>
      <c r="F72" s="16" t="n">
        <v>5241</v>
      </c>
      <c r="G72" s="16" t="n">
        <v>261</v>
      </c>
      <c r="H72" s="15"/>
    </row>
    <row r="73" customFormat="false" ht="15" hidden="false" customHeight="false" outlineLevel="0" collapsed="false">
      <c r="A73" s="15" t="s">
        <v>6</v>
      </c>
      <c r="B73" s="15" t="s">
        <v>138</v>
      </c>
      <c r="C73" s="15" t="s">
        <v>111</v>
      </c>
      <c r="D73" s="16" t="n">
        <v>4472</v>
      </c>
      <c r="E73" s="16" t="n">
        <v>16</v>
      </c>
      <c r="F73" s="16" t="n">
        <v>6592</v>
      </c>
      <c r="G73" s="16" t="n">
        <v>96</v>
      </c>
      <c r="H73" s="15"/>
    </row>
    <row r="74" customFormat="false" ht="15" hidden="false" customHeight="false" outlineLevel="0" collapsed="false">
      <c r="A74" s="15" t="s">
        <v>6</v>
      </c>
      <c r="B74" s="15" t="s">
        <v>138</v>
      </c>
      <c r="C74" s="15" t="s">
        <v>123</v>
      </c>
      <c r="D74" s="16" t="n">
        <v>16462</v>
      </c>
      <c r="E74" s="16" t="n">
        <v>24</v>
      </c>
      <c r="F74" s="16" t="n">
        <v>11413</v>
      </c>
      <c r="G74" s="16" t="n">
        <v>292</v>
      </c>
      <c r="H74" s="15"/>
    </row>
    <row r="75" customFormat="false" ht="15" hidden="false" customHeight="false" outlineLevel="0" collapsed="false">
      <c r="A75" s="15" t="s">
        <v>6</v>
      </c>
      <c r="B75" s="15" t="s">
        <v>139</v>
      </c>
      <c r="C75" s="15" t="s">
        <v>111</v>
      </c>
      <c r="D75" s="16" t="n">
        <v>2853</v>
      </c>
      <c r="E75" s="16" t="n">
        <v>13</v>
      </c>
      <c r="F75" s="16" t="n">
        <v>6202</v>
      </c>
      <c r="G75" s="16" t="n">
        <v>91</v>
      </c>
      <c r="H75" s="15"/>
    </row>
    <row r="76" customFormat="false" ht="15" hidden="false" customHeight="false" outlineLevel="0" collapsed="false">
      <c r="A76" s="15" t="s">
        <v>6</v>
      </c>
      <c r="B76" s="15" t="s">
        <v>139</v>
      </c>
      <c r="C76" s="15" t="s">
        <v>123</v>
      </c>
      <c r="D76" s="16" t="n">
        <v>36373</v>
      </c>
      <c r="E76" s="16" t="n">
        <v>56</v>
      </c>
      <c r="F76" s="16" t="n">
        <v>10630</v>
      </c>
      <c r="G76" s="16" t="n">
        <v>529</v>
      </c>
      <c r="H76" s="17" t="s">
        <v>140</v>
      </c>
    </row>
    <row r="77" customFormat="false" ht="15" hidden="false" customHeight="false" outlineLevel="0" collapsed="false">
      <c r="A77" s="15" t="s">
        <v>6</v>
      </c>
      <c r="B77" s="15" t="s">
        <v>139</v>
      </c>
      <c r="C77" s="15" t="s">
        <v>141</v>
      </c>
      <c r="D77" s="16" t="n">
        <v>3465</v>
      </c>
      <c r="E77" s="16" t="n">
        <v>12</v>
      </c>
      <c r="F77" s="16" t="n">
        <v>13880</v>
      </c>
      <c r="G77" s="16" t="n">
        <v>97</v>
      </c>
      <c r="H77" s="15"/>
    </row>
    <row r="78" customFormat="false" ht="15" hidden="false" customHeight="false" outlineLevel="0" collapsed="false">
      <c r="A78" s="15" t="s">
        <v>6</v>
      </c>
      <c r="B78" s="15" t="s">
        <v>142</v>
      </c>
      <c r="C78" s="15" t="s">
        <v>122</v>
      </c>
      <c r="D78" s="16" t="n">
        <v>18885</v>
      </c>
      <c r="E78" s="16" t="n">
        <v>7</v>
      </c>
      <c r="F78" s="16" t="n">
        <v>5917</v>
      </c>
      <c r="G78" s="16" t="n">
        <v>250</v>
      </c>
      <c r="H78" s="15"/>
    </row>
    <row r="79" customFormat="false" ht="15" hidden="false" customHeight="false" outlineLevel="0" collapsed="false">
      <c r="A79" s="15" t="s">
        <v>6</v>
      </c>
      <c r="B79" s="15" t="s">
        <v>142</v>
      </c>
      <c r="C79" s="15" t="s">
        <v>111</v>
      </c>
      <c r="D79" s="16" t="n">
        <v>940</v>
      </c>
      <c r="E79" s="16" t="n">
        <v>3</v>
      </c>
      <c r="F79" s="16" t="n">
        <v>6160</v>
      </c>
      <c r="G79" s="16" t="n">
        <v>23</v>
      </c>
      <c r="H79" s="15"/>
    </row>
    <row r="80" customFormat="false" ht="15" hidden="false" customHeight="false" outlineLevel="0" collapsed="false">
      <c r="A80" s="15" t="s">
        <v>6</v>
      </c>
      <c r="B80" s="15" t="s">
        <v>142</v>
      </c>
      <c r="C80" s="15" t="s">
        <v>123</v>
      </c>
      <c r="D80" s="16" t="n">
        <v>28995</v>
      </c>
      <c r="E80" s="16" t="n">
        <v>38</v>
      </c>
      <c r="F80" s="16" t="n">
        <v>8490</v>
      </c>
      <c r="G80" s="16" t="n">
        <v>433</v>
      </c>
      <c r="H80" s="15"/>
    </row>
    <row r="81" customFormat="false" ht="15" hidden="false" customHeight="false" outlineLevel="0" collapsed="false">
      <c r="A81" s="15" t="s">
        <v>25</v>
      </c>
      <c r="B81" s="15" t="s">
        <v>103</v>
      </c>
      <c r="C81" s="15" t="s">
        <v>143</v>
      </c>
      <c r="D81" s="16" t="n">
        <v>1476</v>
      </c>
      <c r="E81" s="16" t="n">
        <v>4</v>
      </c>
      <c r="F81" s="16" t="n">
        <v>8274</v>
      </c>
      <c r="G81" s="16" t="n">
        <v>25</v>
      </c>
      <c r="H81" s="15"/>
    </row>
    <row r="82" customFormat="false" ht="15" hidden="false" customHeight="false" outlineLevel="0" collapsed="false">
      <c r="A82" s="15" t="s">
        <v>25</v>
      </c>
      <c r="B82" s="15" t="s">
        <v>103</v>
      </c>
      <c r="C82" s="15" t="s">
        <v>144</v>
      </c>
      <c r="D82" s="16" t="n">
        <v>15886</v>
      </c>
      <c r="E82" s="16" t="n">
        <v>12</v>
      </c>
      <c r="F82" s="16" t="n">
        <v>9373</v>
      </c>
      <c r="G82" s="16" t="n">
        <v>183</v>
      </c>
      <c r="H82" s="15"/>
    </row>
    <row r="83" customFormat="false" ht="15" hidden="false" customHeight="false" outlineLevel="0" collapsed="false">
      <c r="A83" s="15" t="s">
        <v>25</v>
      </c>
      <c r="B83" s="15" t="s">
        <v>103</v>
      </c>
      <c r="C83" s="15" t="s">
        <v>145</v>
      </c>
      <c r="D83" s="16" t="n">
        <v>3911</v>
      </c>
      <c r="E83" s="16" t="n">
        <v>1</v>
      </c>
      <c r="F83" s="16" t="n">
        <v>12498</v>
      </c>
      <c r="G83" s="16" t="n">
        <v>48</v>
      </c>
      <c r="H83" s="15"/>
    </row>
    <row r="84" customFormat="false" ht="15" hidden="false" customHeight="false" outlineLevel="0" collapsed="false">
      <c r="A84" s="15" t="s">
        <v>25</v>
      </c>
      <c r="B84" s="15" t="s">
        <v>106</v>
      </c>
      <c r="C84" s="15" t="s">
        <v>143</v>
      </c>
      <c r="D84" s="16" t="n">
        <v>2632</v>
      </c>
      <c r="E84" s="16" t="n">
        <v>2</v>
      </c>
      <c r="F84" s="16" t="n">
        <v>6221</v>
      </c>
      <c r="G84" s="16" t="n">
        <v>32</v>
      </c>
      <c r="H84" s="15"/>
    </row>
    <row r="85" customFormat="false" ht="15" hidden="false" customHeight="false" outlineLevel="0" collapsed="false">
      <c r="A85" s="15" t="s">
        <v>25</v>
      </c>
      <c r="B85" s="15" t="s">
        <v>106</v>
      </c>
      <c r="C85" s="15" t="s">
        <v>144</v>
      </c>
      <c r="D85" s="16" t="n">
        <v>9594</v>
      </c>
      <c r="E85" s="16" t="n">
        <v>5</v>
      </c>
      <c r="F85" s="16" t="n">
        <v>8778</v>
      </c>
      <c r="G85" s="16" t="n">
        <v>137</v>
      </c>
      <c r="H85" s="15"/>
    </row>
    <row r="86" customFormat="false" ht="15" hidden="false" customHeight="false" outlineLevel="0" collapsed="false">
      <c r="A86" s="15" t="s">
        <v>25</v>
      </c>
      <c r="B86" s="15" t="s">
        <v>106</v>
      </c>
      <c r="C86" s="15" t="s">
        <v>145</v>
      </c>
      <c r="D86" s="16" t="n">
        <v>1382</v>
      </c>
      <c r="E86" s="16" t="n">
        <v>4</v>
      </c>
      <c r="F86" s="16" t="n">
        <v>8240</v>
      </c>
      <c r="G86" s="16" t="n">
        <v>20</v>
      </c>
      <c r="H86" s="15"/>
    </row>
    <row r="87" customFormat="false" ht="15" hidden="false" customHeight="false" outlineLevel="0" collapsed="false">
      <c r="A87" s="15" t="s">
        <v>25</v>
      </c>
      <c r="B87" s="15" t="s">
        <v>107</v>
      </c>
      <c r="C87" s="15" t="s">
        <v>144</v>
      </c>
      <c r="D87" s="16" t="n">
        <v>4988</v>
      </c>
      <c r="E87" s="16" t="n">
        <v>6</v>
      </c>
      <c r="F87" s="16" t="n">
        <v>11047</v>
      </c>
      <c r="G87" s="16" t="n">
        <v>65</v>
      </c>
      <c r="H87" s="15"/>
    </row>
    <row r="88" customFormat="false" ht="15" hidden="false" customHeight="false" outlineLevel="0" collapsed="false">
      <c r="A88" s="15" t="s">
        <v>25</v>
      </c>
      <c r="B88" s="15" t="s">
        <v>108</v>
      </c>
      <c r="C88" s="15" t="s">
        <v>144</v>
      </c>
      <c r="D88" s="16" t="n">
        <v>5931</v>
      </c>
      <c r="E88" s="16" t="n">
        <v>6</v>
      </c>
      <c r="F88" s="16" t="n">
        <v>9591</v>
      </c>
      <c r="G88" s="16" t="n">
        <v>101</v>
      </c>
      <c r="H88" s="15"/>
    </row>
    <row r="89" customFormat="false" ht="15" hidden="false" customHeight="false" outlineLevel="0" collapsed="false">
      <c r="A89" s="15" t="s">
        <v>25</v>
      </c>
      <c r="B89" s="15" t="s">
        <v>110</v>
      </c>
      <c r="C89" s="15" t="s">
        <v>146</v>
      </c>
      <c r="D89" s="16" t="n">
        <v>1630</v>
      </c>
      <c r="E89" s="16" t="n">
        <v>1</v>
      </c>
      <c r="F89" s="16" t="n">
        <v>7899</v>
      </c>
      <c r="G89" s="16" t="n">
        <v>22</v>
      </c>
      <c r="H89" s="15"/>
    </row>
    <row r="90" customFormat="false" ht="15" hidden="false" customHeight="false" outlineLevel="0" collapsed="false">
      <c r="A90" s="15" t="s">
        <v>25</v>
      </c>
      <c r="B90" s="15" t="s">
        <v>110</v>
      </c>
      <c r="C90" s="15" t="s">
        <v>143</v>
      </c>
      <c r="D90" s="16" t="n">
        <v>3380</v>
      </c>
      <c r="E90" s="16" t="n">
        <v>4</v>
      </c>
      <c r="F90" s="16" t="n">
        <v>5906</v>
      </c>
      <c r="G90" s="16" t="n">
        <v>46</v>
      </c>
      <c r="H90" s="15"/>
    </row>
    <row r="91" customFormat="false" ht="15" hidden="false" customHeight="false" outlineLevel="0" collapsed="false">
      <c r="A91" s="15" t="s">
        <v>25</v>
      </c>
      <c r="B91" s="15" t="s">
        <v>110</v>
      </c>
      <c r="C91" s="15" t="s">
        <v>144</v>
      </c>
      <c r="D91" s="16" t="n">
        <v>1610</v>
      </c>
      <c r="E91" s="16" t="n">
        <v>6</v>
      </c>
      <c r="F91" s="16" t="n">
        <v>13305</v>
      </c>
      <c r="G91" s="16" t="n">
        <v>35</v>
      </c>
      <c r="H91" s="15"/>
    </row>
    <row r="92" customFormat="false" ht="15" hidden="false" customHeight="false" outlineLevel="0" collapsed="false">
      <c r="A92" s="15" t="s">
        <v>25</v>
      </c>
      <c r="B92" s="15" t="s">
        <v>114</v>
      </c>
      <c r="C92" s="15" t="s">
        <v>144</v>
      </c>
      <c r="D92" s="16" t="n">
        <v>5931</v>
      </c>
      <c r="E92" s="16" t="n">
        <v>6</v>
      </c>
      <c r="F92" s="16" t="n">
        <v>9596</v>
      </c>
      <c r="G92" s="16" t="n">
        <v>62</v>
      </c>
      <c r="H92" s="15"/>
    </row>
    <row r="93" customFormat="false" ht="15" hidden="false" customHeight="false" outlineLevel="0" collapsed="false">
      <c r="A93" s="15" t="s">
        <v>25</v>
      </c>
      <c r="B93" s="15" t="s">
        <v>127</v>
      </c>
      <c r="C93" s="15" t="s">
        <v>147</v>
      </c>
      <c r="D93" s="16" t="n">
        <v>772</v>
      </c>
      <c r="E93" s="16" t="n">
        <v>3</v>
      </c>
      <c r="F93" s="16" t="n">
        <v>9176</v>
      </c>
      <c r="G93" s="16" t="n">
        <v>20</v>
      </c>
      <c r="H93" s="15"/>
    </row>
    <row r="94" customFormat="false" ht="15" hidden="false" customHeight="false" outlineLevel="0" collapsed="false">
      <c r="A94" s="15" t="s">
        <v>25</v>
      </c>
      <c r="B94" s="15" t="s">
        <v>127</v>
      </c>
      <c r="C94" s="15" t="s">
        <v>121</v>
      </c>
      <c r="D94" s="16" t="n">
        <v>16784</v>
      </c>
      <c r="E94" s="16" t="n">
        <v>15</v>
      </c>
      <c r="F94" s="16" t="n">
        <v>7411</v>
      </c>
      <c r="G94" s="16" t="n">
        <v>188</v>
      </c>
      <c r="H94" s="15"/>
    </row>
    <row r="95" customFormat="false" ht="15" hidden="false" customHeight="false" outlineLevel="0" collapsed="false">
      <c r="A95" s="15" t="s">
        <v>25</v>
      </c>
      <c r="B95" s="15" t="s">
        <v>127</v>
      </c>
      <c r="C95" s="15" t="s">
        <v>144</v>
      </c>
      <c r="D95" s="16" t="n">
        <v>1484</v>
      </c>
      <c r="E95" s="16" t="n">
        <v>5</v>
      </c>
      <c r="F95" s="16" t="n">
        <v>10282</v>
      </c>
      <c r="G95" s="16" t="n">
        <v>36</v>
      </c>
      <c r="H95" s="15"/>
    </row>
    <row r="96" customFormat="false" ht="15" hidden="false" customHeight="false" outlineLevel="0" collapsed="false">
      <c r="A96" s="15" t="s">
        <v>25</v>
      </c>
      <c r="B96" s="15" t="s">
        <v>128</v>
      </c>
      <c r="C96" s="15" t="s">
        <v>147</v>
      </c>
      <c r="D96" s="16" t="n">
        <v>301</v>
      </c>
      <c r="E96" s="16" t="n">
        <v>2</v>
      </c>
      <c r="F96" s="16" t="n">
        <v>5471</v>
      </c>
      <c r="G96" s="16" t="n">
        <v>8</v>
      </c>
      <c r="H96" s="15"/>
    </row>
    <row r="97" customFormat="false" ht="15" hidden="false" customHeight="false" outlineLevel="0" collapsed="false">
      <c r="A97" s="15" t="s">
        <v>25</v>
      </c>
      <c r="B97" s="15" t="s">
        <v>128</v>
      </c>
      <c r="C97" s="15" t="s">
        <v>121</v>
      </c>
      <c r="D97" s="16" t="n">
        <v>7592</v>
      </c>
      <c r="E97" s="16" t="n">
        <v>7</v>
      </c>
      <c r="F97" s="16" t="n">
        <v>6025</v>
      </c>
      <c r="G97" s="16" t="n">
        <v>71</v>
      </c>
      <c r="H97" s="15"/>
    </row>
    <row r="98" customFormat="false" ht="15" hidden="false" customHeight="false" outlineLevel="0" collapsed="false">
      <c r="A98" s="15" t="s">
        <v>25</v>
      </c>
      <c r="B98" s="15" t="s">
        <v>129</v>
      </c>
      <c r="C98" s="15" t="s">
        <v>147</v>
      </c>
      <c r="D98" s="16" t="n">
        <v>998</v>
      </c>
      <c r="E98" s="16" t="n">
        <v>3</v>
      </c>
      <c r="F98" s="16" t="n">
        <v>12410</v>
      </c>
      <c r="G98" s="16" t="n">
        <v>16</v>
      </c>
      <c r="H98" s="15"/>
    </row>
    <row r="99" customFormat="false" ht="15" hidden="false" customHeight="false" outlineLevel="0" collapsed="false">
      <c r="A99" s="15" t="s">
        <v>25</v>
      </c>
      <c r="B99" s="15" t="s">
        <v>129</v>
      </c>
      <c r="C99" s="15" t="s">
        <v>121</v>
      </c>
      <c r="D99" s="16" t="n">
        <v>4455</v>
      </c>
      <c r="E99" s="16" t="n">
        <v>13</v>
      </c>
      <c r="F99" s="16" t="n">
        <v>9610</v>
      </c>
      <c r="G99" s="16" t="n">
        <v>67</v>
      </c>
      <c r="H99" s="15"/>
    </row>
    <row r="100" customFormat="false" ht="15" hidden="false" customHeight="false" outlineLevel="0" collapsed="false">
      <c r="A100" s="15" t="s">
        <v>25</v>
      </c>
      <c r="B100" s="15" t="s">
        <v>129</v>
      </c>
      <c r="C100" s="15" t="s">
        <v>148</v>
      </c>
      <c r="D100" s="16" t="n">
        <v>13869</v>
      </c>
      <c r="E100" s="16" t="n">
        <v>11</v>
      </c>
      <c r="F100" s="16" t="n">
        <v>8203</v>
      </c>
      <c r="G100" s="16" t="n">
        <v>149</v>
      </c>
      <c r="H100" s="15"/>
    </row>
    <row r="101" customFormat="false" ht="15" hidden="false" customHeight="false" outlineLevel="0" collapsed="false">
      <c r="A101" s="15" t="s">
        <v>25</v>
      </c>
      <c r="B101" s="15" t="s">
        <v>132</v>
      </c>
      <c r="C101" s="15" t="s">
        <v>119</v>
      </c>
      <c r="D101" s="16" t="n">
        <v>10000</v>
      </c>
      <c r="E101" s="16" t="n">
        <v>2</v>
      </c>
      <c r="F101" s="16" t="n">
        <v>8921</v>
      </c>
      <c r="G101" s="16" t="n">
        <v>105</v>
      </c>
      <c r="H101" s="15"/>
    </row>
    <row r="102" customFormat="false" ht="15" hidden="false" customHeight="false" outlineLevel="0" collapsed="false">
      <c r="A102" s="15" t="s">
        <v>25</v>
      </c>
      <c r="B102" s="15" t="s">
        <v>132</v>
      </c>
      <c r="C102" s="15" t="s">
        <v>148</v>
      </c>
      <c r="D102" s="16" t="n">
        <v>20608</v>
      </c>
      <c r="E102" s="16" t="n">
        <v>17</v>
      </c>
      <c r="F102" s="16" t="n">
        <v>6289</v>
      </c>
      <c r="G102" s="16" t="n">
        <v>180</v>
      </c>
      <c r="H102" s="15"/>
    </row>
    <row r="103" customFormat="false" ht="15" hidden="false" customHeight="false" outlineLevel="0" collapsed="false">
      <c r="A103" s="15" t="s">
        <v>25</v>
      </c>
      <c r="B103" s="15" t="s">
        <v>134</v>
      </c>
      <c r="C103" s="15" t="s">
        <v>126</v>
      </c>
      <c r="D103" s="16" t="n">
        <v>7683</v>
      </c>
      <c r="E103" s="16" t="n">
        <v>5</v>
      </c>
      <c r="F103" s="16" t="n">
        <v>5881</v>
      </c>
      <c r="G103" s="16" t="n">
        <v>66</v>
      </c>
      <c r="H103" s="15"/>
    </row>
    <row r="104" customFormat="false" ht="15" hidden="false" customHeight="false" outlineLevel="0" collapsed="false">
      <c r="A104" s="15" t="s">
        <v>25</v>
      </c>
      <c r="B104" s="15" t="s">
        <v>134</v>
      </c>
      <c r="C104" s="15" t="s">
        <v>149</v>
      </c>
      <c r="D104" s="16" t="n">
        <v>5065</v>
      </c>
      <c r="E104" s="16" t="n">
        <v>5</v>
      </c>
      <c r="F104" s="16" t="n">
        <v>14899</v>
      </c>
      <c r="G104" s="16" t="n">
        <v>47</v>
      </c>
      <c r="H104" s="15"/>
    </row>
    <row r="105" customFormat="false" ht="15" hidden="false" customHeight="false" outlineLevel="0" collapsed="false">
      <c r="A105" s="15" t="s">
        <v>25</v>
      </c>
      <c r="B105" s="15" t="s">
        <v>134</v>
      </c>
      <c r="C105" s="15" t="s">
        <v>148</v>
      </c>
      <c r="D105" s="16" t="n">
        <v>10117</v>
      </c>
      <c r="E105" s="16" t="n">
        <v>12</v>
      </c>
      <c r="F105" s="16" t="n">
        <v>9442</v>
      </c>
      <c r="G105" s="16" t="n">
        <v>126</v>
      </c>
      <c r="H105" s="15"/>
    </row>
    <row r="106" customFormat="false" ht="15" hidden="false" customHeight="false" outlineLevel="0" collapsed="false">
      <c r="A106" s="15" t="s">
        <v>25</v>
      </c>
      <c r="B106" s="15" t="s">
        <v>135</v>
      </c>
      <c r="C106" s="15" t="s">
        <v>147</v>
      </c>
      <c r="D106" s="16" t="n">
        <v>966</v>
      </c>
      <c r="E106" s="16" t="n">
        <v>2</v>
      </c>
      <c r="F106" s="16" t="n">
        <v>12781</v>
      </c>
      <c r="G106" s="16" t="n">
        <v>26</v>
      </c>
      <c r="H106" s="15"/>
    </row>
    <row r="107" customFormat="false" ht="15" hidden="false" customHeight="false" outlineLevel="0" collapsed="false">
      <c r="A107" s="15" t="s">
        <v>25</v>
      </c>
      <c r="B107" s="15" t="s">
        <v>135</v>
      </c>
      <c r="C107" s="15" t="s">
        <v>149</v>
      </c>
      <c r="D107" s="16" t="n">
        <v>25802</v>
      </c>
      <c r="E107" s="16" t="n">
        <v>5</v>
      </c>
      <c r="F107" s="16" t="n">
        <v>8039</v>
      </c>
      <c r="G107" s="16" t="n">
        <v>196</v>
      </c>
      <c r="H107" s="15"/>
    </row>
    <row r="108" customFormat="false" ht="15" hidden="false" customHeight="false" outlineLevel="0" collapsed="false">
      <c r="A108" s="15" t="s">
        <v>25</v>
      </c>
      <c r="B108" s="15" t="s">
        <v>135</v>
      </c>
      <c r="C108" s="15" t="s">
        <v>148</v>
      </c>
      <c r="D108" s="16" t="n">
        <v>655</v>
      </c>
      <c r="E108" s="16" t="n">
        <v>3</v>
      </c>
      <c r="F108" s="16" t="n">
        <v>14272</v>
      </c>
      <c r="G108" s="16" t="n">
        <v>21</v>
      </c>
      <c r="H108" s="15"/>
    </row>
    <row r="109" customFormat="false" ht="15" hidden="false" customHeight="false" outlineLevel="0" collapsed="false">
      <c r="A109" s="15" t="s">
        <v>25</v>
      </c>
      <c r="B109" s="15" t="s">
        <v>136</v>
      </c>
      <c r="C109" s="15" t="s">
        <v>147</v>
      </c>
      <c r="D109" s="16" t="n">
        <v>829</v>
      </c>
      <c r="E109" s="16" t="n">
        <v>2</v>
      </c>
      <c r="F109" s="16" t="n">
        <v>10926</v>
      </c>
      <c r="G109" s="16" t="n">
        <v>16</v>
      </c>
      <c r="H109" s="15"/>
    </row>
    <row r="110" customFormat="false" ht="15" hidden="false" customHeight="false" outlineLevel="0" collapsed="false">
      <c r="A110" s="15" t="s">
        <v>25</v>
      </c>
      <c r="B110" s="15" t="s">
        <v>136</v>
      </c>
      <c r="C110" s="15" t="s">
        <v>149</v>
      </c>
      <c r="D110" s="16" t="n">
        <v>46521</v>
      </c>
      <c r="E110" s="16" t="n">
        <v>13</v>
      </c>
      <c r="F110" s="16" t="n">
        <v>12994</v>
      </c>
      <c r="G110" s="16" t="n">
        <v>389</v>
      </c>
      <c r="H110" s="15"/>
    </row>
    <row r="111" customFormat="false" ht="15" hidden="false" customHeight="false" outlineLevel="0" collapsed="false">
      <c r="A111" s="15" t="s">
        <v>25</v>
      </c>
      <c r="B111" s="15" t="s">
        <v>136</v>
      </c>
      <c r="C111" s="15" t="s">
        <v>143</v>
      </c>
      <c r="D111" s="16" t="n">
        <v>3644</v>
      </c>
      <c r="E111" s="16" t="n">
        <v>2</v>
      </c>
      <c r="F111" s="16" t="n">
        <v>7654</v>
      </c>
      <c r="G111" s="16" t="n">
        <v>40</v>
      </c>
      <c r="H111" s="15"/>
    </row>
    <row r="112" customFormat="false" ht="15" hidden="false" customHeight="false" outlineLevel="0" collapsed="false">
      <c r="A112" s="15" t="s">
        <v>25</v>
      </c>
      <c r="B112" s="15" t="s">
        <v>136</v>
      </c>
      <c r="C112" s="15" t="s">
        <v>150</v>
      </c>
      <c r="D112" s="16" t="n">
        <v>611</v>
      </c>
      <c r="E112" s="16" t="n">
        <v>3</v>
      </c>
      <c r="F112" s="16" t="n">
        <v>15113</v>
      </c>
      <c r="G112" s="16" t="n">
        <v>15</v>
      </c>
      <c r="H112" s="15"/>
    </row>
    <row r="113" customFormat="false" ht="15" hidden="false" customHeight="false" outlineLevel="0" collapsed="false">
      <c r="A113" s="15" t="s">
        <v>25</v>
      </c>
      <c r="B113" s="15" t="s">
        <v>138</v>
      </c>
      <c r="C113" s="15" t="s">
        <v>124</v>
      </c>
      <c r="D113" s="16" t="n">
        <v>9748</v>
      </c>
      <c r="E113" s="16" t="n">
        <v>17</v>
      </c>
      <c r="F113" s="16" t="n">
        <v>4997</v>
      </c>
      <c r="G113" s="16" t="n">
        <v>106</v>
      </c>
      <c r="H113" s="15"/>
    </row>
    <row r="114" customFormat="false" ht="15" hidden="false" customHeight="false" outlineLevel="0" collapsed="false">
      <c r="A114" s="15" t="s">
        <v>25</v>
      </c>
      <c r="B114" s="15" t="s">
        <v>138</v>
      </c>
      <c r="C114" s="15" t="s">
        <v>147</v>
      </c>
      <c r="D114" s="16" t="n">
        <v>3044</v>
      </c>
      <c r="E114" s="16" t="n">
        <v>1</v>
      </c>
      <c r="F114" s="16" t="n">
        <v>16817</v>
      </c>
      <c r="G114" s="16" t="n">
        <v>52</v>
      </c>
      <c r="H114" s="15"/>
    </row>
    <row r="115" customFormat="false" ht="15" hidden="false" customHeight="false" outlineLevel="0" collapsed="false">
      <c r="A115" s="15" t="s">
        <v>25</v>
      </c>
      <c r="B115" s="15" t="s">
        <v>138</v>
      </c>
      <c r="C115" s="15" t="s">
        <v>151</v>
      </c>
      <c r="D115" s="16" t="n">
        <v>2721</v>
      </c>
      <c r="E115" s="16" t="n">
        <v>4</v>
      </c>
      <c r="F115" s="16" t="n">
        <v>11794</v>
      </c>
      <c r="G115" s="16" t="n">
        <v>35</v>
      </c>
      <c r="H115" s="15"/>
    </row>
    <row r="116" customFormat="false" ht="15" hidden="false" customHeight="false" outlineLevel="0" collapsed="false">
      <c r="A116" s="15" t="s">
        <v>25</v>
      </c>
      <c r="B116" s="15" t="s">
        <v>138</v>
      </c>
      <c r="C116" s="15" t="s">
        <v>149</v>
      </c>
      <c r="D116" s="16" t="n">
        <v>24594</v>
      </c>
      <c r="E116" s="16" t="n">
        <v>4</v>
      </c>
      <c r="F116" s="16" t="n">
        <v>6000</v>
      </c>
      <c r="G116" s="16" t="n">
        <v>160</v>
      </c>
      <c r="H116" s="15"/>
    </row>
    <row r="117" customFormat="false" ht="15" hidden="false" customHeight="false" outlineLevel="0" collapsed="false">
      <c r="A117" s="15" t="s">
        <v>25</v>
      </c>
      <c r="B117" s="15" t="s">
        <v>138</v>
      </c>
      <c r="C117" s="15" t="s">
        <v>150</v>
      </c>
      <c r="D117" s="16" t="n">
        <v>3000</v>
      </c>
      <c r="E117" s="16" t="n">
        <v>1</v>
      </c>
      <c r="F117" s="16" t="n">
        <v>1885</v>
      </c>
      <c r="G117" s="16" t="n">
        <v>7</v>
      </c>
      <c r="H117" s="15"/>
    </row>
    <row r="118" customFormat="false" ht="15" hidden="false" customHeight="false" outlineLevel="0" collapsed="false">
      <c r="A118" s="15" t="s">
        <v>25</v>
      </c>
      <c r="B118" s="15" t="s">
        <v>139</v>
      </c>
      <c r="C118" s="15" t="s">
        <v>124</v>
      </c>
      <c r="D118" s="16" t="n">
        <v>2912</v>
      </c>
      <c r="E118" s="16" t="n">
        <v>14</v>
      </c>
      <c r="F118" s="16" t="n">
        <v>8527</v>
      </c>
      <c r="G118" s="16" t="n">
        <v>126</v>
      </c>
      <c r="H118" s="15"/>
    </row>
    <row r="119" customFormat="false" ht="15" hidden="false" customHeight="false" outlineLevel="0" collapsed="false">
      <c r="A119" s="15" t="s">
        <v>25</v>
      </c>
      <c r="B119" s="15" t="s">
        <v>139</v>
      </c>
      <c r="C119" s="15" t="s">
        <v>147</v>
      </c>
      <c r="D119" s="16" t="n">
        <v>13195</v>
      </c>
      <c r="E119" s="16" t="n">
        <v>16</v>
      </c>
      <c r="F119" s="16" t="n">
        <v>13131</v>
      </c>
      <c r="G119" s="16" t="n">
        <v>328</v>
      </c>
      <c r="H119" s="15"/>
    </row>
    <row r="120" customFormat="false" ht="15" hidden="false" customHeight="false" outlineLevel="0" collapsed="false">
      <c r="A120" s="15" t="s">
        <v>25</v>
      </c>
      <c r="B120" s="15" t="s">
        <v>139</v>
      </c>
      <c r="C120" s="15" t="s">
        <v>149</v>
      </c>
      <c r="D120" s="16" t="n">
        <v>15287</v>
      </c>
      <c r="E120" s="16" t="n">
        <v>5</v>
      </c>
      <c r="F120" s="16" t="n">
        <v>6541</v>
      </c>
      <c r="G120" s="16" t="n">
        <v>125</v>
      </c>
      <c r="H120" s="15"/>
    </row>
    <row r="121" customFormat="false" ht="15" hidden="false" customHeight="false" outlineLevel="0" collapsed="false">
      <c r="A121" s="15" t="s">
        <v>25</v>
      </c>
      <c r="B121" s="15" t="s">
        <v>142</v>
      </c>
      <c r="C121" s="15" t="s">
        <v>124</v>
      </c>
      <c r="D121" s="16" t="n">
        <v>6781</v>
      </c>
      <c r="E121" s="16" t="n">
        <v>20</v>
      </c>
      <c r="F121" s="16" t="n">
        <v>5033</v>
      </c>
      <c r="G121" s="16" t="n">
        <v>133</v>
      </c>
      <c r="H121" s="15"/>
    </row>
    <row r="122" customFormat="false" ht="15" hidden="false" customHeight="false" outlineLevel="0" collapsed="false">
      <c r="A122" s="15" t="s">
        <v>25</v>
      </c>
      <c r="B122" s="15" t="s">
        <v>142</v>
      </c>
      <c r="C122" s="15" t="s">
        <v>147</v>
      </c>
      <c r="D122" s="16" t="n">
        <v>12594</v>
      </c>
      <c r="E122" s="16" t="n">
        <v>19</v>
      </c>
      <c r="F122" s="16" t="n">
        <v>12151</v>
      </c>
      <c r="G122" s="16" t="n">
        <v>226</v>
      </c>
      <c r="H122" s="15"/>
    </row>
    <row r="123" customFormat="false" ht="15" hidden="false" customHeight="false" outlineLevel="0" collapsed="false">
      <c r="A123" s="15" t="s">
        <v>25</v>
      </c>
      <c r="B123" s="15" t="s">
        <v>142</v>
      </c>
      <c r="C123" s="15" t="s">
        <v>151</v>
      </c>
      <c r="D123" s="16" t="n">
        <v>900</v>
      </c>
      <c r="E123" s="16" t="n">
        <v>1</v>
      </c>
      <c r="F123" s="16" t="n">
        <v>8132</v>
      </c>
      <c r="G123" s="16" t="n">
        <v>12</v>
      </c>
      <c r="H123" s="15"/>
    </row>
    <row r="124" customFormat="false" ht="15" hidden="false" customHeight="false" outlineLevel="0" collapsed="false">
      <c r="A124" s="15" t="s">
        <v>28</v>
      </c>
      <c r="B124" s="15" t="s">
        <v>103</v>
      </c>
      <c r="C124" s="15" t="s">
        <v>152</v>
      </c>
      <c r="D124" s="16" t="n">
        <v>1060</v>
      </c>
      <c r="E124" s="16" t="n">
        <v>1</v>
      </c>
      <c r="F124" s="16" t="n">
        <v>7630</v>
      </c>
      <c r="G124" s="16" t="n">
        <v>12</v>
      </c>
      <c r="H124" s="15"/>
    </row>
    <row r="125" customFormat="false" ht="15" hidden="false" customHeight="false" outlineLevel="0" collapsed="false">
      <c r="A125" s="15" t="s">
        <v>28</v>
      </c>
      <c r="B125" s="15" t="s">
        <v>103</v>
      </c>
      <c r="C125" s="15" t="s">
        <v>151</v>
      </c>
      <c r="D125" s="16" t="n">
        <v>700</v>
      </c>
      <c r="E125" s="16" t="n">
        <v>2</v>
      </c>
      <c r="F125" s="16" t="n">
        <v>9218</v>
      </c>
      <c r="G125" s="16" t="n">
        <v>14</v>
      </c>
      <c r="H125" s="15"/>
    </row>
    <row r="126" customFormat="false" ht="15" hidden="false" customHeight="false" outlineLevel="0" collapsed="false">
      <c r="A126" s="15" t="s">
        <v>28</v>
      </c>
      <c r="B126" s="15" t="s">
        <v>103</v>
      </c>
      <c r="C126" s="15" t="s">
        <v>149</v>
      </c>
      <c r="D126" s="16" t="n">
        <v>19607</v>
      </c>
      <c r="E126" s="16" t="n">
        <v>4</v>
      </c>
      <c r="F126" s="16" t="n">
        <v>11320</v>
      </c>
      <c r="G126" s="16" t="n">
        <v>133</v>
      </c>
      <c r="H126" s="15"/>
    </row>
    <row r="127" customFormat="false" ht="15" hidden="false" customHeight="false" outlineLevel="0" collapsed="false">
      <c r="A127" s="15" t="s">
        <v>28</v>
      </c>
      <c r="B127" s="15" t="s">
        <v>103</v>
      </c>
      <c r="C127" s="15" t="s">
        <v>153</v>
      </c>
      <c r="D127" s="16" t="n">
        <v>10440</v>
      </c>
      <c r="E127" s="16" t="n">
        <v>14</v>
      </c>
      <c r="F127" s="16" t="n">
        <v>8211</v>
      </c>
      <c r="G127" s="16" t="n">
        <v>147</v>
      </c>
      <c r="H127" s="15"/>
    </row>
    <row r="128" customFormat="false" ht="15" hidden="false" customHeight="false" outlineLevel="0" collapsed="false">
      <c r="A128" s="15" t="s">
        <v>28</v>
      </c>
      <c r="B128" s="15" t="s">
        <v>107</v>
      </c>
      <c r="C128" s="15" t="s">
        <v>119</v>
      </c>
      <c r="D128" s="16" t="n">
        <v>4418</v>
      </c>
      <c r="E128" s="16" t="n">
        <v>3</v>
      </c>
      <c r="F128" s="16" t="n">
        <v>7220</v>
      </c>
      <c r="G128" s="16" t="n">
        <v>51</v>
      </c>
      <c r="H128" s="15"/>
    </row>
    <row r="129" customFormat="false" ht="15" hidden="false" customHeight="false" outlineLevel="0" collapsed="false">
      <c r="A129" s="15" t="s">
        <v>28</v>
      </c>
      <c r="B129" s="15" t="s">
        <v>107</v>
      </c>
      <c r="C129" s="15" t="s">
        <v>149</v>
      </c>
      <c r="D129" s="16" t="n">
        <v>13632</v>
      </c>
      <c r="E129" s="16" t="n">
        <v>4</v>
      </c>
      <c r="F129" s="16" t="n">
        <v>12323</v>
      </c>
      <c r="G129" s="16" t="n">
        <v>140</v>
      </c>
      <c r="H129" s="15"/>
    </row>
    <row r="130" customFormat="false" ht="15" hidden="false" customHeight="false" outlineLevel="0" collapsed="false">
      <c r="A130" s="15" t="s">
        <v>28</v>
      </c>
      <c r="B130" s="15" t="s">
        <v>107</v>
      </c>
      <c r="C130" s="15" t="s">
        <v>154</v>
      </c>
      <c r="D130" s="16" t="n">
        <v>443</v>
      </c>
      <c r="E130" s="16" t="n">
        <v>2</v>
      </c>
      <c r="F130" s="16" t="n">
        <v>14512</v>
      </c>
      <c r="G130" s="16" t="n">
        <v>10</v>
      </c>
      <c r="H130" s="15"/>
    </row>
    <row r="131" customFormat="false" ht="15" hidden="false" customHeight="false" outlineLevel="0" collapsed="false">
      <c r="A131" s="15" t="s">
        <v>28</v>
      </c>
      <c r="B131" s="15" t="s">
        <v>108</v>
      </c>
      <c r="C131" s="15" t="s">
        <v>151</v>
      </c>
      <c r="D131" s="16" t="n">
        <v>890</v>
      </c>
      <c r="E131" s="16" t="n">
        <v>2</v>
      </c>
      <c r="F131" s="16" t="n">
        <v>8844</v>
      </c>
      <c r="G131" s="16" t="n">
        <v>22</v>
      </c>
      <c r="H131" s="15"/>
    </row>
    <row r="132" customFormat="false" ht="15" hidden="false" customHeight="false" outlineLevel="0" collapsed="false">
      <c r="A132" s="15" t="s">
        <v>28</v>
      </c>
      <c r="B132" s="15" t="s">
        <v>108</v>
      </c>
      <c r="C132" s="15" t="s">
        <v>155</v>
      </c>
      <c r="D132" s="16" t="n">
        <v>9500</v>
      </c>
      <c r="E132" s="16" t="n">
        <v>4</v>
      </c>
      <c r="F132" s="16" t="n">
        <v>4484</v>
      </c>
      <c r="G132" s="16" t="n">
        <v>49</v>
      </c>
      <c r="H132" s="15"/>
    </row>
    <row r="133" customFormat="false" ht="15" hidden="false" customHeight="false" outlineLevel="0" collapsed="false">
      <c r="A133" s="15" t="s">
        <v>28</v>
      </c>
      <c r="B133" s="15" t="s">
        <v>108</v>
      </c>
      <c r="C133" s="15" t="s">
        <v>149</v>
      </c>
      <c r="D133" s="16" t="n">
        <v>12090</v>
      </c>
      <c r="E133" s="16" t="n">
        <v>4</v>
      </c>
      <c r="F133" s="16" t="n">
        <v>4371</v>
      </c>
      <c r="G133" s="16" t="n">
        <v>93</v>
      </c>
      <c r="H133" s="15"/>
    </row>
    <row r="134" customFormat="false" ht="15" hidden="false" customHeight="false" outlineLevel="0" collapsed="false">
      <c r="A134" s="15" t="s">
        <v>28</v>
      </c>
      <c r="B134" s="15" t="s">
        <v>110</v>
      </c>
      <c r="C134" s="15" t="s">
        <v>156</v>
      </c>
      <c r="D134" s="16" t="n">
        <v>10000</v>
      </c>
      <c r="E134" s="16" t="n">
        <v>1</v>
      </c>
      <c r="F134" s="16" t="n">
        <v>7537</v>
      </c>
      <c r="G134" s="16" t="n">
        <v>129</v>
      </c>
      <c r="H134" s="15"/>
    </row>
    <row r="135" customFormat="false" ht="15" hidden="false" customHeight="false" outlineLevel="0" collapsed="false">
      <c r="A135" s="15" t="s">
        <v>28</v>
      </c>
      <c r="B135" s="15" t="s">
        <v>110</v>
      </c>
      <c r="C135" s="15" t="s">
        <v>157</v>
      </c>
      <c r="D135" s="16" t="n">
        <v>3070</v>
      </c>
      <c r="E135" s="16" t="n">
        <v>3</v>
      </c>
      <c r="F135" s="16" t="n">
        <v>3970</v>
      </c>
      <c r="G135" s="16" t="n">
        <v>25</v>
      </c>
      <c r="H135" s="15"/>
    </row>
    <row r="136" customFormat="false" ht="15" hidden="false" customHeight="false" outlineLevel="0" collapsed="false">
      <c r="A136" s="15" t="s">
        <v>28</v>
      </c>
      <c r="B136" s="15" t="s">
        <v>110</v>
      </c>
      <c r="C136" s="15" t="s">
        <v>158</v>
      </c>
      <c r="D136" s="16" t="n">
        <v>2120</v>
      </c>
      <c r="E136" s="16" t="n">
        <v>7</v>
      </c>
      <c r="F136" s="16" t="n">
        <v>4896</v>
      </c>
      <c r="G136" s="16" t="n">
        <v>26</v>
      </c>
      <c r="H136" s="15"/>
    </row>
    <row r="137" customFormat="false" ht="15" hidden="false" customHeight="false" outlineLevel="0" collapsed="false">
      <c r="A137" s="15" t="s">
        <v>28</v>
      </c>
      <c r="B137" s="15" t="s">
        <v>110</v>
      </c>
      <c r="C137" s="15" t="s">
        <v>151</v>
      </c>
      <c r="D137" s="16" t="n">
        <v>1002</v>
      </c>
      <c r="E137" s="16" t="n">
        <v>2</v>
      </c>
      <c r="F137" s="16" t="n">
        <v>9400</v>
      </c>
      <c r="G137" s="16" t="n">
        <v>32</v>
      </c>
      <c r="H137" s="15"/>
    </row>
    <row r="138" customFormat="false" ht="15" hidden="false" customHeight="false" outlineLevel="0" collapsed="false">
      <c r="A138" s="15" t="s">
        <v>28</v>
      </c>
      <c r="B138" s="15" t="s">
        <v>110</v>
      </c>
      <c r="C138" s="15" t="s">
        <v>149</v>
      </c>
      <c r="D138" s="16" t="n">
        <v>10602</v>
      </c>
      <c r="E138" s="16" t="n">
        <v>8</v>
      </c>
      <c r="F138" s="16" t="n">
        <v>15089</v>
      </c>
      <c r="G138" s="16" t="n">
        <v>180</v>
      </c>
      <c r="H138" s="15"/>
    </row>
    <row r="139" customFormat="false" ht="15" hidden="false" customHeight="false" outlineLevel="0" collapsed="false">
      <c r="A139" s="15" t="s">
        <v>28</v>
      </c>
      <c r="B139" s="15" t="s">
        <v>114</v>
      </c>
      <c r="C139" s="15" t="s">
        <v>147</v>
      </c>
      <c r="D139" s="16" t="n">
        <v>455</v>
      </c>
      <c r="E139" s="16" t="n">
        <v>1</v>
      </c>
      <c r="F139" s="16" t="n">
        <v>9337</v>
      </c>
      <c r="G139" s="16" t="n">
        <v>6</v>
      </c>
      <c r="H139" s="15"/>
    </row>
    <row r="140" customFormat="false" ht="15" hidden="false" customHeight="false" outlineLevel="0" collapsed="false">
      <c r="A140" s="15" t="s">
        <v>28</v>
      </c>
      <c r="B140" s="15" t="s">
        <v>114</v>
      </c>
      <c r="C140" s="15" t="s">
        <v>151</v>
      </c>
      <c r="D140" s="16" t="n">
        <v>890</v>
      </c>
      <c r="E140" s="16" t="n">
        <v>2</v>
      </c>
      <c r="F140" s="16" t="n">
        <v>9946</v>
      </c>
      <c r="G140" s="16" t="n">
        <v>21</v>
      </c>
      <c r="H140" s="15"/>
    </row>
    <row r="141" customFormat="false" ht="15" hidden="false" customHeight="false" outlineLevel="0" collapsed="false">
      <c r="A141" s="15" t="s">
        <v>28</v>
      </c>
      <c r="B141" s="15" t="s">
        <v>114</v>
      </c>
      <c r="C141" s="15" t="s">
        <v>149</v>
      </c>
      <c r="D141" s="16" t="n">
        <v>12090</v>
      </c>
      <c r="E141" s="16" t="n">
        <v>4</v>
      </c>
      <c r="F141" s="16" t="n">
        <v>3919</v>
      </c>
      <c r="G141" s="16" t="n">
        <v>86</v>
      </c>
      <c r="H141" s="15"/>
    </row>
    <row r="142" customFormat="false" ht="15" hidden="false" customHeight="false" outlineLevel="0" collapsed="false">
      <c r="A142" s="15" t="s">
        <v>28</v>
      </c>
      <c r="B142" s="15" t="s">
        <v>127</v>
      </c>
      <c r="C142" s="15" t="s">
        <v>111</v>
      </c>
      <c r="D142" s="16" t="n">
        <v>1839</v>
      </c>
      <c r="E142" s="16" t="n">
        <v>10</v>
      </c>
      <c r="F142" s="16" t="n">
        <v>4095</v>
      </c>
      <c r="G142" s="16" t="n">
        <v>41</v>
      </c>
      <c r="H142" s="15"/>
    </row>
    <row r="143" customFormat="false" ht="15" hidden="false" customHeight="false" outlineLevel="0" collapsed="false">
      <c r="A143" s="15" t="s">
        <v>28</v>
      </c>
      <c r="B143" s="15" t="s">
        <v>127</v>
      </c>
      <c r="C143" s="15" t="s">
        <v>151</v>
      </c>
      <c r="D143" s="16" t="n">
        <v>627</v>
      </c>
      <c r="E143" s="16" t="n">
        <v>2</v>
      </c>
      <c r="F143" s="16" t="n">
        <v>8651</v>
      </c>
      <c r="G143" s="16" t="n">
        <v>15</v>
      </c>
      <c r="H143" s="15"/>
    </row>
    <row r="144" customFormat="false" ht="15" hidden="false" customHeight="false" outlineLevel="0" collapsed="false">
      <c r="A144" s="15" t="s">
        <v>28</v>
      </c>
      <c r="B144" s="15" t="s">
        <v>128</v>
      </c>
      <c r="C144" s="15" t="s">
        <v>111</v>
      </c>
      <c r="D144" s="16" t="n">
        <v>3149</v>
      </c>
      <c r="E144" s="16" t="n">
        <v>9</v>
      </c>
      <c r="F144" s="16" t="n">
        <v>5669</v>
      </c>
      <c r="G144" s="16" t="n">
        <v>52</v>
      </c>
      <c r="H144" s="15"/>
    </row>
    <row r="145" customFormat="false" ht="15" hidden="false" customHeight="false" outlineLevel="0" collapsed="false">
      <c r="A145" s="15" t="s">
        <v>28</v>
      </c>
      <c r="B145" s="15" t="s">
        <v>128</v>
      </c>
      <c r="C145" s="15" t="s">
        <v>159</v>
      </c>
      <c r="D145" s="16" t="n">
        <v>2151</v>
      </c>
      <c r="E145" s="16" t="n">
        <v>1</v>
      </c>
      <c r="F145" s="16" t="n">
        <v>4048</v>
      </c>
      <c r="G145" s="16" t="n">
        <v>13</v>
      </c>
      <c r="H145" s="15"/>
    </row>
    <row r="146" customFormat="false" ht="15" hidden="false" customHeight="false" outlineLevel="0" collapsed="false">
      <c r="A146" s="15" t="s">
        <v>28</v>
      </c>
      <c r="B146" s="15" t="s">
        <v>129</v>
      </c>
      <c r="C146" s="15" t="s">
        <v>111</v>
      </c>
      <c r="D146" s="16" t="n">
        <v>5863</v>
      </c>
      <c r="E146" s="16" t="n">
        <v>20</v>
      </c>
      <c r="F146" s="16" t="n">
        <v>5356</v>
      </c>
      <c r="G146" s="16" t="n">
        <v>82</v>
      </c>
      <c r="H146" s="15"/>
    </row>
    <row r="147" customFormat="false" ht="15" hidden="false" customHeight="false" outlineLevel="0" collapsed="false">
      <c r="A147" s="15" t="s">
        <v>28</v>
      </c>
      <c r="B147" s="15" t="s">
        <v>129</v>
      </c>
      <c r="C147" s="15" t="s">
        <v>149</v>
      </c>
      <c r="D147" s="16" t="n">
        <v>40162</v>
      </c>
      <c r="E147" s="16" t="n">
        <v>15</v>
      </c>
      <c r="F147" s="16" t="n">
        <v>14505</v>
      </c>
      <c r="G147" s="16" t="n">
        <v>336</v>
      </c>
      <c r="H147" s="15"/>
    </row>
    <row r="148" customFormat="false" ht="15" hidden="false" customHeight="false" outlineLevel="0" collapsed="false">
      <c r="A148" s="15" t="s">
        <v>28</v>
      </c>
      <c r="B148" s="15" t="s">
        <v>129</v>
      </c>
      <c r="C148" s="15" t="s">
        <v>152</v>
      </c>
      <c r="D148" s="16" t="n">
        <v>812</v>
      </c>
      <c r="E148" s="16" t="n">
        <v>1</v>
      </c>
      <c r="F148" s="16" t="n">
        <v>10783</v>
      </c>
      <c r="G148" s="16" t="n">
        <v>6</v>
      </c>
      <c r="H148" s="15"/>
    </row>
    <row r="149" customFormat="false" ht="15" hidden="false" customHeight="false" outlineLevel="0" collapsed="false">
      <c r="A149" s="15" t="s">
        <v>28</v>
      </c>
      <c r="B149" s="15" t="s">
        <v>132</v>
      </c>
      <c r="C149" s="15" t="s">
        <v>111</v>
      </c>
      <c r="D149" s="16" t="n">
        <v>4644</v>
      </c>
      <c r="E149" s="16" t="n">
        <v>20</v>
      </c>
      <c r="F149" s="16" t="n">
        <v>6358</v>
      </c>
      <c r="G149" s="16" t="n">
        <v>108</v>
      </c>
      <c r="H149" s="15"/>
    </row>
    <row r="150" customFormat="false" ht="15" hidden="false" customHeight="false" outlineLevel="0" collapsed="false">
      <c r="A150" s="15" t="s">
        <v>28</v>
      </c>
      <c r="B150" s="15" t="s">
        <v>132</v>
      </c>
      <c r="C150" s="15" t="s">
        <v>130</v>
      </c>
      <c r="D150" s="16" t="n">
        <v>84339</v>
      </c>
      <c r="E150" s="16" t="n">
        <v>9</v>
      </c>
      <c r="F150" s="16" t="n">
        <v>6487</v>
      </c>
      <c r="G150" s="16" t="n">
        <v>89</v>
      </c>
      <c r="H150" s="15"/>
    </row>
    <row r="151" customFormat="false" ht="15" hidden="false" customHeight="false" outlineLevel="0" collapsed="false">
      <c r="A151" s="15" t="s">
        <v>28</v>
      </c>
      <c r="B151" s="15" t="s">
        <v>132</v>
      </c>
      <c r="C151" s="15" t="s">
        <v>149</v>
      </c>
      <c r="D151" s="16" t="n">
        <v>26353</v>
      </c>
      <c r="E151" s="16" t="n">
        <v>6</v>
      </c>
      <c r="F151" s="16" t="n">
        <v>8180</v>
      </c>
      <c r="G151" s="16" t="n">
        <v>136</v>
      </c>
      <c r="H151" s="15"/>
    </row>
    <row r="152" customFormat="false" ht="15" hidden="false" customHeight="false" outlineLevel="0" collapsed="false">
      <c r="A152" s="15" t="s">
        <v>28</v>
      </c>
      <c r="B152" s="15" t="s">
        <v>134</v>
      </c>
      <c r="C152" s="15" t="s">
        <v>130</v>
      </c>
      <c r="D152" s="16" t="n">
        <v>2381</v>
      </c>
      <c r="E152" s="16" t="n">
        <v>5</v>
      </c>
      <c r="F152" s="16"/>
      <c r="G152" s="16" t="n">
        <v>47</v>
      </c>
      <c r="H152" s="15"/>
    </row>
    <row r="153" customFormat="false" ht="15" hidden="false" customHeight="false" outlineLevel="0" collapsed="false">
      <c r="A153" s="15" t="s">
        <v>28</v>
      </c>
      <c r="B153" s="15" t="s">
        <v>134</v>
      </c>
      <c r="C153" s="15" t="s">
        <v>149</v>
      </c>
      <c r="D153" s="16" t="n">
        <v>48965</v>
      </c>
      <c r="E153" s="16" t="n">
        <v>15</v>
      </c>
      <c r="F153" s="16" t="n">
        <v>14899</v>
      </c>
      <c r="G153" s="16" t="n">
        <v>378</v>
      </c>
      <c r="H153" s="15"/>
    </row>
    <row r="154" customFormat="false" ht="15" hidden="false" customHeight="false" outlineLevel="0" collapsed="false">
      <c r="A154" s="15" t="s">
        <v>28</v>
      </c>
      <c r="B154" s="15" t="s">
        <v>135</v>
      </c>
      <c r="C154" s="15" t="s">
        <v>159</v>
      </c>
      <c r="D154" s="16" t="n">
        <v>2187</v>
      </c>
      <c r="E154" s="16" t="n">
        <v>1</v>
      </c>
      <c r="F154" s="16" t="n">
        <v>4179</v>
      </c>
      <c r="G154" s="16" t="n">
        <v>19</v>
      </c>
      <c r="H154" s="15"/>
    </row>
    <row r="155" customFormat="false" ht="15" hidden="false" customHeight="false" outlineLevel="0" collapsed="false">
      <c r="A155" s="15" t="s">
        <v>28</v>
      </c>
      <c r="B155" s="15" t="s">
        <v>136</v>
      </c>
      <c r="C155" s="15" t="s">
        <v>160</v>
      </c>
      <c r="D155" s="16" t="n">
        <v>35860</v>
      </c>
      <c r="E155" s="16" t="n">
        <v>66</v>
      </c>
      <c r="F155" s="16" t="n">
        <v>11264</v>
      </c>
      <c r="G155" s="16" t="n">
        <v>558</v>
      </c>
      <c r="H155" s="15"/>
    </row>
    <row r="156" customFormat="false" ht="15" hidden="false" customHeight="false" outlineLevel="0" collapsed="false">
      <c r="A156" s="15" t="s">
        <v>28</v>
      </c>
      <c r="B156" s="15" t="s">
        <v>138</v>
      </c>
      <c r="C156" s="15" t="s">
        <v>160</v>
      </c>
      <c r="D156" s="16" t="n">
        <v>47395</v>
      </c>
      <c r="E156" s="16" t="n">
        <v>48</v>
      </c>
      <c r="F156" s="16" t="n">
        <v>8303</v>
      </c>
      <c r="G156" s="16" t="n">
        <v>533</v>
      </c>
      <c r="H156" s="15"/>
    </row>
    <row r="157" customFormat="false" ht="15" hidden="false" customHeight="false" outlineLevel="0" collapsed="false">
      <c r="A157" s="15" t="s">
        <v>28</v>
      </c>
      <c r="B157" s="15" t="s">
        <v>138</v>
      </c>
      <c r="C157" s="15" t="s">
        <v>159</v>
      </c>
      <c r="D157" s="16" t="n">
        <v>2226</v>
      </c>
      <c r="E157" s="16" t="n">
        <v>1</v>
      </c>
      <c r="F157" s="16" t="n">
        <v>4179</v>
      </c>
      <c r="G157" s="16" t="n">
        <v>15</v>
      </c>
      <c r="H157" s="15"/>
    </row>
    <row r="158" customFormat="false" ht="15" hidden="false" customHeight="false" outlineLevel="0" collapsed="false">
      <c r="A158" s="15" t="s">
        <v>28</v>
      </c>
      <c r="B158" s="15" t="s">
        <v>139</v>
      </c>
      <c r="C158" s="15" t="s">
        <v>160</v>
      </c>
      <c r="D158" s="16" t="n">
        <v>56164</v>
      </c>
      <c r="E158" s="16" t="n">
        <v>79</v>
      </c>
      <c r="F158" s="16" t="n">
        <v>12542</v>
      </c>
      <c r="G158" s="16" t="n">
        <v>770</v>
      </c>
      <c r="H158" s="15"/>
    </row>
    <row r="159" customFormat="false" ht="15" hidden="false" customHeight="false" outlineLevel="0" collapsed="false">
      <c r="A159" s="15" t="s">
        <v>28</v>
      </c>
      <c r="B159" s="15" t="s">
        <v>142</v>
      </c>
      <c r="C159" s="15" t="s">
        <v>160</v>
      </c>
      <c r="D159" s="16" t="n">
        <v>32056</v>
      </c>
      <c r="E159" s="16" t="n">
        <v>35</v>
      </c>
      <c r="F159" s="16" t="n">
        <v>7140</v>
      </c>
      <c r="G159" s="16" t="n">
        <v>448</v>
      </c>
      <c r="H159" s="15"/>
    </row>
    <row r="160" customFormat="false" ht="15" hidden="false" customHeight="false" outlineLevel="0" collapsed="false">
      <c r="A160" s="15" t="s">
        <v>10</v>
      </c>
      <c r="B160" s="15" t="s">
        <v>103</v>
      </c>
      <c r="C160" s="15" t="s">
        <v>161</v>
      </c>
      <c r="D160" s="16" t="n">
        <v>88966</v>
      </c>
      <c r="E160" s="16" t="n">
        <v>52</v>
      </c>
      <c r="F160" s="16" t="n">
        <v>7470</v>
      </c>
      <c r="G160" s="16" t="n">
        <v>991</v>
      </c>
      <c r="H160" s="15"/>
    </row>
    <row r="161" customFormat="false" ht="15" hidden="false" customHeight="false" outlineLevel="0" collapsed="false">
      <c r="A161" s="15" t="s">
        <v>10</v>
      </c>
      <c r="B161" s="15" t="s">
        <v>106</v>
      </c>
      <c r="C161" s="15" t="s">
        <v>161</v>
      </c>
      <c r="D161" s="16" t="n">
        <v>172681</v>
      </c>
      <c r="E161" s="16" t="n">
        <v>79</v>
      </c>
      <c r="F161" s="16" t="n">
        <v>7910</v>
      </c>
      <c r="G161" s="16" t="n">
        <v>1839</v>
      </c>
      <c r="H161" s="15"/>
    </row>
    <row r="162" customFormat="false" ht="15" hidden="false" customHeight="false" outlineLevel="0" collapsed="false">
      <c r="A162" s="15" t="s">
        <v>10</v>
      </c>
      <c r="B162" s="15" t="s">
        <v>107</v>
      </c>
      <c r="C162" s="15" t="s">
        <v>161</v>
      </c>
      <c r="D162" s="16" t="n">
        <v>130371</v>
      </c>
      <c r="E162" s="16" t="n">
        <v>83</v>
      </c>
      <c r="F162" s="16" t="n">
        <v>9590</v>
      </c>
      <c r="G162" s="16" t="n">
        <v>1524</v>
      </c>
      <c r="H162" s="15"/>
    </row>
    <row r="163" customFormat="false" ht="15" hidden="false" customHeight="false" outlineLevel="0" collapsed="false">
      <c r="A163" s="15" t="s">
        <v>10</v>
      </c>
      <c r="B163" s="15" t="s">
        <v>108</v>
      </c>
      <c r="C163" s="15" t="s">
        <v>161</v>
      </c>
      <c r="D163" s="16" t="n">
        <v>370639</v>
      </c>
      <c r="E163" s="16" t="n">
        <v>103</v>
      </c>
      <c r="F163" s="16" t="n">
        <v>7504</v>
      </c>
      <c r="G163" s="16" t="n">
        <v>3805</v>
      </c>
      <c r="H163" s="15"/>
    </row>
    <row r="164" customFormat="false" ht="15" hidden="false" customHeight="false" outlineLevel="0" collapsed="false">
      <c r="A164" s="15" t="s">
        <v>10</v>
      </c>
      <c r="B164" s="15" t="s">
        <v>110</v>
      </c>
      <c r="C164" s="15" t="s">
        <v>161</v>
      </c>
      <c r="D164" s="16" t="n">
        <v>175387</v>
      </c>
      <c r="E164" s="16" t="n">
        <v>72</v>
      </c>
      <c r="F164" s="16" t="n">
        <v>11390</v>
      </c>
      <c r="G164" s="16" t="n">
        <v>2345</v>
      </c>
      <c r="H164" s="15"/>
    </row>
    <row r="165" customFormat="false" ht="15" hidden="false" customHeight="false" outlineLevel="0" collapsed="false">
      <c r="A165" s="15" t="s">
        <v>10</v>
      </c>
      <c r="B165" s="15" t="s">
        <v>114</v>
      </c>
      <c r="C165" s="15" t="s">
        <v>161</v>
      </c>
      <c r="D165" s="16" t="n">
        <v>134787</v>
      </c>
      <c r="E165" s="16" t="n">
        <v>55</v>
      </c>
      <c r="F165" s="16" t="n">
        <v>7983</v>
      </c>
      <c r="G165" s="16" t="n">
        <v>1382</v>
      </c>
      <c r="H165" s="15"/>
    </row>
    <row r="166" customFormat="false" ht="15" hidden="false" customHeight="false" outlineLevel="0" collapsed="false">
      <c r="A166" s="15" t="s">
        <v>10</v>
      </c>
      <c r="B166" s="15" t="s">
        <v>127</v>
      </c>
      <c r="C166" s="15" t="s">
        <v>161</v>
      </c>
      <c r="D166" s="16" t="n">
        <v>189937</v>
      </c>
      <c r="E166" s="16" t="n">
        <v>57</v>
      </c>
      <c r="F166" s="16" t="n">
        <v>11194</v>
      </c>
      <c r="G166" s="16" t="n">
        <v>2266</v>
      </c>
      <c r="H166" s="15"/>
    </row>
    <row r="167" customFormat="false" ht="15" hidden="false" customHeight="false" outlineLevel="0" collapsed="false">
      <c r="A167" s="15" t="s">
        <v>10</v>
      </c>
      <c r="B167" s="15" t="s">
        <v>127</v>
      </c>
      <c r="C167" s="15" t="s">
        <v>162</v>
      </c>
      <c r="D167" s="16" t="n">
        <v>994</v>
      </c>
      <c r="E167" s="16" t="n">
        <v>1</v>
      </c>
      <c r="F167" s="16" t="n">
        <v>5341</v>
      </c>
      <c r="G167" s="16" t="n">
        <v>3</v>
      </c>
      <c r="H167" s="15"/>
    </row>
    <row r="168" customFormat="false" ht="15" hidden="false" customHeight="false" outlineLevel="0" collapsed="false">
      <c r="A168" s="15" t="s">
        <v>10</v>
      </c>
      <c r="B168" s="15" t="s">
        <v>128</v>
      </c>
      <c r="C168" s="15" t="s">
        <v>161</v>
      </c>
      <c r="D168" s="16" t="n">
        <v>160051</v>
      </c>
      <c r="E168" s="16" t="n">
        <v>55</v>
      </c>
      <c r="F168" s="16" t="n">
        <v>7784</v>
      </c>
      <c r="G168" s="16" t="n">
        <v>1751</v>
      </c>
      <c r="H168" s="15"/>
    </row>
    <row r="169" customFormat="false" ht="15" hidden="false" customHeight="false" outlineLevel="0" collapsed="false">
      <c r="A169" s="15" t="s">
        <v>10</v>
      </c>
      <c r="B169" s="15" t="s">
        <v>128</v>
      </c>
      <c r="C169" s="15" t="s">
        <v>148</v>
      </c>
      <c r="D169" s="16" t="n">
        <v>13638</v>
      </c>
      <c r="E169" s="16" t="n">
        <v>16</v>
      </c>
      <c r="F169" s="16" t="n">
        <v>5422</v>
      </c>
      <c r="G169" s="16" t="n">
        <v>124</v>
      </c>
      <c r="H169" s="15"/>
    </row>
    <row r="170" customFormat="false" ht="15" hidden="false" customHeight="false" outlineLevel="0" collapsed="false">
      <c r="A170" s="15" t="s">
        <v>10</v>
      </c>
      <c r="B170" s="15" t="s">
        <v>129</v>
      </c>
      <c r="C170" s="15" t="s">
        <v>161</v>
      </c>
      <c r="D170" s="16" t="n">
        <v>200411</v>
      </c>
      <c r="E170" s="16" t="n">
        <v>75</v>
      </c>
      <c r="F170" s="16" t="n">
        <v>10683</v>
      </c>
      <c r="G170" s="16" t="n">
        <v>2493</v>
      </c>
      <c r="H170" s="15"/>
    </row>
    <row r="171" customFormat="false" ht="15" hidden="false" customHeight="false" outlineLevel="0" collapsed="false">
      <c r="A171" s="15" t="s">
        <v>10</v>
      </c>
      <c r="B171" s="15" t="s">
        <v>132</v>
      </c>
      <c r="C171" s="15" t="s">
        <v>161</v>
      </c>
      <c r="D171" s="16" t="n">
        <v>160572</v>
      </c>
      <c r="E171" s="16" t="n">
        <v>66</v>
      </c>
      <c r="F171" s="16" t="n">
        <v>7478</v>
      </c>
      <c r="G171" s="16" t="n">
        <v>1764</v>
      </c>
      <c r="H171" s="15"/>
    </row>
    <row r="172" customFormat="false" ht="15" hidden="false" customHeight="false" outlineLevel="0" collapsed="false">
      <c r="A172" s="15" t="s">
        <v>10</v>
      </c>
      <c r="B172" s="15" t="s">
        <v>134</v>
      </c>
      <c r="C172" s="15" t="s">
        <v>161</v>
      </c>
      <c r="D172" s="16" t="n">
        <v>200202</v>
      </c>
      <c r="E172" s="16" t="n">
        <v>83</v>
      </c>
      <c r="F172" s="16" t="n">
        <v>10510</v>
      </c>
      <c r="G172" s="16" t="n">
        <v>2877</v>
      </c>
      <c r="H172" s="15"/>
    </row>
    <row r="173" customFormat="false" ht="15" hidden="false" customHeight="false" outlineLevel="0" collapsed="false">
      <c r="A173" s="15" t="s">
        <v>10</v>
      </c>
      <c r="B173" s="15" t="s">
        <v>135</v>
      </c>
      <c r="C173" s="15" t="s">
        <v>161</v>
      </c>
      <c r="D173" s="16" t="n">
        <v>144941</v>
      </c>
      <c r="E173" s="16" t="n">
        <v>50</v>
      </c>
      <c r="F173" s="16" t="n">
        <v>9369</v>
      </c>
      <c r="G173" s="16" t="n">
        <v>1875</v>
      </c>
      <c r="H173" s="15"/>
    </row>
    <row r="174" customFormat="false" ht="15" hidden="false" customHeight="false" outlineLevel="0" collapsed="false">
      <c r="A174" s="15" t="s">
        <v>10</v>
      </c>
      <c r="B174" s="15" t="s">
        <v>135</v>
      </c>
      <c r="C174" s="15" t="s">
        <v>160</v>
      </c>
      <c r="D174" s="16" t="n">
        <v>28056</v>
      </c>
      <c r="E174" s="16" t="n">
        <v>38</v>
      </c>
      <c r="F174" s="16" t="n">
        <v>10315</v>
      </c>
      <c r="G174" s="16" t="n">
        <v>424</v>
      </c>
      <c r="H174" s="15"/>
    </row>
    <row r="175" customFormat="false" ht="15" hidden="false" customHeight="false" outlineLevel="0" collapsed="false">
      <c r="A175" s="15" t="s">
        <v>10</v>
      </c>
      <c r="B175" s="15" t="s">
        <v>136</v>
      </c>
      <c r="C175" s="15" t="s">
        <v>161</v>
      </c>
      <c r="D175" s="16" t="n">
        <v>167156</v>
      </c>
      <c r="E175" s="16" t="n">
        <v>86</v>
      </c>
      <c r="F175" s="16" t="n">
        <v>11603</v>
      </c>
      <c r="G175" s="16" t="n">
        <v>2404</v>
      </c>
      <c r="H175" s="15"/>
    </row>
    <row r="176" customFormat="false" ht="15" hidden="false" customHeight="false" outlineLevel="0" collapsed="false">
      <c r="A176" s="15" t="s">
        <v>10</v>
      </c>
      <c r="B176" s="15" t="s">
        <v>138</v>
      </c>
      <c r="C176" s="15" t="s">
        <v>161</v>
      </c>
      <c r="D176" s="16" t="n">
        <v>100919</v>
      </c>
      <c r="E176" s="16" t="n">
        <v>41</v>
      </c>
      <c r="F176" s="16" t="n">
        <v>8241</v>
      </c>
      <c r="G176" s="16" t="n">
        <v>1166</v>
      </c>
      <c r="H176" s="15"/>
    </row>
    <row r="177" customFormat="false" ht="15" hidden="false" customHeight="false" outlineLevel="0" collapsed="false">
      <c r="A177" s="15" t="s">
        <v>10</v>
      </c>
      <c r="B177" s="15" t="s">
        <v>139</v>
      </c>
      <c r="C177" s="15" t="s">
        <v>161</v>
      </c>
      <c r="D177" s="16" t="n">
        <v>179012</v>
      </c>
      <c r="E177" s="16" t="n">
        <v>89</v>
      </c>
      <c r="F177" s="16" t="n">
        <v>12542</v>
      </c>
      <c r="G177" s="16" t="n">
        <v>2922</v>
      </c>
      <c r="H177" s="15"/>
    </row>
    <row r="178" customFormat="false" ht="15" hidden="false" customHeight="false" outlineLevel="0" collapsed="false">
      <c r="A178" s="15" t="s">
        <v>10</v>
      </c>
      <c r="B178" s="15" t="s">
        <v>142</v>
      </c>
      <c r="C178" s="15" t="s">
        <v>161</v>
      </c>
      <c r="D178" s="16" t="n">
        <v>207757</v>
      </c>
      <c r="E178" s="16" t="n">
        <v>45</v>
      </c>
      <c r="F178" s="16" t="n">
        <v>7140</v>
      </c>
      <c r="G178" s="16" t="n">
        <v>2471</v>
      </c>
      <c r="H178" s="15"/>
    </row>
    <row r="179" customFormat="false" ht="15" hidden="false" customHeight="false" outlineLevel="0" collapsed="false">
      <c r="A179" s="15" t="s">
        <v>14</v>
      </c>
      <c r="B179" s="15" t="s">
        <v>127</v>
      </c>
      <c r="C179" s="15" t="s">
        <v>104</v>
      </c>
      <c r="D179" s="16" t="n">
        <v>1350</v>
      </c>
      <c r="E179" s="16" t="n">
        <v>2</v>
      </c>
      <c r="F179" s="16" t="n">
        <v>9648</v>
      </c>
      <c r="G179" s="16" t="n">
        <v>32</v>
      </c>
      <c r="H179" s="15"/>
    </row>
    <row r="180" customFormat="false" ht="15" hidden="false" customHeight="false" outlineLevel="0" collapsed="false">
      <c r="A180" s="15" t="s">
        <v>14</v>
      </c>
      <c r="B180" s="15" t="s">
        <v>127</v>
      </c>
      <c r="C180" s="15" t="s">
        <v>130</v>
      </c>
      <c r="D180" s="16" t="n">
        <v>1969</v>
      </c>
      <c r="E180" s="16" t="n">
        <v>15</v>
      </c>
      <c r="F180" s="16" t="n">
        <v>5872</v>
      </c>
      <c r="G180" s="16" t="n">
        <v>46</v>
      </c>
      <c r="H180" s="15"/>
    </row>
    <row r="181" customFormat="false" ht="15" hidden="false" customHeight="false" outlineLevel="0" collapsed="false">
      <c r="A181" s="15" t="s">
        <v>14</v>
      </c>
      <c r="B181" s="15" t="s">
        <v>128</v>
      </c>
      <c r="C181" s="15" t="s">
        <v>104</v>
      </c>
      <c r="D181" s="16" t="n">
        <v>1138</v>
      </c>
      <c r="E181" s="16" t="n">
        <v>6</v>
      </c>
      <c r="F181" s="16" t="n">
        <v>9775</v>
      </c>
      <c r="G181" s="16" t="n">
        <v>36</v>
      </c>
      <c r="H181" s="15"/>
    </row>
    <row r="182" customFormat="false" ht="15" hidden="false" customHeight="false" outlineLevel="0" collapsed="false">
      <c r="A182" s="15" t="s">
        <v>14</v>
      </c>
      <c r="B182" s="15" t="s">
        <v>128</v>
      </c>
      <c r="C182" s="15" t="s">
        <v>130</v>
      </c>
      <c r="D182" s="16" t="n">
        <v>3963</v>
      </c>
      <c r="E182" s="16" t="n">
        <v>6</v>
      </c>
      <c r="F182" s="16" t="n">
        <v>5170</v>
      </c>
      <c r="G182" s="16" t="n">
        <v>52</v>
      </c>
      <c r="H182" s="15"/>
    </row>
    <row r="183" customFormat="false" ht="15" hidden="false" customHeight="false" outlineLevel="0" collapsed="false">
      <c r="A183" s="15" t="s">
        <v>14</v>
      </c>
      <c r="B183" s="15" t="s">
        <v>129</v>
      </c>
      <c r="C183" s="15" t="s">
        <v>113</v>
      </c>
      <c r="D183" s="16" t="n">
        <v>6361</v>
      </c>
      <c r="E183" s="16" t="n">
        <v>5</v>
      </c>
      <c r="F183" s="16" t="n">
        <v>8228</v>
      </c>
      <c r="G183" s="16" t="n">
        <v>75</v>
      </c>
      <c r="H183" s="15"/>
    </row>
    <row r="184" customFormat="false" ht="15" hidden="false" customHeight="false" outlineLevel="0" collapsed="false">
      <c r="A184" s="15" t="s">
        <v>14</v>
      </c>
      <c r="B184" s="15" t="s">
        <v>129</v>
      </c>
      <c r="C184" s="15" t="s">
        <v>116</v>
      </c>
      <c r="D184" s="16" t="n">
        <v>2297</v>
      </c>
      <c r="E184" s="16" t="n">
        <v>4</v>
      </c>
      <c r="F184" s="16" t="n">
        <v>15725</v>
      </c>
      <c r="G184" s="16" t="n">
        <v>44</v>
      </c>
      <c r="H184" s="15"/>
    </row>
    <row r="185" customFormat="false" ht="15" hidden="false" customHeight="false" outlineLevel="0" collapsed="false">
      <c r="A185" s="15" t="s">
        <v>14</v>
      </c>
      <c r="B185" s="15" t="s">
        <v>132</v>
      </c>
      <c r="C185" s="15" t="s">
        <v>113</v>
      </c>
      <c r="D185" s="16" t="n">
        <v>3824</v>
      </c>
      <c r="E185" s="16" t="n">
        <v>4</v>
      </c>
      <c r="F185" s="16" t="n">
        <v>6325</v>
      </c>
      <c r="G185" s="16" t="n">
        <v>41</v>
      </c>
      <c r="H185" s="15"/>
    </row>
    <row r="186" customFormat="false" ht="15" hidden="false" customHeight="false" outlineLevel="0" collapsed="false">
      <c r="A186" s="15" t="s">
        <v>14</v>
      </c>
      <c r="B186" s="15" t="s">
        <v>134</v>
      </c>
      <c r="C186" s="15" t="s">
        <v>116</v>
      </c>
      <c r="D186" s="16" t="n">
        <v>3823</v>
      </c>
      <c r="E186" s="16" t="n">
        <v>11</v>
      </c>
      <c r="F186" s="16" t="n">
        <v>11845</v>
      </c>
      <c r="G186" s="16" t="n">
        <v>100</v>
      </c>
      <c r="H186" s="15"/>
    </row>
    <row r="187" customFormat="false" ht="15" hidden="false" customHeight="false" outlineLevel="0" collapsed="false">
      <c r="A187" s="15" t="s">
        <v>14</v>
      </c>
      <c r="B187" s="15" t="s">
        <v>134</v>
      </c>
      <c r="C187" s="15" t="s">
        <v>130</v>
      </c>
      <c r="D187" s="16" t="n">
        <v>20545</v>
      </c>
      <c r="E187" s="16" t="n">
        <v>36</v>
      </c>
      <c r="F187" s="16" t="n">
        <v>11334</v>
      </c>
      <c r="G187" s="16" t="n">
        <v>435</v>
      </c>
      <c r="H187" s="15"/>
    </row>
    <row r="188" customFormat="false" ht="15" hidden="false" customHeight="false" outlineLevel="0" collapsed="false">
      <c r="A188" s="15" t="s">
        <v>14</v>
      </c>
      <c r="B188" s="15" t="s">
        <v>135</v>
      </c>
      <c r="C188" s="15" t="s">
        <v>130</v>
      </c>
      <c r="D188" s="16" t="n">
        <v>15631</v>
      </c>
      <c r="E188" s="16" t="n">
        <v>15</v>
      </c>
      <c r="F188" s="16" t="n">
        <v>7746</v>
      </c>
      <c r="G188" s="16" t="n">
        <v>236</v>
      </c>
      <c r="H188" s="15"/>
    </row>
    <row r="189" customFormat="false" ht="15" hidden="false" customHeight="false" outlineLevel="0" collapsed="false">
      <c r="A189" s="15" t="s">
        <v>14</v>
      </c>
      <c r="B189" s="15" t="s">
        <v>136</v>
      </c>
      <c r="C189" s="15" t="s">
        <v>130</v>
      </c>
      <c r="D189" s="16" t="n">
        <v>18775</v>
      </c>
      <c r="E189" s="16" t="n">
        <v>36</v>
      </c>
      <c r="F189" s="16" t="n">
        <v>11931</v>
      </c>
      <c r="G189" s="16" t="n">
        <v>361</v>
      </c>
      <c r="H189" s="15"/>
    </row>
    <row r="190" customFormat="false" ht="15" hidden="false" customHeight="false" outlineLevel="0" collapsed="false">
      <c r="A190" s="15" t="s">
        <v>14</v>
      </c>
      <c r="B190" s="15" t="s">
        <v>138</v>
      </c>
      <c r="C190" s="15" t="s">
        <v>130</v>
      </c>
      <c r="D190" s="16" t="n">
        <v>22139</v>
      </c>
      <c r="E190" s="16" t="n">
        <v>23</v>
      </c>
      <c r="F190" s="16" t="n">
        <v>8161</v>
      </c>
      <c r="G190" s="16" t="n">
        <v>315</v>
      </c>
      <c r="H190" s="15"/>
    </row>
    <row r="191" customFormat="false" ht="15" hidden="false" customHeight="false" outlineLevel="0" collapsed="false">
      <c r="A191" s="15" t="s">
        <v>163</v>
      </c>
      <c r="B191" s="15" t="s">
        <v>127</v>
      </c>
      <c r="C191" s="15" t="s">
        <v>149</v>
      </c>
      <c r="D191" s="16" t="n">
        <v>23182</v>
      </c>
      <c r="E191" s="16" t="n">
        <v>8</v>
      </c>
      <c r="F191" s="16" t="n">
        <v>15294</v>
      </c>
      <c r="G191" s="16" t="n">
        <v>271</v>
      </c>
      <c r="H191" s="15"/>
    </row>
    <row r="192" customFormat="false" ht="15" hidden="false" customHeight="false" outlineLevel="0" collapsed="false">
      <c r="A192" s="15" t="s">
        <v>163</v>
      </c>
      <c r="B192" s="15" t="s">
        <v>127</v>
      </c>
      <c r="C192" s="15" t="s">
        <v>154</v>
      </c>
      <c r="D192" s="16" t="n">
        <v>2223</v>
      </c>
      <c r="E192" s="16" t="n">
        <v>3</v>
      </c>
      <c r="F192" s="16" t="n">
        <v>10667</v>
      </c>
      <c r="G192" s="16" t="n">
        <v>24</v>
      </c>
      <c r="H192" s="15"/>
    </row>
    <row r="193" customFormat="false" ht="15" hidden="false" customHeight="false" outlineLevel="0" collapsed="false">
      <c r="A193" s="15" t="s">
        <v>163</v>
      </c>
      <c r="B193" s="15" t="s">
        <v>128</v>
      </c>
      <c r="C193" s="15" t="s">
        <v>149</v>
      </c>
      <c r="D193" s="16" t="n">
        <v>19732</v>
      </c>
      <c r="E193" s="16" t="n">
        <v>4</v>
      </c>
      <c r="F193" s="16" t="n">
        <v>7833</v>
      </c>
      <c r="G193" s="16" t="n">
        <v>196</v>
      </c>
      <c r="H193" s="15"/>
    </row>
    <row r="194" customFormat="false" ht="15" hidden="false" customHeight="false" outlineLevel="0" collapsed="false">
      <c r="A194" s="15" t="s">
        <v>164</v>
      </c>
      <c r="B194" s="15" t="s">
        <v>134</v>
      </c>
      <c r="C194" s="15" t="s">
        <v>165</v>
      </c>
      <c r="D194" s="16" t="n">
        <v>50</v>
      </c>
      <c r="E194" s="16" t="n">
        <v>1</v>
      </c>
      <c r="F194" s="16" t="n">
        <v>4832</v>
      </c>
      <c r="G194" s="16" t="n">
        <v>1</v>
      </c>
      <c r="H194" s="15"/>
    </row>
    <row r="195" customFormat="false" ht="15" hidden="false" customHeight="false" outlineLevel="0" collapsed="false">
      <c r="A195" s="15" t="s">
        <v>164</v>
      </c>
      <c r="B195" s="15" t="s">
        <v>134</v>
      </c>
      <c r="C195" s="15" t="s">
        <v>159</v>
      </c>
      <c r="D195" s="16" t="n">
        <v>500</v>
      </c>
      <c r="E195" s="16" t="n">
        <v>1</v>
      </c>
      <c r="F195" s="16" t="n">
        <v>2654</v>
      </c>
      <c r="G195" s="16" t="n">
        <v>6</v>
      </c>
      <c r="H195" s="15"/>
    </row>
    <row r="196" customFormat="false" ht="15" hidden="false" customHeight="false" outlineLevel="0" collapsed="false">
      <c r="A196" s="15" t="s">
        <v>164</v>
      </c>
      <c r="B196" s="15" t="s">
        <v>134</v>
      </c>
      <c r="C196" s="15" t="s">
        <v>150</v>
      </c>
      <c r="D196" s="16" t="n">
        <v>3892</v>
      </c>
      <c r="E196" s="16" t="n">
        <v>7</v>
      </c>
      <c r="F196" s="16" t="n">
        <v>10672</v>
      </c>
      <c r="G196" s="16" t="n">
        <v>73</v>
      </c>
      <c r="H196" s="15"/>
    </row>
    <row r="197" customFormat="false" ht="15" hidden="false" customHeight="false" outlineLevel="0" collapsed="false">
      <c r="A197" s="15" t="s">
        <v>164</v>
      </c>
      <c r="B197" s="15" t="s">
        <v>134</v>
      </c>
      <c r="C197" s="15" t="s">
        <v>166</v>
      </c>
      <c r="D197" s="16" t="n">
        <v>3373</v>
      </c>
      <c r="E197" s="16" t="n">
        <v>15</v>
      </c>
      <c r="F197" s="16" t="n">
        <v>5354</v>
      </c>
      <c r="G197" s="16" t="n">
        <v>58</v>
      </c>
      <c r="H197" s="15"/>
    </row>
    <row r="198" customFormat="false" ht="15" hidden="false" customHeight="false" outlineLevel="0" collapsed="false">
      <c r="A198" s="15" t="s">
        <v>164</v>
      </c>
      <c r="B198" s="15" t="s">
        <v>135</v>
      </c>
      <c r="C198" s="15" t="s">
        <v>165</v>
      </c>
      <c r="D198" s="16" t="n">
        <v>3813</v>
      </c>
      <c r="E198" s="16" t="n">
        <v>20</v>
      </c>
      <c r="F198" s="16" t="n">
        <v>5267</v>
      </c>
      <c r="G198" s="16" t="n">
        <v>56</v>
      </c>
      <c r="H198" s="15"/>
    </row>
    <row r="199" customFormat="false" ht="15" hidden="false" customHeight="false" outlineLevel="0" collapsed="false">
      <c r="A199" s="15" t="s">
        <v>164</v>
      </c>
      <c r="B199" s="15" t="s">
        <v>135</v>
      </c>
      <c r="C199" s="15" t="s">
        <v>150</v>
      </c>
      <c r="D199" s="16" t="n">
        <v>290</v>
      </c>
      <c r="E199" s="16" t="n">
        <v>1</v>
      </c>
      <c r="F199" s="16" t="n">
        <v>8454</v>
      </c>
      <c r="G199" s="16" t="n">
        <v>11</v>
      </c>
      <c r="H199" s="15"/>
    </row>
    <row r="200" customFormat="false" ht="15" hidden="false" customHeight="false" outlineLevel="0" collapsed="false">
      <c r="A200" s="15" t="s">
        <v>164</v>
      </c>
      <c r="B200" s="15" t="s">
        <v>135</v>
      </c>
      <c r="C200" s="15" t="s">
        <v>166</v>
      </c>
      <c r="D200" s="16" t="n">
        <v>2061</v>
      </c>
      <c r="E200" s="16" t="n">
        <v>9</v>
      </c>
      <c r="F200" s="16" t="n">
        <v>4194</v>
      </c>
      <c r="G200" s="16" t="n">
        <v>52</v>
      </c>
      <c r="H200" s="15"/>
    </row>
    <row r="201" customFormat="false" ht="15" hidden="false" customHeight="false" outlineLevel="0" collapsed="false">
      <c r="A201" s="15" t="s">
        <v>164</v>
      </c>
      <c r="B201" s="15" t="s">
        <v>135</v>
      </c>
      <c r="C201" s="15" t="s">
        <v>167</v>
      </c>
      <c r="D201" s="16" t="n">
        <v>6</v>
      </c>
      <c r="E201" s="16" t="n">
        <v>2</v>
      </c>
      <c r="F201" s="16" t="n">
        <v>14012</v>
      </c>
      <c r="G201" s="16" t="n">
        <v>3</v>
      </c>
      <c r="H201" s="15"/>
    </row>
    <row r="202" customFormat="false" ht="15" hidden="false" customHeight="false" outlineLevel="0" collapsed="false">
      <c r="A202" s="15" t="s">
        <v>164</v>
      </c>
      <c r="B202" s="15" t="s">
        <v>136</v>
      </c>
      <c r="C202" s="15" t="s">
        <v>165</v>
      </c>
      <c r="D202" s="16" t="n">
        <v>1099</v>
      </c>
      <c r="E202" s="16" t="n">
        <v>5</v>
      </c>
      <c r="F202" s="16" t="n">
        <v>3915</v>
      </c>
      <c r="G202" s="16" t="n">
        <v>25</v>
      </c>
      <c r="H202" s="15"/>
    </row>
    <row r="203" customFormat="false" ht="15" hidden="false" customHeight="false" outlineLevel="0" collapsed="false">
      <c r="A203" s="15" t="s">
        <v>164</v>
      </c>
      <c r="B203" s="15" t="s">
        <v>136</v>
      </c>
      <c r="C203" s="15" t="s">
        <v>168</v>
      </c>
      <c r="D203" s="16" t="n">
        <v>300</v>
      </c>
      <c r="E203" s="16" t="n">
        <v>3</v>
      </c>
      <c r="F203" s="16" t="n">
        <v>9890</v>
      </c>
      <c r="G203" s="16" t="n">
        <v>18</v>
      </c>
      <c r="H203" s="15"/>
    </row>
    <row r="204" customFormat="false" ht="15" hidden="false" customHeight="false" outlineLevel="0" collapsed="false">
      <c r="A204" s="15" t="s">
        <v>164</v>
      </c>
      <c r="B204" s="15" t="s">
        <v>136</v>
      </c>
      <c r="C204" s="15" t="s">
        <v>166</v>
      </c>
      <c r="D204" s="16" t="n">
        <v>1916</v>
      </c>
      <c r="E204" s="16" t="n">
        <v>9</v>
      </c>
      <c r="F204" s="16" t="n">
        <v>7430</v>
      </c>
      <c r="G204" s="16" t="n">
        <v>19</v>
      </c>
      <c r="H204" s="15"/>
    </row>
    <row r="205" customFormat="false" ht="15" hidden="false" customHeight="false" outlineLevel="0" collapsed="false">
      <c r="A205" s="15" t="s">
        <v>164</v>
      </c>
      <c r="B205" s="15" t="s">
        <v>136</v>
      </c>
      <c r="C205" s="15" t="s">
        <v>167</v>
      </c>
      <c r="D205" s="16" t="n">
        <v>52</v>
      </c>
      <c r="E205" s="16" t="n">
        <v>2</v>
      </c>
      <c r="F205" s="16" t="n">
        <v>14012</v>
      </c>
      <c r="G205" s="16" t="n">
        <v>26</v>
      </c>
      <c r="H205" s="15"/>
    </row>
    <row r="206" customFormat="false" ht="15" hidden="false" customHeight="false" outlineLevel="0" collapsed="false">
      <c r="A206" s="15" t="s">
        <v>164</v>
      </c>
      <c r="B206" s="15" t="s">
        <v>138</v>
      </c>
      <c r="C206" s="15" t="s">
        <v>165</v>
      </c>
      <c r="D206" s="16" t="n">
        <v>9386</v>
      </c>
      <c r="E206" s="16" t="n">
        <v>26</v>
      </c>
      <c r="F206" s="16" t="n">
        <v>8463</v>
      </c>
      <c r="G206" s="16" t="n">
        <v>40</v>
      </c>
      <c r="H206" s="15"/>
    </row>
    <row r="207" customFormat="false" ht="15" hidden="false" customHeight="false" outlineLevel="0" collapsed="false">
      <c r="A207" s="15" t="s">
        <v>164</v>
      </c>
      <c r="B207" s="15" t="s">
        <v>138</v>
      </c>
      <c r="C207" s="15" t="s">
        <v>167</v>
      </c>
      <c r="D207" s="16" t="n">
        <v>298</v>
      </c>
      <c r="E207" s="16" t="n">
        <v>7</v>
      </c>
      <c r="F207" s="16" t="n">
        <v>13614</v>
      </c>
      <c r="G207" s="16" t="n">
        <v>16</v>
      </c>
      <c r="H207" s="15"/>
    </row>
    <row r="208" customFormat="false" ht="15" hidden="false" customHeight="false" outlineLevel="0" collapsed="false">
      <c r="A208" s="15" t="s">
        <v>164</v>
      </c>
      <c r="B208" s="15" t="s">
        <v>139</v>
      </c>
      <c r="C208" s="15" t="s">
        <v>165</v>
      </c>
      <c r="D208" s="16" t="n">
        <v>20689</v>
      </c>
      <c r="E208" s="16" t="n">
        <v>37</v>
      </c>
      <c r="F208" s="16" t="n">
        <v>9594</v>
      </c>
      <c r="G208" s="16" t="n">
        <v>366</v>
      </c>
      <c r="H208" s="15" t="s">
        <v>169</v>
      </c>
    </row>
    <row r="209" customFormat="false" ht="15" hidden="false" customHeight="false" outlineLevel="0" collapsed="false">
      <c r="A209" s="15" t="s">
        <v>164</v>
      </c>
      <c r="B209" s="15" t="s">
        <v>139</v>
      </c>
      <c r="C209" s="15" t="s">
        <v>130</v>
      </c>
      <c r="D209" s="16" t="n">
        <v>27289</v>
      </c>
      <c r="E209" s="16" t="n">
        <v>33</v>
      </c>
      <c r="F209" s="16" t="n">
        <v>12716</v>
      </c>
      <c r="G209" s="16" t="n">
        <v>511</v>
      </c>
      <c r="H209" s="15" t="s">
        <v>170</v>
      </c>
    </row>
    <row r="210" customFormat="false" ht="15" hidden="false" customHeight="false" outlineLevel="0" collapsed="false">
      <c r="A210" s="15" t="s">
        <v>164</v>
      </c>
      <c r="B210" s="15" t="s">
        <v>139</v>
      </c>
      <c r="C210" s="15" t="s">
        <v>168</v>
      </c>
      <c r="D210" s="16" t="n">
        <v>200</v>
      </c>
      <c r="E210" s="16" t="n">
        <v>4</v>
      </c>
      <c r="F210" s="16" t="n">
        <v>11636</v>
      </c>
      <c r="G210" s="16" t="n">
        <v>12</v>
      </c>
      <c r="H210" s="15"/>
    </row>
    <row r="211" customFormat="false" ht="15" hidden="false" customHeight="false" outlineLevel="0" collapsed="false">
      <c r="A211" s="15" t="s">
        <v>164</v>
      </c>
      <c r="B211" s="15" t="s">
        <v>139</v>
      </c>
      <c r="C211" s="15" t="s">
        <v>150</v>
      </c>
      <c r="D211" s="16" t="n">
        <v>2582</v>
      </c>
      <c r="E211" s="16" t="n">
        <v>3</v>
      </c>
      <c r="F211" s="16" t="n">
        <v>12719</v>
      </c>
      <c r="G211" s="16" t="n">
        <v>46</v>
      </c>
      <c r="H211" s="15"/>
    </row>
    <row r="212" customFormat="false" ht="15" hidden="false" customHeight="false" outlineLevel="0" collapsed="false">
      <c r="A212" s="15" t="s">
        <v>164</v>
      </c>
      <c r="B212" s="15" t="s">
        <v>142</v>
      </c>
      <c r="C212" s="15" t="s">
        <v>165</v>
      </c>
      <c r="D212" s="16" t="n">
        <v>11323</v>
      </c>
      <c r="E212" s="16" t="n">
        <v>28</v>
      </c>
      <c r="F212" s="16" t="n">
        <v>7425</v>
      </c>
      <c r="G212" s="16" t="n">
        <v>191</v>
      </c>
      <c r="H212" s="15"/>
    </row>
    <row r="213" customFormat="false" ht="15" hidden="false" customHeight="false" outlineLevel="0" collapsed="false">
      <c r="A213" s="15" t="s">
        <v>164</v>
      </c>
      <c r="B213" s="15" t="s">
        <v>142</v>
      </c>
      <c r="C213" s="15" t="s">
        <v>168</v>
      </c>
      <c r="D213" s="16" t="n">
        <v>811</v>
      </c>
      <c r="E213" s="16" t="n">
        <v>3</v>
      </c>
      <c r="F213" s="16" t="n">
        <v>7995</v>
      </c>
      <c r="G213" s="16" t="n">
        <v>27</v>
      </c>
      <c r="H213" s="15"/>
    </row>
    <row r="214" customFormat="false" ht="15" hidden="false" customHeight="false" outlineLevel="0" collapsed="false">
      <c r="A214" s="15" t="s">
        <v>164</v>
      </c>
      <c r="B214" s="15" t="s">
        <v>142</v>
      </c>
      <c r="C214" s="15" t="s">
        <v>130</v>
      </c>
      <c r="D214" s="16" t="n">
        <v>14305</v>
      </c>
      <c r="E214" s="16" t="n">
        <v>12</v>
      </c>
      <c r="F214" s="16" t="n">
        <v>10293</v>
      </c>
      <c r="G214" s="16" t="n">
        <v>233</v>
      </c>
      <c r="H214" s="15"/>
    </row>
    <row r="215" customFormat="false" ht="15" hidden="false" customHeight="false" outlineLevel="0" collapsed="false">
      <c r="A215" s="15" t="s">
        <v>171</v>
      </c>
      <c r="B215" s="15" t="s">
        <v>135</v>
      </c>
      <c r="C215" s="15" t="s">
        <v>172</v>
      </c>
      <c r="D215" s="16" t="n">
        <v>2675</v>
      </c>
      <c r="E215" s="16" t="n">
        <v>6</v>
      </c>
      <c r="F215" s="16" t="n">
        <v>2855</v>
      </c>
      <c r="G215" s="16" t="n">
        <v>28</v>
      </c>
      <c r="H215" s="15"/>
    </row>
    <row r="216" customFormat="false" ht="15" hidden="false" customHeight="false" outlineLevel="0" collapsed="false">
      <c r="A216" s="15" t="s">
        <v>171</v>
      </c>
      <c r="B216" s="15" t="s">
        <v>136</v>
      </c>
      <c r="C216" s="15" t="s">
        <v>172</v>
      </c>
      <c r="D216" s="16" t="n">
        <v>500</v>
      </c>
      <c r="E216" s="16" t="n">
        <v>2</v>
      </c>
      <c r="F216" s="16" t="n">
        <v>2959</v>
      </c>
      <c r="G216" s="16" t="n">
        <v>6</v>
      </c>
      <c r="H216" s="15"/>
    </row>
    <row r="217" customFormat="false" ht="15" hidden="false" customHeight="false" outlineLevel="0" collapsed="false">
      <c r="A217" s="15" t="s">
        <v>171</v>
      </c>
      <c r="B217" s="15" t="s">
        <v>138</v>
      </c>
      <c r="C217" s="15" t="s">
        <v>172</v>
      </c>
      <c r="D217" s="16" t="n">
        <v>384</v>
      </c>
      <c r="E217" s="16" t="n">
        <v>1</v>
      </c>
      <c r="F217" s="16" t="n">
        <v>4000</v>
      </c>
      <c r="G217" s="16" t="n">
        <v>768</v>
      </c>
      <c r="H217" s="15" t="s">
        <v>173</v>
      </c>
    </row>
    <row r="218" customFormat="false" ht="15" hidden="false" customHeight="false" outlineLevel="0" collapsed="false">
      <c r="A218" s="15" t="s">
        <v>174</v>
      </c>
      <c r="B218" s="15" t="s">
        <v>138</v>
      </c>
      <c r="C218" s="15" t="s">
        <v>175</v>
      </c>
      <c r="D218" s="16" t="n">
        <v>10000</v>
      </c>
      <c r="E218" s="16" t="n">
        <v>2</v>
      </c>
      <c r="F218" s="16" t="n">
        <v>8479</v>
      </c>
      <c r="G218" s="16" t="n">
        <v>458</v>
      </c>
      <c r="H218" s="15"/>
    </row>
    <row r="219" customFormat="false" ht="15" hidden="false" customHeight="false" outlineLevel="0" collapsed="false">
      <c r="A219" s="15" t="s">
        <v>174</v>
      </c>
      <c r="B219" s="15" t="s">
        <v>139</v>
      </c>
      <c r="C219" s="15" t="s">
        <v>176</v>
      </c>
      <c r="D219" s="16" t="n">
        <v>887</v>
      </c>
      <c r="E219" s="16" t="n">
        <v>11</v>
      </c>
      <c r="F219" s="16" t="n">
        <v>23670</v>
      </c>
      <c r="G219" s="16" t="n">
        <v>146</v>
      </c>
      <c r="H219" s="15"/>
    </row>
    <row r="220" customFormat="false" ht="15" hidden="false" customHeight="false" outlineLevel="0" collapsed="false">
      <c r="A220" s="15" t="s">
        <v>174</v>
      </c>
      <c r="B220" s="15" t="s">
        <v>139</v>
      </c>
      <c r="C220" s="15" t="s">
        <v>177</v>
      </c>
      <c r="D220" s="16" t="n">
        <v>1046</v>
      </c>
      <c r="E220" s="16" t="n">
        <v>2</v>
      </c>
      <c r="F220" s="16" t="n">
        <v>14883</v>
      </c>
      <c r="G220" s="16" t="n">
        <v>94</v>
      </c>
      <c r="H220" s="15"/>
    </row>
    <row r="221" customFormat="false" ht="15" hidden="false" customHeight="false" outlineLevel="0" collapsed="false">
      <c r="A221" s="15" t="s">
        <v>174</v>
      </c>
      <c r="B221" s="15" t="s">
        <v>139</v>
      </c>
      <c r="C221" s="15" t="s">
        <v>178</v>
      </c>
      <c r="D221" s="16" t="n">
        <v>311</v>
      </c>
      <c r="E221" s="16" t="n">
        <v>2</v>
      </c>
      <c r="F221" s="16" t="n">
        <v>12164</v>
      </c>
      <c r="G221" s="16" t="n">
        <v>60</v>
      </c>
      <c r="H221" s="15"/>
    </row>
  </sheetData>
  <autoFilter ref="A1:H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9" min="4" style="0" width="11"/>
  </cols>
  <sheetData>
    <row r="1" customFormat="false" ht="46.25" hidden="false" customHeight="false" outlineLevel="0" collapsed="false">
      <c r="A1" s="3" t="s">
        <v>2</v>
      </c>
      <c r="B1" s="3" t="s">
        <v>97</v>
      </c>
      <c r="C1" s="3" t="s">
        <v>98</v>
      </c>
      <c r="D1" s="3" t="s">
        <v>179</v>
      </c>
      <c r="E1" s="3" t="s">
        <v>99</v>
      </c>
      <c r="F1" s="3" t="s">
        <v>33</v>
      </c>
      <c r="G1" s="3" t="s">
        <v>100</v>
      </c>
      <c r="H1" s="3" t="s">
        <v>101</v>
      </c>
      <c r="I1" s="3" t="s">
        <v>5</v>
      </c>
    </row>
    <row r="2" customFormat="false" ht="15" hidden="false" customHeight="false" outlineLevel="0" collapsed="false">
      <c r="A2" s="15" t="s">
        <v>10</v>
      </c>
      <c r="B2" s="15" t="s">
        <v>129</v>
      </c>
      <c r="C2" s="15" t="s">
        <v>162</v>
      </c>
      <c r="D2" s="15" t="s">
        <v>180</v>
      </c>
      <c r="E2" s="16" t="n">
        <v>18</v>
      </c>
      <c r="F2" s="16" t="n">
        <v>3</v>
      </c>
      <c r="G2" s="16" t="n">
        <v>8069</v>
      </c>
      <c r="H2" s="16" t="n">
        <v>54</v>
      </c>
      <c r="I2" s="15"/>
    </row>
    <row r="3" customFormat="false" ht="15" hidden="false" customHeight="false" outlineLevel="0" collapsed="false">
      <c r="A3" s="15" t="s">
        <v>10</v>
      </c>
      <c r="B3" s="15" t="s">
        <v>135</v>
      </c>
      <c r="C3" s="15" t="s">
        <v>161</v>
      </c>
      <c r="D3" s="15" t="s">
        <v>181</v>
      </c>
      <c r="E3" s="16" t="n">
        <v>55</v>
      </c>
      <c r="F3" s="16" t="n">
        <v>39</v>
      </c>
      <c r="G3" s="16" t="n">
        <v>6690</v>
      </c>
      <c r="H3" s="16" t="n">
        <v>110</v>
      </c>
      <c r="I3" s="15"/>
    </row>
    <row r="4" customFormat="false" ht="15" hidden="false" customHeight="false" outlineLevel="0" collapsed="false">
      <c r="A4" s="15" t="s">
        <v>10</v>
      </c>
      <c r="B4" s="15" t="s">
        <v>136</v>
      </c>
      <c r="C4" s="15" t="s">
        <v>161</v>
      </c>
      <c r="D4" s="15" t="s">
        <v>181</v>
      </c>
      <c r="E4" s="16" t="n">
        <v>109</v>
      </c>
      <c r="F4" s="16" t="n">
        <v>61</v>
      </c>
      <c r="G4" s="16" t="n">
        <v>10990</v>
      </c>
      <c r="H4" s="16" t="n">
        <v>436</v>
      </c>
      <c r="I4" s="15"/>
    </row>
    <row r="5" customFormat="false" ht="15" hidden="false" customHeight="false" outlineLevel="0" collapsed="false">
      <c r="A5" s="15" t="s">
        <v>10</v>
      </c>
      <c r="B5" s="15" t="s">
        <v>138</v>
      </c>
      <c r="C5" s="15" t="s">
        <v>161</v>
      </c>
      <c r="D5" s="15" t="s">
        <v>181</v>
      </c>
      <c r="E5" s="16" t="n">
        <v>16</v>
      </c>
      <c r="F5" s="16" t="n">
        <v>14</v>
      </c>
      <c r="G5" s="16" t="n">
        <v>7482</v>
      </c>
      <c r="H5" s="16" t="n">
        <v>32</v>
      </c>
      <c r="I5" s="15"/>
    </row>
    <row r="6" customFormat="false" ht="15" hidden="false" customHeight="false" outlineLevel="0" collapsed="false">
      <c r="A6" s="15" t="s">
        <v>10</v>
      </c>
      <c r="B6" s="15" t="s">
        <v>139</v>
      </c>
      <c r="C6" s="15" t="s">
        <v>161</v>
      </c>
      <c r="D6" s="15" t="s">
        <v>181</v>
      </c>
      <c r="E6" s="16" t="n">
        <v>18</v>
      </c>
      <c r="F6" s="16" t="n">
        <v>15</v>
      </c>
      <c r="G6" s="16" t="n">
        <v>14987</v>
      </c>
      <c r="H6" s="16" t="n">
        <v>90</v>
      </c>
      <c r="I6" s="15"/>
    </row>
    <row r="7" customFormat="false" ht="15" hidden="false" customHeight="false" outlineLevel="0" collapsed="false">
      <c r="A7" s="15" t="s">
        <v>10</v>
      </c>
      <c r="B7" s="15" t="s">
        <v>142</v>
      </c>
      <c r="C7" s="15" t="s">
        <v>161</v>
      </c>
      <c r="D7" s="15" t="s">
        <v>181</v>
      </c>
      <c r="E7" s="16" t="n">
        <v>52</v>
      </c>
      <c r="F7" s="16" t="n">
        <v>25</v>
      </c>
      <c r="G7" s="16"/>
      <c r="H7" s="16" t="n">
        <v>52</v>
      </c>
      <c r="I7" s="15"/>
    </row>
    <row r="8" customFormat="false" ht="15" hidden="false" customHeight="false" outlineLevel="0" collapsed="false">
      <c r="A8" s="15" t="s">
        <v>6</v>
      </c>
      <c r="B8" s="15" t="s">
        <v>129</v>
      </c>
      <c r="C8" s="15" t="s">
        <v>111</v>
      </c>
      <c r="D8" s="15" t="s">
        <v>181</v>
      </c>
      <c r="E8" s="16" t="n">
        <v>18</v>
      </c>
      <c r="F8" s="16" t="n">
        <v>18</v>
      </c>
      <c r="G8" s="16" t="n">
        <v>5672</v>
      </c>
      <c r="H8" s="16" t="n">
        <v>36</v>
      </c>
      <c r="I8" s="15"/>
    </row>
    <row r="9" customFormat="false" ht="15" hidden="false" customHeight="false" outlineLevel="0" collapsed="false">
      <c r="A9" s="15" t="s">
        <v>6</v>
      </c>
      <c r="B9" s="15" t="s">
        <v>129</v>
      </c>
      <c r="C9" s="15" t="s">
        <v>131</v>
      </c>
      <c r="D9" s="15" t="s">
        <v>181</v>
      </c>
      <c r="E9" s="16" t="n">
        <v>15</v>
      </c>
      <c r="F9" s="16" t="n">
        <v>15</v>
      </c>
      <c r="G9" s="16" t="n">
        <v>5785</v>
      </c>
      <c r="H9" s="16" t="n">
        <v>30</v>
      </c>
      <c r="I9" s="15"/>
    </row>
    <row r="10" customFormat="false" ht="15" hidden="false" customHeight="false" outlineLevel="0" collapsed="false">
      <c r="A10" s="15" t="s">
        <v>6</v>
      </c>
      <c r="B10" s="15" t="s">
        <v>129</v>
      </c>
      <c r="C10" s="15" t="s">
        <v>126</v>
      </c>
      <c r="D10" s="15" t="s">
        <v>181</v>
      </c>
      <c r="E10" s="16" t="n">
        <v>2</v>
      </c>
      <c r="F10" s="16" t="n">
        <v>2</v>
      </c>
      <c r="G10" s="16" t="n">
        <v>8027</v>
      </c>
      <c r="H10" s="16" t="n">
        <v>6</v>
      </c>
      <c r="I10" s="15"/>
    </row>
    <row r="11" customFormat="false" ht="15" hidden="false" customHeight="false" outlineLevel="0" collapsed="false">
      <c r="A11" s="15" t="s">
        <v>6</v>
      </c>
      <c r="B11" s="15" t="s">
        <v>129</v>
      </c>
      <c r="C11" s="15" t="s">
        <v>111</v>
      </c>
      <c r="D11" s="15" t="s">
        <v>180</v>
      </c>
      <c r="E11" s="16" t="n">
        <v>54</v>
      </c>
      <c r="F11" s="16" t="n">
        <v>19</v>
      </c>
      <c r="G11" s="16" t="n">
        <v>4705</v>
      </c>
      <c r="H11" s="16" t="n">
        <v>108</v>
      </c>
      <c r="I11" s="15"/>
    </row>
    <row r="12" customFormat="false" ht="15" hidden="false" customHeight="false" outlineLevel="0" collapsed="false">
      <c r="A12" s="15" t="s">
        <v>6</v>
      </c>
      <c r="B12" s="15" t="s">
        <v>129</v>
      </c>
      <c r="C12" s="15" t="s">
        <v>126</v>
      </c>
      <c r="D12" s="15" t="s">
        <v>180</v>
      </c>
      <c r="E12" s="16" t="n">
        <v>8</v>
      </c>
      <c r="F12" s="16" t="n">
        <v>2</v>
      </c>
      <c r="G12" s="16" t="n">
        <v>8213</v>
      </c>
      <c r="H12" s="16" t="n">
        <v>24</v>
      </c>
      <c r="I12" s="15"/>
    </row>
    <row r="13" customFormat="false" ht="15" hidden="false" customHeight="false" outlineLevel="0" collapsed="false">
      <c r="A13" s="15" t="s">
        <v>6</v>
      </c>
      <c r="B13" s="15" t="s">
        <v>132</v>
      </c>
      <c r="C13" s="15" t="s">
        <v>111</v>
      </c>
      <c r="D13" s="15" t="s">
        <v>181</v>
      </c>
      <c r="E13" s="16" t="n">
        <v>18</v>
      </c>
      <c r="F13" s="16" t="n">
        <v>15</v>
      </c>
      <c r="G13" s="16" t="n">
        <v>6108</v>
      </c>
      <c r="H13" s="16" t="n">
        <v>36</v>
      </c>
      <c r="I13" s="15"/>
    </row>
    <row r="14" customFormat="false" ht="15" hidden="false" customHeight="false" outlineLevel="0" collapsed="false">
      <c r="A14" s="15" t="s">
        <v>6</v>
      </c>
      <c r="B14" s="15" t="s">
        <v>132</v>
      </c>
      <c r="C14" s="15" t="s">
        <v>182</v>
      </c>
      <c r="D14" s="15" t="s">
        <v>181</v>
      </c>
      <c r="E14" s="16" t="n">
        <v>1</v>
      </c>
      <c r="F14" s="16" t="n">
        <v>1</v>
      </c>
      <c r="G14" s="16" t="n">
        <v>6777</v>
      </c>
      <c r="H14" s="16" t="n">
        <v>2</v>
      </c>
      <c r="I14" s="15"/>
    </row>
    <row r="15" customFormat="false" ht="15" hidden="false" customHeight="false" outlineLevel="0" collapsed="false">
      <c r="A15" s="15" t="s">
        <v>6</v>
      </c>
      <c r="B15" s="15" t="s">
        <v>132</v>
      </c>
      <c r="C15" s="15" t="s">
        <v>109</v>
      </c>
      <c r="D15" s="15" t="s">
        <v>181</v>
      </c>
      <c r="E15" s="16" t="n">
        <v>2</v>
      </c>
      <c r="F15" s="16" t="n">
        <v>2</v>
      </c>
      <c r="G15" s="16"/>
      <c r="H15" s="16" t="n">
        <v>2</v>
      </c>
      <c r="I15" s="15"/>
    </row>
    <row r="16" customFormat="false" ht="15" hidden="false" customHeight="false" outlineLevel="0" collapsed="false">
      <c r="A16" s="15" t="s">
        <v>6</v>
      </c>
      <c r="B16" s="15" t="s">
        <v>132</v>
      </c>
      <c r="C16" s="15" t="s">
        <v>123</v>
      </c>
      <c r="D16" s="15" t="s">
        <v>181</v>
      </c>
      <c r="E16" s="16" t="n">
        <v>7</v>
      </c>
      <c r="F16" s="16" t="n">
        <v>7</v>
      </c>
      <c r="G16" s="16" t="n">
        <v>6522</v>
      </c>
      <c r="H16" s="16" t="n">
        <v>14</v>
      </c>
      <c r="I16" s="15"/>
    </row>
    <row r="17" customFormat="false" ht="15" hidden="false" customHeight="false" outlineLevel="0" collapsed="false">
      <c r="A17" s="15" t="s">
        <v>6</v>
      </c>
      <c r="B17" s="15" t="s">
        <v>132</v>
      </c>
      <c r="C17" s="15" t="s">
        <v>111</v>
      </c>
      <c r="D17" s="15" t="s">
        <v>180</v>
      </c>
      <c r="E17" s="16" t="n">
        <v>71</v>
      </c>
      <c r="F17" s="16" t="n">
        <v>17</v>
      </c>
      <c r="G17" s="16" t="n">
        <v>5692</v>
      </c>
      <c r="H17" s="16" t="n">
        <v>142</v>
      </c>
      <c r="I17" s="15"/>
    </row>
    <row r="18" customFormat="false" ht="15" hidden="false" customHeight="false" outlineLevel="0" collapsed="false">
      <c r="A18" s="15" t="s">
        <v>6</v>
      </c>
      <c r="B18" s="15" t="s">
        <v>132</v>
      </c>
      <c r="C18" s="15" t="s">
        <v>123</v>
      </c>
      <c r="D18" s="15" t="s">
        <v>180</v>
      </c>
      <c r="E18" s="16" t="n">
        <v>60</v>
      </c>
      <c r="F18" s="16" t="n">
        <v>20</v>
      </c>
      <c r="G18" s="16" t="n">
        <v>7556</v>
      </c>
      <c r="H18" s="16" t="n">
        <v>120</v>
      </c>
      <c r="I18" s="15"/>
    </row>
    <row r="19" customFormat="false" ht="15" hidden="false" customHeight="false" outlineLevel="0" collapsed="false">
      <c r="A19" s="15" t="s">
        <v>6</v>
      </c>
      <c r="B19" s="15" t="s">
        <v>134</v>
      </c>
      <c r="C19" s="15" t="s">
        <v>111</v>
      </c>
      <c r="D19" s="15" t="s">
        <v>181</v>
      </c>
      <c r="E19" s="16" t="n">
        <v>15</v>
      </c>
      <c r="F19" s="16" t="n">
        <v>15</v>
      </c>
      <c r="G19" s="16" t="n">
        <v>6108</v>
      </c>
      <c r="H19" s="16" t="n">
        <v>30</v>
      </c>
      <c r="I19" s="15"/>
    </row>
    <row r="20" customFormat="false" ht="15" hidden="false" customHeight="false" outlineLevel="0" collapsed="false">
      <c r="A20" s="15" t="s">
        <v>6</v>
      </c>
      <c r="B20" s="15" t="s">
        <v>134</v>
      </c>
      <c r="C20" s="15" t="s">
        <v>182</v>
      </c>
      <c r="D20" s="15" t="s">
        <v>181</v>
      </c>
      <c r="E20" s="16" t="n">
        <v>1</v>
      </c>
      <c r="F20" s="16" t="n">
        <v>1</v>
      </c>
      <c r="G20" s="16"/>
      <c r="H20" s="16" t="n">
        <v>1</v>
      </c>
      <c r="I20" s="15"/>
    </row>
    <row r="21" customFormat="false" ht="15" hidden="false" customHeight="false" outlineLevel="0" collapsed="false">
      <c r="A21" s="15" t="s">
        <v>6</v>
      </c>
      <c r="B21" s="15" t="s">
        <v>134</v>
      </c>
      <c r="C21" s="15" t="s">
        <v>123</v>
      </c>
      <c r="D21" s="15" t="s">
        <v>181</v>
      </c>
      <c r="E21" s="16" t="n">
        <v>10</v>
      </c>
      <c r="F21" s="16" t="n">
        <v>10</v>
      </c>
      <c r="G21" s="16" t="n">
        <v>6522</v>
      </c>
      <c r="H21" s="16" t="n">
        <v>20</v>
      </c>
      <c r="I21" s="15"/>
    </row>
    <row r="22" customFormat="false" ht="15" hidden="false" customHeight="false" outlineLevel="0" collapsed="false">
      <c r="A22" s="15" t="s">
        <v>6</v>
      </c>
      <c r="B22" s="15" t="s">
        <v>134</v>
      </c>
      <c r="C22" s="15" t="s">
        <v>126</v>
      </c>
      <c r="D22" s="15" t="s">
        <v>181</v>
      </c>
      <c r="E22" s="16" t="n">
        <v>1</v>
      </c>
      <c r="F22" s="16" t="n">
        <v>1</v>
      </c>
      <c r="G22" s="16" t="n">
        <v>7433</v>
      </c>
      <c r="H22" s="16" t="n">
        <v>2</v>
      </c>
      <c r="I22" s="15"/>
    </row>
    <row r="23" customFormat="false" ht="15" hidden="false" customHeight="false" outlineLevel="0" collapsed="false">
      <c r="A23" s="15" t="s">
        <v>6</v>
      </c>
      <c r="B23" s="15" t="s">
        <v>134</v>
      </c>
      <c r="C23" s="15" t="s">
        <v>111</v>
      </c>
      <c r="D23" s="15" t="s">
        <v>180</v>
      </c>
      <c r="E23" s="16" t="n">
        <v>78</v>
      </c>
      <c r="F23" s="16" t="n">
        <v>19</v>
      </c>
      <c r="G23" s="16" t="n">
        <v>6320</v>
      </c>
      <c r="H23" s="16" t="n">
        <v>156</v>
      </c>
      <c r="I23" s="15"/>
    </row>
    <row r="24" customFormat="false" ht="15" hidden="false" customHeight="false" outlineLevel="0" collapsed="false">
      <c r="A24" s="15" t="s">
        <v>6</v>
      </c>
      <c r="B24" s="15" t="s">
        <v>134</v>
      </c>
      <c r="C24" s="15" t="s">
        <v>123</v>
      </c>
      <c r="D24" s="15" t="s">
        <v>180</v>
      </c>
      <c r="E24" s="16" t="n">
        <v>54</v>
      </c>
      <c r="F24" s="16" t="n">
        <v>19</v>
      </c>
      <c r="G24" s="16" t="n">
        <v>9654</v>
      </c>
      <c r="H24" s="16" t="n">
        <v>162</v>
      </c>
      <c r="I24" s="15"/>
    </row>
    <row r="25" customFormat="false" ht="15" hidden="false" customHeight="false" outlineLevel="0" collapsed="false">
      <c r="A25" s="15" t="s">
        <v>6</v>
      </c>
      <c r="B25" s="15" t="s">
        <v>135</v>
      </c>
      <c r="C25" s="15" t="s">
        <v>122</v>
      </c>
      <c r="D25" s="15" t="s">
        <v>181</v>
      </c>
      <c r="E25" s="16" t="n">
        <v>6</v>
      </c>
      <c r="F25" s="16" t="n">
        <v>6</v>
      </c>
      <c r="G25" s="16" t="n">
        <v>6690</v>
      </c>
      <c r="H25" s="16" t="n">
        <v>12</v>
      </c>
      <c r="I25" s="15"/>
    </row>
    <row r="26" customFormat="false" ht="15" hidden="false" customHeight="false" outlineLevel="0" collapsed="false">
      <c r="A26" s="15" t="s">
        <v>6</v>
      </c>
      <c r="B26" s="15" t="s">
        <v>135</v>
      </c>
      <c r="C26" s="15" t="s">
        <v>111</v>
      </c>
      <c r="D26" s="15" t="s">
        <v>181</v>
      </c>
      <c r="E26" s="16" t="n">
        <v>25</v>
      </c>
      <c r="F26" s="16" t="n">
        <v>23</v>
      </c>
      <c r="G26" s="16" t="n">
        <v>5184</v>
      </c>
      <c r="H26" s="16" t="n">
        <v>50</v>
      </c>
      <c r="I26" s="15"/>
    </row>
    <row r="27" customFormat="false" ht="15" hidden="false" customHeight="false" outlineLevel="0" collapsed="false">
      <c r="A27" s="15" t="s">
        <v>6</v>
      </c>
      <c r="B27" s="15" t="s">
        <v>135</v>
      </c>
      <c r="C27" s="15" t="s">
        <v>123</v>
      </c>
      <c r="D27" s="15" t="s">
        <v>181</v>
      </c>
      <c r="E27" s="16" t="n">
        <v>31</v>
      </c>
      <c r="F27" s="16" t="n">
        <v>30</v>
      </c>
      <c r="G27" s="16" t="n">
        <v>8709</v>
      </c>
      <c r="H27" s="16" t="n">
        <v>93</v>
      </c>
      <c r="I27" s="15"/>
    </row>
    <row r="28" customFormat="false" ht="15" hidden="false" customHeight="false" outlineLevel="0" collapsed="false">
      <c r="A28" s="15" t="s">
        <v>6</v>
      </c>
      <c r="B28" s="15" t="s">
        <v>135</v>
      </c>
      <c r="C28" s="15" t="s">
        <v>111</v>
      </c>
      <c r="D28" s="15" t="s">
        <v>180</v>
      </c>
      <c r="E28" s="16" t="n">
        <v>63</v>
      </c>
      <c r="F28" s="16" t="n">
        <v>18</v>
      </c>
      <c r="G28" s="16" t="n">
        <v>5449</v>
      </c>
      <c r="H28" s="16" t="n">
        <v>126</v>
      </c>
      <c r="I28" s="15"/>
    </row>
    <row r="29" customFormat="false" ht="15" hidden="false" customHeight="false" outlineLevel="0" collapsed="false">
      <c r="A29" s="15" t="s">
        <v>6</v>
      </c>
      <c r="B29" s="15" t="s">
        <v>135</v>
      </c>
      <c r="C29" s="15" t="s">
        <v>123</v>
      </c>
      <c r="D29" s="15" t="s">
        <v>180</v>
      </c>
      <c r="E29" s="16" t="n">
        <v>56</v>
      </c>
      <c r="F29" s="16" t="n">
        <v>16</v>
      </c>
      <c r="G29" s="16" t="n">
        <v>9281</v>
      </c>
      <c r="H29" s="16" t="n">
        <v>168</v>
      </c>
      <c r="I29" s="15"/>
    </row>
    <row r="30" customFormat="false" ht="15" hidden="false" customHeight="false" outlineLevel="0" collapsed="false">
      <c r="A30" s="15" t="s">
        <v>6</v>
      </c>
      <c r="B30" s="15" t="s">
        <v>136</v>
      </c>
      <c r="C30" s="15" t="s">
        <v>122</v>
      </c>
      <c r="D30" s="15" t="s">
        <v>181</v>
      </c>
      <c r="E30" s="16" t="n">
        <v>5</v>
      </c>
      <c r="F30" s="16" t="n">
        <v>5</v>
      </c>
      <c r="G30" s="16" t="n">
        <v>10990</v>
      </c>
      <c r="H30" s="16" t="n">
        <v>20</v>
      </c>
      <c r="I30" s="15"/>
    </row>
    <row r="31" customFormat="false" ht="15" hidden="false" customHeight="false" outlineLevel="0" collapsed="false">
      <c r="A31" s="15" t="s">
        <v>6</v>
      </c>
      <c r="B31" s="15" t="s">
        <v>136</v>
      </c>
      <c r="C31" s="15" t="s">
        <v>111</v>
      </c>
      <c r="D31" s="15" t="s">
        <v>181</v>
      </c>
      <c r="E31" s="16" t="n">
        <v>26</v>
      </c>
      <c r="F31" s="16" t="n">
        <v>18</v>
      </c>
      <c r="G31" s="16" t="n">
        <v>9146</v>
      </c>
      <c r="H31" s="16" t="n">
        <v>78</v>
      </c>
      <c r="I31" s="15"/>
    </row>
    <row r="32" customFormat="false" ht="15" hidden="false" customHeight="false" outlineLevel="0" collapsed="false">
      <c r="A32" s="15" t="s">
        <v>6</v>
      </c>
      <c r="B32" s="15" t="s">
        <v>136</v>
      </c>
      <c r="C32" s="15" t="s">
        <v>123</v>
      </c>
      <c r="D32" s="15" t="s">
        <v>181</v>
      </c>
      <c r="E32" s="16" t="n">
        <v>65</v>
      </c>
      <c r="F32" s="16" t="n">
        <v>36</v>
      </c>
      <c r="G32" s="16" t="n">
        <v>13961</v>
      </c>
      <c r="H32" s="16" t="n">
        <v>325</v>
      </c>
      <c r="I32" s="15"/>
    </row>
    <row r="33" customFormat="false" ht="15" hidden="false" customHeight="false" outlineLevel="0" collapsed="false">
      <c r="A33" s="15" t="s">
        <v>6</v>
      </c>
      <c r="B33" s="15" t="s">
        <v>136</v>
      </c>
      <c r="C33" s="15" t="s">
        <v>183</v>
      </c>
      <c r="D33" s="15" t="s">
        <v>181</v>
      </c>
      <c r="E33" s="16" t="n">
        <v>3</v>
      </c>
      <c r="F33" s="16" t="n">
        <v>3</v>
      </c>
      <c r="G33" s="16" t="n">
        <v>12763</v>
      </c>
      <c r="H33" s="16" t="n">
        <v>15</v>
      </c>
      <c r="I33" s="15"/>
    </row>
    <row r="34" customFormat="false" ht="15" hidden="false" customHeight="false" outlineLevel="0" collapsed="false">
      <c r="A34" s="15" t="s">
        <v>6</v>
      </c>
      <c r="B34" s="15" t="s">
        <v>136</v>
      </c>
      <c r="C34" s="15" t="s">
        <v>111</v>
      </c>
      <c r="D34" s="15" t="s">
        <v>180</v>
      </c>
      <c r="E34" s="16" t="n">
        <v>99</v>
      </c>
      <c r="F34" s="16" t="n">
        <v>29</v>
      </c>
      <c r="G34" s="16" t="n">
        <v>7187</v>
      </c>
      <c r="H34" s="16" t="n">
        <v>198</v>
      </c>
      <c r="I34" s="15"/>
    </row>
    <row r="35" customFormat="false" ht="15" hidden="false" customHeight="false" outlineLevel="0" collapsed="false">
      <c r="A35" s="15" t="s">
        <v>6</v>
      </c>
      <c r="B35" s="15" t="s">
        <v>136</v>
      </c>
      <c r="C35" s="15" t="s">
        <v>123</v>
      </c>
      <c r="D35" s="15" t="s">
        <v>180</v>
      </c>
      <c r="E35" s="16" t="n">
        <v>139</v>
      </c>
      <c r="F35" s="16" t="n">
        <v>40</v>
      </c>
      <c r="G35" s="16" t="n">
        <v>13178</v>
      </c>
      <c r="H35" s="16" t="n">
        <v>695</v>
      </c>
      <c r="I35" s="15"/>
    </row>
    <row r="36" customFormat="false" ht="15" hidden="false" customHeight="false" outlineLevel="0" collapsed="false">
      <c r="A36" s="15" t="s">
        <v>6</v>
      </c>
      <c r="B36" s="15" t="s">
        <v>138</v>
      </c>
      <c r="C36" s="15" t="s">
        <v>122</v>
      </c>
      <c r="D36" s="15" t="s">
        <v>181</v>
      </c>
      <c r="E36" s="16" t="n">
        <v>7</v>
      </c>
      <c r="F36" s="16" t="n">
        <v>2</v>
      </c>
      <c r="G36" s="16" t="n">
        <v>7482</v>
      </c>
      <c r="H36" s="16" t="n">
        <v>14</v>
      </c>
      <c r="I36" s="15"/>
    </row>
    <row r="37" customFormat="false" ht="15" hidden="false" customHeight="false" outlineLevel="0" collapsed="false">
      <c r="A37" s="15" t="s">
        <v>6</v>
      </c>
      <c r="B37" s="15" t="s">
        <v>138</v>
      </c>
      <c r="C37" s="15" t="s">
        <v>111</v>
      </c>
      <c r="D37" s="15" t="s">
        <v>181</v>
      </c>
      <c r="E37" s="16" t="n">
        <v>7</v>
      </c>
      <c r="F37" s="16" t="n">
        <v>5</v>
      </c>
      <c r="G37" s="16" t="n">
        <v>6165</v>
      </c>
      <c r="H37" s="16" t="n">
        <v>14</v>
      </c>
      <c r="I37" s="15"/>
    </row>
    <row r="38" customFormat="false" ht="15" hidden="false" customHeight="false" outlineLevel="0" collapsed="false">
      <c r="A38" s="15" t="s">
        <v>6</v>
      </c>
      <c r="B38" s="15" t="s">
        <v>138</v>
      </c>
      <c r="C38" s="15" t="s">
        <v>184</v>
      </c>
      <c r="D38" s="15" t="s">
        <v>181</v>
      </c>
      <c r="E38" s="16" t="n">
        <v>2</v>
      </c>
      <c r="F38" s="16" t="n">
        <v>2</v>
      </c>
      <c r="G38" s="16" t="n">
        <v>8210</v>
      </c>
      <c r="H38" s="16" t="n">
        <v>6</v>
      </c>
      <c r="I38" s="15"/>
    </row>
    <row r="39" customFormat="false" ht="15" hidden="false" customHeight="false" outlineLevel="0" collapsed="false">
      <c r="A39" s="15" t="s">
        <v>6</v>
      </c>
      <c r="B39" s="15" t="s">
        <v>138</v>
      </c>
      <c r="C39" s="15" t="s">
        <v>123</v>
      </c>
      <c r="D39" s="15" t="s">
        <v>181</v>
      </c>
      <c r="E39" s="16" t="n">
        <v>25</v>
      </c>
      <c r="F39" s="16" t="n">
        <v>16</v>
      </c>
      <c r="G39" s="16" t="n">
        <v>13068</v>
      </c>
      <c r="H39" s="16" t="n">
        <v>125</v>
      </c>
      <c r="I39" s="15"/>
    </row>
    <row r="40" customFormat="false" ht="15" hidden="false" customHeight="false" outlineLevel="0" collapsed="false">
      <c r="A40" s="15" t="s">
        <v>6</v>
      </c>
      <c r="B40" s="15" t="s">
        <v>138</v>
      </c>
      <c r="C40" s="15" t="s">
        <v>111</v>
      </c>
      <c r="D40" s="15" t="s">
        <v>180</v>
      </c>
      <c r="E40" s="16" t="n">
        <v>30</v>
      </c>
      <c r="F40" s="16" t="n">
        <v>12</v>
      </c>
      <c r="G40" s="16" t="n">
        <v>5617</v>
      </c>
      <c r="H40" s="16" t="n">
        <v>60</v>
      </c>
      <c r="I40" s="15"/>
    </row>
    <row r="41" customFormat="false" ht="15" hidden="false" customHeight="false" outlineLevel="0" collapsed="false">
      <c r="A41" s="15" t="s">
        <v>6</v>
      </c>
      <c r="B41" s="15" t="s">
        <v>138</v>
      </c>
      <c r="C41" s="15" t="s">
        <v>123</v>
      </c>
      <c r="D41" s="15" t="s">
        <v>180</v>
      </c>
      <c r="E41" s="16" t="n">
        <v>52</v>
      </c>
      <c r="F41" s="16" t="n">
        <v>19</v>
      </c>
      <c r="G41" s="16" t="n">
        <v>11036</v>
      </c>
      <c r="H41" s="16" t="n">
        <v>208</v>
      </c>
      <c r="I41" s="15"/>
    </row>
    <row r="42" customFormat="false" ht="15" hidden="false" customHeight="false" outlineLevel="0" collapsed="false">
      <c r="A42" s="15" t="s">
        <v>6</v>
      </c>
      <c r="B42" s="15" t="s">
        <v>139</v>
      </c>
      <c r="C42" s="15" t="s">
        <v>111</v>
      </c>
      <c r="D42" s="15" t="s">
        <v>181</v>
      </c>
      <c r="E42" s="16" t="n">
        <v>23</v>
      </c>
      <c r="F42" s="16" t="n">
        <v>21</v>
      </c>
      <c r="G42" s="16" t="n">
        <v>7573</v>
      </c>
      <c r="H42" s="16" t="n">
        <v>46</v>
      </c>
      <c r="I42" s="15"/>
    </row>
    <row r="43" customFormat="false" ht="15" hidden="false" customHeight="false" outlineLevel="0" collapsed="false">
      <c r="A43" s="15" t="s">
        <v>6</v>
      </c>
      <c r="B43" s="15" t="s">
        <v>139</v>
      </c>
      <c r="C43" s="15" t="s">
        <v>123</v>
      </c>
      <c r="D43" s="15" t="s">
        <v>181</v>
      </c>
      <c r="E43" s="16" t="n">
        <v>47</v>
      </c>
      <c r="F43" s="16" t="n">
        <v>42</v>
      </c>
      <c r="G43" s="16" t="n">
        <v>9838</v>
      </c>
      <c r="H43" s="16" t="n">
        <v>141</v>
      </c>
      <c r="I43" s="17" t="s">
        <v>185</v>
      </c>
    </row>
    <row r="44" customFormat="false" ht="15" hidden="false" customHeight="false" outlineLevel="0" collapsed="false">
      <c r="A44" s="15" t="s">
        <v>6</v>
      </c>
      <c r="B44" s="15" t="s">
        <v>139</v>
      </c>
      <c r="C44" s="15" t="s">
        <v>111</v>
      </c>
      <c r="D44" s="15" t="s">
        <v>180</v>
      </c>
      <c r="E44" s="16" t="n">
        <v>39</v>
      </c>
      <c r="F44" s="16" t="n">
        <v>12</v>
      </c>
      <c r="G44" s="16" t="n">
        <v>5939</v>
      </c>
      <c r="H44" s="16" t="n">
        <v>78</v>
      </c>
      <c r="I44" s="15"/>
    </row>
    <row r="45" customFormat="false" ht="15" hidden="false" customHeight="false" outlineLevel="0" collapsed="false">
      <c r="A45" s="15" t="s">
        <v>6</v>
      </c>
      <c r="B45" s="15" t="s">
        <v>139</v>
      </c>
      <c r="C45" s="15" t="s">
        <v>123</v>
      </c>
      <c r="D45" s="15" t="s">
        <v>180</v>
      </c>
      <c r="E45" s="16" t="n">
        <v>120</v>
      </c>
      <c r="F45" s="16" t="n">
        <v>38</v>
      </c>
      <c r="G45" s="16" t="n">
        <v>12316</v>
      </c>
      <c r="H45" s="16" t="n">
        <v>600</v>
      </c>
      <c r="I45" s="15"/>
    </row>
    <row r="46" customFormat="false" ht="15" hidden="false" customHeight="false" outlineLevel="0" collapsed="false">
      <c r="A46" s="15" t="s">
        <v>6</v>
      </c>
      <c r="B46" s="15" t="s">
        <v>142</v>
      </c>
      <c r="C46" s="15" t="s">
        <v>111</v>
      </c>
      <c r="D46" s="15" t="s">
        <v>181</v>
      </c>
      <c r="E46" s="16" t="n">
        <v>2</v>
      </c>
      <c r="F46" s="16" t="n">
        <v>2</v>
      </c>
      <c r="G46" s="16"/>
      <c r="H46" s="16" t="n">
        <v>2</v>
      </c>
      <c r="I46" s="15"/>
    </row>
    <row r="47" customFormat="false" ht="15" hidden="false" customHeight="false" outlineLevel="0" collapsed="false">
      <c r="A47" s="15" t="s">
        <v>6</v>
      </c>
      <c r="B47" s="15" t="s">
        <v>142</v>
      </c>
      <c r="C47" s="15" t="s">
        <v>123</v>
      </c>
      <c r="D47" s="15" t="s">
        <v>181</v>
      </c>
      <c r="E47" s="16" t="n">
        <v>45</v>
      </c>
      <c r="F47" s="16" t="n">
        <v>34</v>
      </c>
      <c r="G47" s="16"/>
      <c r="H47" s="16" t="n">
        <v>45</v>
      </c>
      <c r="I47" s="17" t="s">
        <v>186</v>
      </c>
    </row>
    <row r="48" customFormat="false" ht="15" hidden="false" customHeight="false" outlineLevel="0" collapsed="false">
      <c r="A48" s="15" t="s">
        <v>6</v>
      </c>
      <c r="B48" s="15" t="s">
        <v>142</v>
      </c>
      <c r="C48" s="15" t="s">
        <v>111</v>
      </c>
      <c r="D48" s="15" t="s">
        <v>180</v>
      </c>
      <c r="E48" s="16" t="n">
        <v>13</v>
      </c>
      <c r="F48" s="16" t="n">
        <v>5</v>
      </c>
      <c r="G48" s="16"/>
      <c r="H48" s="16" t="n">
        <v>13</v>
      </c>
      <c r="I48" s="15"/>
    </row>
    <row r="49" customFormat="false" ht="15" hidden="false" customHeight="false" outlineLevel="0" collapsed="false">
      <c r="A49" s="15" t="s">
        <v>6</v>
      </c>
      <c r="B49" s="15" t="s">
        <v>142</v>
      </c>
      <c r="C49" s="15" t="s">
        <v>123</v>
      </c>
      <c r="D49" s="15" t="s">
        <v>180</v>
      </c>
      <c r="E49" s="16" t="n">
        <v>132</v>
      </c>
      <c r="F49" s="16" t="n">
        <v>48</v>
      </c>
      <c r="G49" s="16"/>
      <c r="H49" s="16" t="n">
        <v>132</v>
      </c>
      <c r="I49" s="15"/>
    </row>
    <row r="50" customFormat="false" ht="15" hidden="false" customHeight="false" outlineLevel="0" collapsed="false">
      <c r="A50" s="15" t="s">
        <v>25</v>
      </c>
      <c r="B50" s="15" t="s">
        <v>129</v>
      </c>
      <c r="C50" s="15" t="s">
        <v>147</v>
      </c>
      <c r="D50" s="15" t="s">
        <v>181</v>
      </c>
      <c r="E50" s="16" t="n">
        <v>9</v>
      </c>
      <c r="F50" s="16" t="n">
        <v>7</v>
      </c>
      <c r="G50" s="16" t="n">
        <v>11873</v>
      </c>
      <c r="H50" s="16" t="n">
        <v>36</v>
      </c>
      <c r="I50" s="15"/>
    </row>
    <row r="51" customFormat="false" ht="15" hidden="false" customHeight="false" outlineLevel="0" collapsed="false">
      <c r="A51" s="15" t="s">
        <v>25</v>
      </c>
      <c r="B51" s="15" t="s">
        <v>129</v>
      </c>
      <c r="C51" s="15" t="s">
        <v>121</v>
      </c>
      <c r="D51" s="15" t="s">
        <v>181</v>
      </c>
      <c r="E51" s="16" t="n">
        <v>4</v>
      </c>
      <c r="F51" s="16" t="n">
        <v>2</v>
      </c>
      <c r="G51" s="16" t="n">
        <v>7574</v>
      </c>
      <c r="H51" s="16" t="n">
        <v>8</v>
      </c>
      <c r="I51" s="15"/>
    </row>
    <row r="52" customFormat="false" ht="15" hidden="false" customHeight="false" outlineLevel="0" collapsed="false">
      <c r="A52" s="15" t="s">
        <v>25</v>
      </c>
      <c r="B52" s="15" t="s">
        <v>129</v>
      </c>
      <c r="C52" s="15" t="s">
        <v>148</v>
      </c>
      <c r="D52" s="15" t="s">
        <v>181</v>
      </c>
      <c r="E52" s="16" t="n">
        <v>8</v>
      </c>
      <c r="F52" s="16" t="n">
        <v>8</v>
      </c>
      <c r="G52" s="16" t="n">
        <v>7319</v>
      </c>
      <c r="H52" s="16" t="n">
        <v>16</v>
      </c>
      <c r="I52" s="15"/>
    </row>
    <row r="53" customFormat="false" ht="15" hidden="false" customHeight="false" outlineLevel="0" collapsed="false">
      <c r="A53" s="15" t="s">
        <v>25</v>
      </c>
      <c r="B53" s="15" t="s">
        <v>129</v>
      </c>
      <c r="C53" s="15" t="s">
        <v>147</v>
      </c>
      <c r="D53" s="15" t="s">
        <v>180</v>
      </c>
      <c r="E53" s="16" t="n">
        <v>21</v>
      </c>
      <c r="F53" s="16" t="n">
        <v>5</v>
      </c>
      <c r="G53" s="16" t="n">
        <v>11873</v>
      </c>
      <c r="H53" s="16" t="n">
        <v>84</v>
      </c>
      <c r="I53" s="15"/>
    </row>
    <row r="54" customFormat="false" ht="15" hidden="false" customHeight="false" outlineLevel="0" collapsed="false">
      <c r="A54" s="15" t="s">
        <v>25</v>
      </c>
      <c r="B54" s="15" t="s">
        <v>129</v>
      </c>
      <c r="C54" s="15" t="s">
        <v>121</v>
      </c>
      <c r="D54" s="15" t="s">
        <v>180</v>
      </c>
      <c r="E54" s="16" t="n">
        <v>138</v>
      </c>
      <c r="F54" s="16" t="n">
        <v>15</v>
      </c>
      <c r="G54" s="16" t="n">
        <v>7639</v>
      </c>
      <c r="H54" s="16" t="n">
        <v>276</v>
      </c>
      <c r="I54" s="15"/>
    </row>
    <row r="55" customFormat="false" ht="15" hidden="false" customHeight="false" outlineLevel="0" collapsed="false">
      <c r="A55" s="15" t="s">
        <v>25</v>
      </c>
      <c r="B55" s="15" t="s">
        <v>129</v>
      </c>
      <c r="C55" s="15" t="s">
        <v>148</v>
      </c>
      <c r="D55" s="15" t="s">
        <v>180</v>
      </c>
      <c r="E55" s="16" t="n">
        <v>88</v>
      </c>
      <c r="F55" s="16" t="n">
        <v>16</v>
      </c>
      <c r="G55" s="16" t="n">
        <v>7332</v>
      </c>
      <c r="H55" s="16" t="n">
        <v>176</v>
      </c>
      <c r="I55" s="15"/>
    </row>
    <row r="56" customFormat="false" ht="15" hidden="false" customHeight="false" outlineLevel="0" collapsed="false">
      <c r="A56" s="15" t="s">
        <v>25</v>
      </c>
      <c r="B56" s="15" t="s">
        <v>132</v>
      </c>
      <c r="C56" s="15" t="s">
        <v>147</v>
      </c>
      <c r="D56" s="15" t="s">
        <v>181</v>
      </c>
      <c r="E56" s="16" t="n">
        <v>5</v>
      </c>
      <c r="F56" s="16" t="n">
        <v>5</v>
      </c>
      <c r="G56" s="16" t="n">
        <v>6356</v>
      </c>
      <c r="H56" s="16" t="n">
        <v>10</v>
      </c>
      <c r="I56" s="15"/>
    </row>
    <row r="57" customFormat="false" ht="15" hidden="false" customHeight="false" outlineLevel="0" collapsed="false">
      <c r="A57" s="15" t="s">
        <v>25</v>
      </c>
      <c r="B57" s="15" t="s">
        <v>132</v>
      </c>
      <c r="C57" s="15" t="s">
        <v>148</v>
      </c>
      <c r="D57" s="15" t="s">
        <v>181</v>
      </c>
      <c r="E57" s="16" t="n">
        <v>66</v>
      </c>
      <c r="F57" s="16" t="n">
        <v>21</v>
      </c>
      <c r="G57" s="16" t="n">
        <v>6592</v>
      </c>
      <c r="H57" s="16" t="n">
        <v>132</v>
      </c>
      <c r="I57" s="15"/>
    </row>
    <row r="58" customFormat="false" ht="15" hidden="false" customHeight="false" outlineLevel="0" collapsed="false">
      <c r="A58" s="15" t="s">
        <v>25</v>
      </c>
      <c r="B58" s="15" t="s">
        <v>132</v>
      </c>
      <c r="C58" s="15" t="s">
        <v>147</v>
      </c>
      <c r="D58" s="15" t="s">
        <v>180</v>
      </c>
      <c r="E58" s="16" t="n">
        <v>15</v>
      </c>
      <c r="F58" s="16" t="n">
        <v>3</v>
      </c>
      <c r="G58" s="16" t="n">
        <v>7060</v>
      </c>
      <c r="H58" s="16" t="n">
        <v>30</v>
      </c>
      <c r="I58" s="15"/>
    </row>
    <row r="59" customFormat="false" ht="15" hidden="false" customHeight="false" outlineLevel="0" collapsed="false">
      <c r="A59" s="15" t="s">
        <v>25</v>
      </c>
      <c r="B59" s="15" t="s">
        <v>132</v>
      </c>
      <c r="C59" s="15" t="s">
        <v>148</v>
      </c>
      <c r="D59" s="15" t="s">
        <v>180</v>
      </c>
      <c r="E59" s="16" t="n">
        <v>122</v>
      </c>
      <c r="F59" s="16" t="n">
        <v>17</v>
      </c>
      <c r="G59" s="16" t="n">
        <v>5953</v>
      </c>
      <c r="H59" s="16" t="n">
        <v>244</v>
      </c>
      <c r="I59" s="15"/>
    </row>
    <row r="60" customFormat="false" ht="15" hidden="false" customHeight="false" outlineLevel="0" collapsed="false">
      <c r="A60" s="15" t="s">
        <v>25</v>
      </c>
      <c r="B60" s="15" t="s">
        <v>134</v>
      </c>
      <c r="C60" s="15" t="s">
        <v>147</v>
      </c>
      <c r="D60" s="15" t="s">
        <v>181</v>
      </c>
      <c r="E60" s="16" t="n">
        <v>6</v>
      </c>
      <c r="F60" s="16" t="n">
        <v>6</v>
      </c>
      <c r="G60" s="16" t="n">
        <v>12613</v>
      </c>
      <c r="H60" s="16" t="n">
        <v>30</v>
      </c>
      <c r="I60" s="15"/>
    </row>
    <row r="61" customFormat="false" ht="15" hidden="false" customHeight="false" outlineLevel="0" collapsed="false">
      <c r="A61" s="15" t="s">
        <v>25</v>
      </c>
      <c r="B61" s="15" t="s">
        <v>134</v>
      </c>
      <c r="C61" s="15" t="s">
        <v>150</v>
      </c>
      <c r="D61" s="15" t="s">
        <v>181</v>
      </c>
      <c r="E61" s="16" t="n">
        <v>6</v>
      </c>
      <c r="F61" s="16" t="n">
        <v>6</v>
      </c>
      <c r="G61" s="16" t="n">
        <v>10234</v>
      </c>
      <c r="H61" s="16" t="n">
        <v>24</v>
      </c>
      <c r="I61" s="15" t="s">
        <v>187</v>
      </c>
    </row>
    <row r="62" customFormat="false" ht="15" hidden="false" customHeight="false" outlineLevel="0" collapsed="false">
      <c r="A62" s="15" t="s">
        <v>25</v>
      </c>
      <c r="B62" s="15" t="s">
        <v>134</v>
      </c>
      <c r="C62" s="15" t="s">
        <v>121</v>
      </c>
      <c r="D62" s="15" t="s">
        <v>181</v>
      </c>
      <c r="E62" s="16" t="n">
        <v>2</v>
      </c>
      <c r="F62" s="16" t="n">
        <v>2</v>
      </c>
      <c r="G62" s="16" t="n">
        <v>3157</v>
      </c>
      <c r="H62" s="16" t="n">
        <v>4</v>
      </c>
      <c r="I62" s="15"/>
    </row>
    <row r="63" customFormat="false" ht="15" hidden="false" customHeight="false" outlineLevel="0" collapsed="false">
      <c r="A63" s="15" t="s">
        <v>25</v>
      </c>
      <c r="B63" s="15" t="s">
        <v>134</v>
      </c>
      <c r="C63" s="15" t="s">
        <v>148</v>
      </c>
      <c r="D63" s="15" t="s">
        <v>181</v>
      </c>
      <c r="E63" s="16" t="n">
        <v>20</v>
      </c>
      <c r="F63" s="16" t="n">
        <v>20</v>
      </c>
      <c r="G63" s="16" t="n">
        <v>9245</v>
      </c>
      <c r="H63" s="16" t="n">
        <v>60</v>
      </c>
      <c r="I63" s="15"/>
    </row>
    <row r="64" customFormat="false" ht="15" hidden="false" customHeight="false" outlineLevel="0" collapsed="false">
      <c r="A64" s="15" t="s">
        <v>25</v>
      </c>
      <c r="B64" s="15" t="s">
        <v>134</v>
      </c>
      <c r="C64" s="15" t="s">
        <v>147</v>
      </c>
      <c r="D64" s="15" t="s">
        <v>180</v>
      </c>
      <c r="E64" s="16" t="n">
        <v>26</v>
      </c>
      <c r="F64" s="16" t="n">
        <v>4</v>
      </c>
      <c r="G64" s="16" t="n">
        <v>12613</v>
      </c>
      <c r="H64" s="16" t="n">
        <v>130</v>
      </c>
      <c r="I64" s="15"/>
    </row>
    <row r="65" customFormat="false" ht="15" hidden="false" customHeight="false" outlineLevel="0" collapsed="false">
      <c r="A65" s="15" t="s">
        <v>25</v>
      </c>
      <c r="B65" s="15" t="s">
        <v>134</v>
      </c>
      <c r="C65" s="15" t="s">
        <v>121</v>
      </c>
      <c r="D65" s="15" t="s">
        <v>180</v>
      </c>
      <c r="E65" s="16" t="n">
        <v>36</v>
      </c>
      <c r="F65" s="16" t="n">
        <v>3</v>
      </c>
      <c r="G65" s="16" t="n">
        <v>13405</v>
      </c>
      <c r="H65" s="16" t="n">
        <v>180</v>
      </c>
      <c r="I65" s="15"/>
    </row>
    <row r="66" customFormat="false" ht="15" hidden="false" customHeight="false" outlineLevel="0" collapsed="false">
      <c r="A66" s="15" t="s">
        <v>25</v>
      </c>
      <c r="B66" s="15" t="s">
        <v>134</v>
      </c>
      <c r="C66" s="15" t="s">
        <v>148</v>
      </c>
      <c r="D66" s="15" t="s">
        <v>180</v>
      </c>
      <c r="E66" s="16" t="n">
        <v>143</v>
      </c>
      <c r="F66" s="16" t="n">
        <v>25</v>
      </c>
      <c r="G66" s="16" t="n">
        <v>10038</v>
      </c>
      <c r="H66" s="16" t="n">
        <v>572</v>
      </c>
      <c r="I66" s="15"/>
    </row>
    <row r="67" customFormat="false" ht="15" hidden="false" customHeight="false" outlineLevel="0" collapsed="false">
      <c r="A67" s="15" t="s">
        <v>25</v>
      </c>
      <c r="B67" s="15" t="s">
        <v>135</v>
      </c>
      <c r="C67" s="15" t="s">
        <v>147</v>
      </c>
      <c r="D67" s="15" t="s">
        <v>181</v>
      </c>
      <c r="E67" s="16" t="n">
        <v>6</v>
      </c>
      <c r="F67" s="16" t="n">
        <v>5</v>
      </c>
      <c r="G67" s="16" t="n">
        <v>11451</v>
      </c>
      <c r="H67" s="16" t="n">
        <v>24</v>
      </c>
      <c r="I67" s="15"/>
    </row>
    <row r="68" customFormat="false" ht="15" hidden="false" customHeight="false" outlineLevel="0" collapsed="false">
      <c r="A68" s="15" t="s">
        <v>25</v>
      </c>
      <c r="B68" s="15" t="s">
        <v>135</v>
      </c>
      <c r="C68" s="15" t="s">
        <v>148</v>
      </c>
      <c r="D68" s="15" t="s">
        <v>181</v>
      </c>
      <c r="E68" s="16" t="n">
        <v>21</v>
      </c>
      <c r="F68" s="16" t="n">
        <v>21</v>
      </c>
      <c r="G68" s="16" t="n">
        <v>6592</v>
      </c>
      <c r="H68" s="16" t="n">
        <v>42</v>
      </c>
      <c r="I68" s="15"/>
    </row>
    <row r="69" customFormat="false" ht="15" hidden="false" customHeight="false" outlineLevel="0" collapsed="false">
      <c r="A69" s="15" t="s">
        <v>25</v>
      </c>
      <c r="B69" s="15" t="s">
        <v>135</v>
      </c>
      <c r="C69" s="15" t="s">
        <v>147</v>
      </c>
      <c r="D69" s="15" t="s">
        <v>180</v>
      </c>
      <c r="E69" s="16" t="n">
        <v>29</v>
      </c>
      <c r="F69" s="16" t="n">
        <v>5</v>
      </c>
      <c r="G69" s="16" t="n">
        <v>10460</v>
      </c>
      <c r="H69" s="16" t="n">
        <v>116</v>
      </c>
      <c r="I69" s="15"/>
    </row>
    <row r="70" customFormat="false" ht="15" hidden="false" customHeight="false" outlineLevel="0" collapsed="false">
      <c r="A70" s="15" t="s">
        <v>25</v>
      </c>
      <c r="B70" s="15" t="s">
        <v>135</v>
      </c>
      <c r="C70" s="15" t="s">
        <v>148</v>
      </c>
      <c r="D70" s="15" t="s">
        <v>180</v>
      </c>
      <c r="E70" s="16" t="n">
        <v>133</v>
      </c>
      <c r="F70" s="16" t="n">
        <v>16</v>
      </c>
      <c r="G70" s="16" t="n">
        <v>6610</v>
      </c>
      <c r="H70" s="16" t="n">
        <v>266</v>
      </c>
      <c r="I70" s="15"/>
    </row>
    <row r="71" customFormat="false" ht="15" hidden="false" customHeight="false" outlineLevel="0" collapsed="false">
      <c r="A71" s="15" t="s">
        <v>25</v>
      </c>
      <c r="B71" s="15" t="s">
        <v>136</v>
      </c>
      <c r="C71" s="15" t="s">
        <v>149</v>
      </c>
      <c r="D71" s="15" t="s">
        <v>181</v>
      </c>
      <c r="E71" s="16" t="n">
        <v>2</v>
      </c>
      <c r="F71" s="16" t="n">
        <v>2</v>
      </c>
      <c r="G71" s="16" t="n">
        <v>12114</v>
      </c>
      <c r="H71" s="16" t="n">
        <v>10</v>
      </c>
      <c r="I71" s="15"/>
    </row>
    <row r="72" customFormat="false" ht="15" hidden="false" customHeight="false" outlineLevel="0" collapsed="false">
      <c r="A72" s="15" t="s">
        <v>25</v>
      </c>
      <c r="B72" s="15" t="s">
        <v>136</v>
      </c>
      <c r="C72" s="15" t="s">
        <v>148</v>
      </c>
      <c r="D72" s="15" t="s">
        <v>181</v>
      </c>
      <c r="E72" s="16" t="n">
        <v>4</v>
      </c>
      <c r="F72" s="16" t="n">
        <v>2</v>
      </c>
      <c r="G72" s="16" t="n">
        <v>12254</v>
      </c>
      <c r="H72" s="16" t="n">
        <v>20</v>
      </c>
      <c r="I72" s="15"/>
    </row>
    <row r="73" customFormat="false" ht="15" hidden="false" customHeight="false" outlineLevel="0" collapsed="false">
      <c r="A73" s="15" t="s">
        <v>25</v>
      </c>
      <c r="B73" s="15" t="s">
        <v>136</v>
      </c>
      <c r="C73" s="15" t="s">
        <v>149</v>
      </c>
      <c r="D73" s="15" t="s">
        <v>180</v>
      </c>
      <c r="E73" s="16" t="n">
        <v>20</v>
      </c>
      <c r="F73" s="16" t="n">
        <v>5</v>
      </c>
      <c r="G73" s="16" t="n">
        <v>11438</v>
      </c>
      <c r="H73" s="16" t="n">
        <v>80</v>
      </c>
      <c r="I73" s="15"/>
    </row>
    <row r="74" customFormat="false" ht="15" hidden="false" customHeight="false" outlineLevel="0" collapsed="false">
      <c r="A74" s="15" t="s">
        <v>25</v>
      </c>
      <c r="B74" s="15" t="s">
        <v>136</v>
      </c>
      <c r="C74" s="15" t="s">
        <v>148</v>
      </c>
      <c r="D74" s="15" t="s">
        <v>180</v>
      </c>
      <c r="E74" s="16" t="n">
        <v>34</v>
      </c>
      <c r="F74" s="16" t="n">
        <v>3</v>
      </c>
      <c r="G74" s="16" t="n">
        <v>9610</v>
      </c>
      <c r="H74" s="16" t="n">
        <v>102</v>
      </c>
      <c r="I74" s="15"/>
    </row>
    <row r="75" customFormat="false" ht="15" hidden="false" customHeight="false" outlineLevel="0" collapsed="false">
      <c r="A75" s="15" t="s">
        <v>25</v>
      </c>
      <c r="B75" s="15" t="s">
        <v>138</v>
      </c>
      <c r="C75" s="15" t="s">
        <v>147</v>
      </c>
      <c r="D75" s="15" t="s">
        <v>181</v>
      </c>
      <c r="E75" s="16" t="n">
        <v>57</v>
      </c>
      <c r="F75" s="16" t="n">
        <v>16</v>
      </c>
      <c r="G75" s="16"/>
      <c r="H75" s="16" t="n">
        <v>57</v>
      </c>
      <c r="I75" s="15"/>
    </row>
    <row r="76" customFormat="false" ht="15" hidden="false" customHeight="false" outlineLevel="0" collapsed="false">
      <c r="A76" s="15" t="s">
        <v>25</v>
      </c>
      <c r="B76" s="15" t="s">
        <v>138</v>
      </c>
      <c r="C76" s="15" t="s">
        <v>151</v>
      </c>
      <c r="D76" s="15" t="s">
        <v>181</v>
      </c>
      <c r="E76" s="16" t="n">
        <v>6</v>
      </c>
      <c r="F76" s="16" t="n">
        <v>5</v>
      </c>
      <c r="G76" s="16" t="n">
        <v>11486</v>
      </c>
      <c r="H76" s="16" t="n">
        <v>24</v>
      </c>
      <c r="I76" s="15"/>
    </row>
    <row r="77" customFormat="false" ht="15" hidden="false" customHeight="false" outlineLevel="0" collapsed="false">
      <c r="A77" s="15" t="s">
        <v>25</v>
      </c>
      <c r="B77" s="15" t="s">
        <v>138</v>
      </c>
      <c r="C77" s="15" t="s">
        <v>149</v>
      </c>
      <c r="D77" s="15" t="s">
        <v>181</v>
      </c>
      <c r="E77" s="16" t="n">
        <v>6</v>
      </c>
      <c r="F77" s="16" t="n">
        <v>1</v>
      </c>
      <c r="G77" s="16" t="n">
        <v>8037</v>
      </c>
      <c r="H77" s="16" t="n">
        <v>18</v>
      </c>
      <c r="I77" s="15"/>
    </row>
    <row r="78" customFormat="false" ht="15" hidden="false" customHeight="false" outlineLevel="0" collapsed="false">
      <c r="A78" s="15" t="s">
        <v>25</v>
      </c>
      <c r="B78" s="15" t="s">
        <v>138</v>
      </c>
      <c r="C78" s="15" t="s">
        <v>188</v>
      </c>
      <c r="D78" s="15" t="s">
        <v>181</v>
      </c>
      <c r="E78" s="16" t="n">
        <v>21</v>
      </c>
      <c r="F78" s="16" t="n">
        <v>21</v>
      </c>
      <c r="G78" s="16" t="n">
        <v>5443</v>
      </c>
      <c r="H78" s="16" t="n">
        <v>42</v>
      </c>
      <c r="I78" s="15"/>
    </row>
    <row r="79" customFormat="false" ht="15" hidden="false" customHeight="false" outlineLevel="0" collapsed="false">
      <c r="A79" s="15" t="s">
        <v>25</v>
      </c>
      <c r="B79" s="15" t="s">
        <v>138</v>
      </c>
      <c r="C79" s="15" t="s">
        <v>151</v>
      </c>
      <c r="D79" s="15" t="s">
        <v>180</v>
      </c>
      <c r="E79" s="16" t="n">
        <v>16</v>
      </c>
      <c r="F79" s="16" t="n">
        <v>5</v>
      </c>
      <c r="G79" s="16" t="n">
        <v>11610</v>
      </c>
      <c r="H79" s="16" t="n">
        <v>64</v>
      </c>
      <c r="I79" s="15"/>
    </row>
    <row r="80" customFormat="false" ht="15" hidden="false" customHeight="false" outlineLevel="0" collapsed="false">
      <c r="A80" s="15" t="s">
        <v>25</v>
      </c>
      <c r="B80" s="15" t="s">
        <v>138</v>
      </c>
      <c r="C80" s="15" t="s">
        <v>149</v>
      </c>
      <c r="D80" s="15" t="s">
        <v>180</v>
      </c>
      <c r="E80" s="16" t="n">
        <v>10</v>
      </c>
      <c r="F80" s="16" t="n">
        <v>3</v>
      </c>
      <c r="G80" s="16" t="n">
        <v>5432</v>
      </c>
      <c r="H80" s="16" t="n">
        <v>20</v>
      </c>
      <c r="I80" s="15"/>
    </row>
    <row r="81" customFormat="false" ht="15" hidden="false" customHeight="false" outlineLevel="0" collapsed="false">
      <c r="A81" s="15" t="s">
        <v>25</v>
      </c>
      <c r="B81" s="15" t="s">
        <v>142</v>
      </c>
      <c r="C81" s="15" t="s">
        <v>147</v>
      </c>
      <c r="D81" s="15" t="s">
        <v>181</v>
      </c>
      <c r="E81" s="16" t="n">
        <v>23</v>
      </c>
      <c r="F81" s="16" t="n">
        <v>21</v>
      </c>
      <c r="G81" s="16"/>
      <c r="H81" s="16" t="n">
        <v>23</v>
      </c>
      <c r="I81" s="15"/>
    </row>
    <row r="82" customFormat="false" ht="15" hidden="false" customHeight="false" outlineLevel="0" collapsed="false">
      <c r="A82" s="15" t="s">
        <v>25</v>
      </c>
      <c r="B82" s="15" t="s">
        <v>142</v>
      </c>
      <c r="C82" s="15" t="s">
        <v>151</v>
      </c>
      <c r="D82" s="15" t="s">
        <v>181</v>
      </c>
      <c r="E82" s="16" t="n">
        <v>3</v>
      </c>
      <c r="F82" s="16" t="n">
        <v>2</v>
      </c>
      <c r="G82" s="16"/>
      <c r="H82" s="16" t="n">
        <v>3</v>
      </c>
      <c r="I82" s="15"/>
    </row>
    <row r="83" customFormat="false" ht="15" hidden="false" customHeight="false" outlineLevel="0" collapsed="false">
      <c r="A83" s="15" t="s">
        <v>25</v>
      </c>
      <c r="B83" s="15" t="s">
        <v>142</v>
      </c>
      <c r="C83" s="15" t="s">
        <v>188</v>
      </c>
      <c r="D83" s="15" t="s">
        <v>181</v>
      </c>
      <c r="E83" s="16" t="n">
        <v>16</v>
      </c>
      <c r="F83" s="16" t="n">
        <v>12</v>
      </c>
      <c r="G83" s="16"/>
      <c r="H83" s="16" t="n">
        <v>16</v>
      </c>
      <c r="I83" s="15"/>
    </row>
    <row r="84" customFormat="false" ht="15" hidden="false" customHeight="false" outlineLevel="0" collapsed="false">
      <c r="A84" s="15" t="s">
        <v>25</v>
      </c>
      <c r="B84" s="15" t="s">
        <v>142</v>
      </c>
      <c r="C84" s="15" t="s">
        <v>147</v>
      </c>
      <c r="D84" s="15" t="s">
        <v>180</v>
      </c>
      <c r="E84" s="16" t="n">
        <v>81</v>
      </c>
      <c r="F84" s="16" t="n">
        <v>26</v>
      </c>
      <c r="G84" s="16"/>
      <c r="H84" s="16" t="n">
        <v>81</v>
      </c>
      <c r="I84" s="15"/>
    </row>
    <row r="85" customFormat="false" ht="15" hidden="false" customHeight="false" outlineLevel="0" collapsed="false">
      <c r="A85" s="15" t="s">
        <v>25</v>
      </c>
      <c r="B85" s="15" t="s">
        <v>142</v>
      </c>
      <c r="C85" s="15" t="s">
        <v>151</v>
      </c>
      <c r="D85" s="15" t="s">
        <v>180</v>
      </c>
      <c r="E85" s="16" t="n">
        <v>2</v>
      </c>
      <c r="F85" s="16" t="n">
        <v>2</v>
      </c>
      <c r="G85" s="16"/>
      <c r="H85" s="16" t="n">
        <v>2</v>
      </c>
      <c r="I85" s="15"/>
    </row>
    <row r="86" customFormat="false" ht="15" hidden="false" customHeight="false" outlineLevel="0" collapsed="false">
      <c r="A86" s="15" t="s">
        <v>25</v>
      </c>
      <c r="B86" s="15" t="s">
        <v>142</v>
      </c>
      <c r="C86" s="15" t="s">
        <v>188</v>
      </c>
      <c r="D86" s="15" t="s">
        <v>180</v>
      </c>
      <c r="E86" s="16" t="n">
        <v>157</v>
      </c>
      <c r="F86" s="16" t="n">
        <v>33</v>
      </c>
      <c r="G86" s="16"/>
      <c r="H86" s="16" t="n">
        <v>157</v>
      </c>
      <c r="I86" s="15"/>
    </row>
    <row r="87" customFormat="false" ht="15" hidden="false" customHeight="false" outlineLevel="0" collapsed="false">
      <c r="A87" s="15" t="s">
        <v>28</v>
      </c>
      <c r="B87" s="15" t="s">
        <v>129</v>
      </c>
      <c r="C87" s="15" t="s">
        <v>159</v>
      </c>
      <c r="D87" s="15" t="s">
        <v>181</v>
      </c>
      <c r="E87" s="16" t="n">
        <v>1</v>
      </c>
      <c r="F87" s="16" t="n">
        <v>1</v>
      </c>
      <c r="G87" s="16"/>
      <c r="H87" s="16" t="n">
        <v>1</v>
      </c>
      <c r="I87" s="15"/>
    </row>
    <row r="88" customFormat="false" ht="15" hidden="false" customHeight="false" outlineLevel="0" collapsed="false">
      <c r="A88" s="15" t="s">
        <v>28</v>
      </c>
      <c r="B88" s="15" t="s">
        <v>129</v>
      </c>
      <c r="C88" s="15" t="s">
        <v>149</v>
      </c>
      <c r="D88" s="15" t="s">
        <v>181</v>
      </c>
      <c r="E88" s="16" t="n">
        <v>19</v>
      </c>
      <c r="F88" s="16" t="n">
        <v>19</v>
      </c>
      <c r="G88" s="16" t="n">
        <v>13224</v>
      </c>
      <c r="H88" s="16" t="n">
        <v>95</v>
      </c>
      <c r="I88" s="15"/>
    </row>
    <row r="89" customFormat="false" ht="15" hidden="false" customHeight="false" outlineLevel="0" collapsed="false">
      <c r="A89" s="15" t="s">
        <v>28</v>
      </c>
      <c r="B89" s="15" t="s">
        <v>129</v>
      </c>
      <c r="C89" s="15" t="s">
        <v>149</v>
      </c>
      <c r="D89" s="15" t="s">
        <v>180</v>
      </c>
      <c r="E89" s="16" t="n">
        <v>11</v>
      </c>
      <c r="F89" s="16" t="n">
        <v>3</v>
      </c>
      <c r="G89" s="16" t="n">
        <v>13224</v>
      </c>
      <c r="H89" s="16" t="n">
        <v>55</v>
      </c>
      <c r="I89" s="15"/>
    </row>
    <row r="90" customFormat="false" ht="15" hidden="false" customHeight="false" outlineLevel="0" collapsed="false">
      <c r="A90" s="15" t="s">
        <v>28</v>
      </c>
      <c r="B90" s="15" t="s">
        <v>132</v>
      </c>
      <c r="C90" s="15" t="s">
        <v>149</v>
      </c>
      <c r="D90" s="15" t="s">
        <v>181</v>
      </c>
      <c r="E90" s="16" t="n">
        <v>14</v>
      </c>
      <c r="F90" s="16" t="n">
        <v>12</v>
      </c>
      <c r="G90" s="16" t="n">
        <v>3994</v>
      </c>
      <c r="H90" s="16" t="n">
        <v>28</v>
      </c>
      <c r="I90" s="15"/>
    </row>
    <row r="91" customFormat="false" ht="15" hidden="false" customHeight="false" outlineLevel="0" collapsed="false">
      <c r="A91" s="15" t="s">
        <v>28</v>
      </c>
      <c r="B91" s="15" t="s">
        <v>132</v>
      </c>
      <c r="C91" s="15" t="s">
        <v>152</v>
      </c>
      <c r="D91" s="15" t="s">
        <v>181</v>
      </c>
      <c r="E91" s="16" t="n">
        <v>3</v>
      </c>
      <c r="F91" s="16" t="n">
        <v>3</v>
      </c>
      <c r="G91" s="16" t="n">
        <v>10783</v>
      </c>
      <c r="H91" s="16" t="n">
        <v>12</v>
      </c>
      <c r="I91" s="15"/>
    </row>
    <row r="92" customFormat="false" ht="15" hidden="false" customHeight="false" outlineLevel="0" collapsed="false">
      <c r="A92" s="15" t="s">
        <v>28</v>
      </c>
      <c r="B92" s="15" t="s">
        <v>132</v>
      </c>
      <c r="C92" s="15" t="s">
        <v>189</v>
      </c>
      <c r="D92" s="15" t="s">
        <v>181</v>
      </c>
      <c r="E92" s="16" t="n">
        <v>11</v>
      </c>
      <c r="F92" s="16" t="n">
        <v>11</v>
      </c>
      <c r="G92" s="16" t="n">
        <v>6072</v>
      </c>
      <c r="H92" s="16" t="n">
        <v>22</v>
      </c>
      <c r="I92" s="15"/>
    </row>
    <row r="93" customFormat="false" ht="15" hidden="false" customHeight="false" outlineLevel="0" collapsed="false">
      <c r="A93" s="15" t="s">
        <v>28</v>
      </c>
      <c r="B93" s="15" t="s">
        <v>132</v>
      </c>
      <c r="C93" s="15" t="s">
        <v>149</v>
      </c>
      <c r="D93" s="15" t="s">
        <v>180</v>
      </c>
      <c r="E93" s="16" t="n">
        <v>25</v>
      </c>
      <c r="F93" s="16" t="n">
        <v>6</v>
      </c>
      <c r="G93" s="16" t="n">
        <v>3994</v>
      </c>
      <c r="H93" s="16" t="n">
        <v>50</v>
      </c>
      <c r="I93" s="15"/>
    </row>
    <row r="94" customFormat="false" ht="15" hidden="false" customHeight="false" outlineLevel="0" collapsed="false">
      <c r="A94" s="15" t="s">
        <v>28</v>
      </c>
      <c r="B94" s="15" t="s">
        <v>132</v>
      </c>
      <c r="C94" s="15" t="s">
        <v>189</v>
      </c>
      <c r="D94" s="15" t="s">
        <v>180</v>
      </c>
      <c r="E94" s="16" t="n">
        <v>11</v>
      </c>
      <c r="F94" s="16" t="n">
        <v>11</v>
      </c>
      <c r="G94" s="16" t="n">
        <v>6072</v>
      </c>
      <c r="H94" s="16" t="n">
        <v>22</v>
      </c>
      <c r="I94" s="15"/>
    </row>
    <row r="95" customFormat="false" ht="15" hidden="false" customHeight="false" outlineLevel="0" collapsed="false">
      <c r="A95" s="15" t="s">
        <v>28</v>
      </c>
      <c r="B95" s="15" t="s">
        <v>134</v>
      </c>
      <c r="C95" s="15" t="s">
        <v>149</v>
      </c>
      <c r="D95" s="15" t="s">
        <v>181</v>
      </c>
      <c r="E95" s="16" t="n">
        <v>19</v>
      </c>
      <c r="F95" s="16" t="n">
        <v>19</v>
      </c>
      <c r="G95" s="16" t="n">
        <v>15840</v>
      </c>
      <c r="H95" s="16" t="n">
        <v>114</v>
      </c>
      <c r="I95" s="15"/>
    </row>
    <row r="96" customFormat="false" ht="15" hidden="false" customHeight="false" outlineLevel="0" collapsed="false">
      <c r="A96" s="15" t="s">
        <v>28</v>
      </c>
      <c r="B96" s="15" t="s">
        <v>134</v>
      </c>
      <c r="C96" s="15" t="s">
        <v>130</v>
      </c>
      <c r="D96" s="15" t="s">
        <v>181</v>
      </c>
      <c r="E96" s="16" t="n">
        <v>38</v>
      </c>
      <c r="F96" s="16" t="n">
        <v>38</v>
      </c>
      <c r="G96" s="16" t="n">
        <v>7919</v>
      </c>
      <c r="H96" s="16" t="n">
        <v>76</v>
      </c>
      <c r="I96" s="15"/>
    </row>
    <row r="97" customFormat="false" ht="15" hidden="false" customHeight="false" outlineLevel="0" collapsed="false">
      <c r="A97" s="15" t="s">
        <v>28</v>
      </c>
      <c r="B97" s="15" t="s">
        <v>134</v>
      </c>
      <c r="C97" s="15" t="s">
        <v>126</v>
      </c>
      <c r="D97" s="15" t="s">
        <v>180</v>
      </c>
      <c r="E97" s="16" t="n">
        <v>16</v>
      </c>
      <c r="F97" s="16" t="n">
        <v>1</v>
      </c>
      <c r="G97" s="16" t="n">
        <v>7662</v>
      </c>
      <c r="H97" s="16" t="n">
        <v>32</v>
      </c>
      <c r="I97" s="15" t="s">
        <v>190</v>
      </c>
    </row>
    <row r="98" customFormat="false" ht="15" hidden="false" customHeight="false" outlineLevel="0" collapsed="false">
      <c r="A98" s="15" t="s">
        <v>28</v>
      </c>
      <c r="B98" s="15" t="s">
        <v>134</v>
      </c>
      <c r="C98" s="15" t="s">
        <v>130</v>
      </c>
      <c r="D98" s="15" t="s">
        <v>180</v>
      </c>
      <c r="E98" s="16" t="n">
        <v>262</v>
      </c>
      <c r="F98" s="16" t="n">
        <v>37</v>
      </c>
      <c r="G98" s="16" t="n">
        <v>10175</v>
      </c>
      <c r="H98" s="16" t="n">
        <v>1048</v>
      </c>
      <c r="I98" s="15"/>
    </row>
    <row r="99" customFormat="false" ht="15" hidden="false" customHeight="false" outlineLevel="0" collapsed="false">
      <c r="A99" s="15" t="s">
        <v>28</v>
      </c>
      <c r="B99" s="15" t="s">
        <v>135</v>
      </c>
      <c r="C99" s="15" t="s">
        <v>159</v>
      </c>
      <c r="D99" s="15" t="s">
        <v>181</v>
      </c>
      <c r="E99" s="16" t="n">
        <v>1</v>
      </c>
      <c r="F99" s="16" t="n">
        <v>1</v>
      </c>
      <c r="G99" s="16"/>
      <c r="H99" s="16" t="n">
        <v>1</v>
      </c>
      <c r="I99" s="15"/>
    </row>
    <row r="100" customFormat="false" ht="15" hidden="false" customHeight="false" outlineLevel="0" collapsed="false">
      <c r="A100" s="15" t="s">
        <v>28</v>
      </c>
      <c r="B100" s="15" t="s">
        <v>135</v>
      </c>
      <c r="C100" s="15" t="s">
        <v>126</v>
      </c>
      <c r="D100" s="15" t="s">
        <v>181</v>
      </c>
      <c r="E100" s="16" t="n">
        <v>3</v>
      </c>
      <c r="F100" s="16" t="n">
        <v>3</v>
      </c>
      <c r="G100" s="16" t="n">
        <v>9848</v>
      </c>
      <c r="H100" s="16" t="n">
        <v>9</v>
      </c>
      <c r="I100" s="15"/>
    </row>
    <row r="101" customFormat="false" ht="15" hidden="false" customHeight="false" outlineLevel="0" collapsed="false">
      <c r="A101" s="15" t="s">
        <v>28</v>
      </c>
      <c r="B101" s="15" t="s">
        <v>135</v>
      </c>
      <c r="C101" s="15" t="s">
        <v>149</v>
      </c>
      <c r="D101" s="15" t="s">
        <v>181</v>
      </c>
      <c r="E101" s="16" t="n">
        <v>3</v>
      </c>
      <c r="F101" s="16" t="n">
        <v>3</v>
      </c>
      <c r="G101" s="16" t="n">
        <v>9848</v>
      </c>
      <c r="H101" s="16" t="n">
        <v>9</v>
      </c>
      <c r="I101" s="15" t="s">
        <v>191</v>
      </c>
    </row>
    <row r="102" customFormat="false" ht="15" hidden="false" customHeight="false" outlineLevel="0" collapsed="false">
      <c r="A102" s="15" t="s">
        <v>28</v>
      </c>
      <c r="B102" s="15" t="s">
        <v>135</v>
      </c>
      <c r="C102" s="15" t="s">
        <v>130</v>
      </c>
      <c r="D102" s="15" t="s">
        <v>181</v>
      </c>
      <c r="E102" s="16" t="n">
        <v>35</v>
      </c>
      <c r="F102" s="16" t="n">
        <v>30</v>
      </c>
      <c r="G102" s="16" t="n">
        <v>7683</v>
      </c>
      <c r="H102" s="16" t="n">
        <v>70</v>
      </c>
      <c r="I102" s="15" t="s">
        <v>192</v>
      </c>
    </row>
    <row r="103" customFormat="false" ht="15" hidden="false" customHeight="false" outlineLevel="0" collapsed="false">
      <c r="A103" s="15" t="s">
        <v>28</v>
      </c>
      <c r="B103" s="15" t="s">
        <v>136</v>
      </c>
      <c r="C103" s="15" t="s">
        <v>193</v>
      </c>
      <c r="D103" s="15" t="s">
        <v>181</v>
      </c>
      <c r="E103" s="16" t="n">
        <v>46</v>
      </c>
      <c r="F103" s="16" t="n">
        <v>21</v>
      </c>
      <c r="G103" s="16" t="n">
        <v>10990</v>
      </c>
      <c r="H103" s="16" t="n">
        <v>184</v>
      </c>
      <c r="I103" s="15"/>
    </row>
    <row r="104" customFormat="false" ht="15" hidden="false" customHeight="false" outlineLevel="0" collapsed="false">
      <c r="A104" s="15" t="s">
        <v>28</v>
      </c>
      <c r="B104" s="15" t="s">
        <v>136</v>
      </c>
      <c r="C104" s="15" t="s">
        <v>126</v>
      </c>
      <c r="D104" s="15" t="s">
        <v>181</v>
      </c>
      <c r="E104" s="16" t="n">
        <v>3</v>
      </c>
      <c r="F104" s="16" t="n">
        <v>3</v>
      </c>
      <c r="G104" s="16" t="n">
        <v>10914</v>
      </c>
      <c r="H104" s="16" t="n">
        <v>12</v>
      </c>
      <c r="I104" s="15" t="s">
        <v>194</v>
      </c>
    </row>
    <row r="105" customFormat="false" ht="15" hidden="false" customHeight="false" outlineLevel="0" collapsed="false">
      <c r="A105" s="15" t="s">
        <v>28</v>
      </c>
      <c r="B105" s="15" t="s">
        <v>136</v>
      </c>
      <c r="C105" s="15" t="s">
        <v>126</v>
      </c>
      <c r="D105" s="15" t="s">
        <v>180</v>
      </c>
      <c r="E105" s="16" t="n">
        <v>18</v>
      </c>
      <c r="F105" s="16" t="n">
        <v>2</v>
      </c>
      <c r="G105" s="16" t="n">
        <v>9999</v>
      </c>
      <c r="H105" s="16" t="n">
        <v>54</v>
      </c>
      <c r="I105" s="15" t="s">
        <v>194</v>
      </c>
    </row>
    <row r="106" customFormat="false" ht="15" hidden="false" customHeight="false" outlineLevel="0" collapsed="false">
      <c r="A106" s="15" t="s">
        <v>28</v>
      </c>
      <c r="B106" s="15" t="s">
        <v>138</v>
      </c>
      <c r="C106" s="15" t="s">
        <v>193</v>
      </c>
      <c r="D106" s="15" t="s">
        <v>181</v>
      </c>
      <c r="E106" s="16" t="n">
        <v>146</v>
      </c>
      <c r="F106" s="16" t="n">
        <v>63</v>
      </c>
      <c r="G106" s="16" t="n">
        <v>7482</v>
      </c>
      <c r="H106" s="16" t="n">
        <v>292</v>
      </c>
      <c r="I106" s="15"/>
    </row>
    <row r="107" customFormat="false" ht="15" hidden="false" customHeight="false" outlineLevel="0" collapsed="false">
      <c r="A107" s="15" t="s">
        <v>28</v>
      </c>
      <c r="B107" s="15" t="s">
        <v>139</v>
      </c>
      <c r="C107" s="15" t="s">
        <v>193</v>
      </c>
      <c r="D107" s="15" t="s">
        <v>181</v>
      </c>
      <c r="E107" s="16" t="n">
        <v>89</v>
      </c>
      <c r="F107" s="16" t="n">
        <v>49</v>
      </c>
      <c r="G107" s="16" t="n">
        <v>14987</v>
      </c>
      <c r="H107" s="16" t="n">
        <v>445</v>
      </c>
      <c r="I107" s="15"/>
    </row>
    <row r="108" customFormat="false" ht="15" hidden="false" customHeight="false" outlineLevel="0" collapsed="false">
      <c r="A108" s="15" t="s">
        <v>28</v>
      </c>
      <c r="B108" s="15" t="s">
        <v>142</v>
      </c>
      <c r="C108" s="15" t="s">
        <v>193</v>
      </c>
      <c r="D108" s="15" t="s">
        <v>181</v>
      </c>
      <c r="E108" s="16" t="n">
        <v>49</v>
      </c>
      <c r="F108" s="16" t="n">
        <v>34</v>
      </c>
      <c r="G108" s="16"/>
      <c r="H108" s="16" t="n">
        <v>49</v>
      </c>
      <c r="I108" s="15"/>
    </row>
    <row r="109" customFormat="false" ht="15" hidden="false" customHeight="false" outlineLevel="0" collapsed="false">
      <c r="A109" s="15" t="s">
        <v>14</v>
      </c>
      <c r="B109" s="15" t="s">
        <v>129</v>
      </c>
      <c r="C109" s="15" t="s">
        <v>195</v>
      </c>
      <c r="D109" s="15" t="s">
        <v>181</v>
      </c>
      <c r="E109" s="16" t="n">
        <v>4</v>
      </c>
      <c r="F109" s="16" t="n">
        <v>4</v>
      </c>
      <c r="G109" s="16" t="n">
        <v>7347</v>
      </c>
      <c r="H109" s="16" t="n">
        <v>8</v>
      </c>
      <c r="I109" s="15"/>
    </row>
    <row r="110" customFormat="false" ht="15" hidden="false" customHeight="false" outlineLevel="0" collapsed="false">
      <c r="A110" s="15" t="s">
        <v>14</v>
      </c>
      <c r="B110" s="15" t="s">
        <v>129</v>
      </c>
      <c r="C110" s="15" t="s">
        <v>195</v>
      </c>
      <c r="D110" s="15" t="s">
        <v>180</v>
      </c>
      <c r="E110" s="16" t="n">
        <v>157</v>
      </c>
      <c r="F110" s="16" t="n">
        <v>42</v>
      </c>
      <c r="G110" s="16" t="n">
        <v>7347</v>
      </c>
      <c r="H110" s="16" t="n">
        <v>314</v>
      </c>
      <c r="I110" s="15"/>
    </row>
    <row r="111" customFormat="false" ht="15" hidden="false" customHeight="false" outlineLevel="0" collapsed="false">
      <c r="A111" s="15" t="s">
        <v>14</v>
      </c>
      <c r="B111" s="15" t="s">
        <v>132</v>
      </c>
      <c r="C111" s="15" t="s">
        <v>195</v>
      </c>
      <c r="D111" s="15" t="s">
        <v>181</v>
      </c>
      <c r="E111" s="16" t="n">
        <v>145</v>
      </c>
      <c r="F111" s="16" t="n">
        <v>70</v>
      </c>
      <c r="G111" s="16" t="n">
        <v>8461</v>
      </c>
      <c r="H111" s="16" t="n">
        <v>435</v>
      </c>
      <c r="I111" s="15"/>
    </row>
    <row r="112" customFormat="false" ht="15" hidden="false" customHeight="false" outlineLevel="0" collapsed="false">
      <c r="A112" s="15" t="s">
        <v>14</v>
      </c>
      <c r="B112" s="15" t="s">
        <v>132</v>
      </c>
      <c r="C112" s="15" t="s">
        <v>195</v>
      </c>
      <c r="D112" s="15" t="s">
        <v>180</v>
      </c>
      <c r="E112" s="16" t="n">
        <v>229</v>
      </c>
      <c r="F112" s="16" t="n">
        <v>53</v>
      </c>
      <c r="G112" s="16" t="n">
        <v>7143</v>
      </c>
      <c r="H112" s="16" t="n">
        <v>458</v>
      </c>
      <c r="I112" s="15"/>
    </row>
    <row r="113" customFormat="false" ht="15" hidden="false" customHeight="false" outlineLevel="0" collapsed="false">
      <c r="A113" s="15" t="s">
        <v>14</v>
      </c>
      <c r="B113" s="15" t="s">
        <v>134</v>
      </c>
      <c r="C113" s="15" t="s">
        <v>195</v>
      </c>
      <c r="D113" s="15" t="s">
        <v>181</v>
      </c>
      <c r="E113" s="16" t="n">
        <v>50</v>
      </c>
      <c r="F113" s="16" t="n">
        <v>40</v>
      </c>
      <c r="G113" s="16" t="n">
        <v>7335</v>
      </c>
      <c r="H113" s="16" t="n">
        <v>100</v>
      </c>
      <c r="I113" s="15"/>
    </row>
    <row r="114" customFormat="false" ht="15" hidden="false" customHeight="false" outlineLevel="0" collapsed="false">
      <c r="A114" s="15" t="s">
        <v>14</v>
      </c>
      <c r="B114" s="15" t="s">
        <v>134</v>
      </c>
      <c r="C114" s="15" t="s">
        <v>195</v>
      </c>
      <c r="D114" s="15" t="s">
        <v>180</v>
      </c>
      <c r="E114" s="16" t="n">
        <v>281</v>
      </c>
      <c r="F114" s="16" t="n">
        <v>68</v>
      </c>
      <c r="G114" s="16" t="n">
        <v>9483</v>
      </c>
      <c r="H114" s="16" t="n">
        <v>843</v>
      </c>
      <c r="I114" s="15"/>
    </row>
    <row r="115" customFormat="false" ht="15" hidden="false" customHeight="false" outlineLevel="0" collapsed="false">
      <c r="A115" s="15" t="s">
        <v>14</v>
      </c>
      <c r="B115" s="15" t="s">
        <v>135</v>
      </c>
      <c r="C115" s="15" t="s">
        <v>195</v>
      </c>
      <c r="D115" s="15" t="s">
        <v>181</v>
      </c>
      <c r="E115" s="16" t="n">
        <v>39</v>
      </c>
      <c r="F115" s="16" t="n">
        <v>24</v>
      </c>
      <c r="G115" s="16" t="n">
        <v>6690</v>
      </c>
      <c r="H115" s="16" t="n">
        <v>78</v>
      </c>
      <c r="I115" s="15"/>
    </row>
    <row r="116" customFormat="false" ht="15" hidden="false" customHeight="false" outlineLevel="0" collapsed="false">
      <c r="A116" s="15" t="s">
        <v>14</v>
      </c>
      <c r="B116" s="15" t="s">
        <v>135</v>
      </c>
      <c r="C116" s="15" t="s">
        <v>195</v>
      </c>
      <c r="D116" s="15" t="s">
        <v>180</v>
      </c>
      <c r="E116" s="16" t="n">
        <v>279</v>
      </c>
      <c r="F116" s="16" t="n">
        <v>53</v>
      </c>
      <c r="G116" s="16" t="n">
        <v>7267</v>
      </c>
      <c r="H116" s="16" t="n">
        <v>558</v>
      </c>
      <c r="I116" s="15"/>
    </row>
    <row r="117" customFormat="false" ht="15" hidden="false" customHeight="false" outlineLevel="0" collapsed="false">
      <c r="A117" s="15" t="s">
        <v>14</v>
      </c>
      <c r="B117" s="15" t="s">
        <v>136</v>
      </c>
      <c r="C117" s="15" t="s">
        <v>195</v>
      </c>
      <c r="D117" s="15" t="s">
        <v>181</v>
      </c>
      <c r="E117" s="16" t="n">
        <v>93</v>
      </c>
      <c r="F117" s="16" t="n">
        <v>74</v>
      </c>
      <c r="G117" s="16" t="n">
        <v>10990</v>
      </c>
      <c r="H117" s="16" t="n">
        <v>372</v>
      </c>
      <c r="I117" s="15"/>
    </row>
    <row r="118" customFormat="false" ht="15" hidden="false" customHeight="false" outlineLevel="0" collapsed="false">
      <c r="A118" s="15" t="s">
        <v>14</v>
      </c>
      <c r="B118" s="15" t="s">
        <v>136</v>
      </c>
      <c r="C118" s="15" t="s">
        <v>195</v>
      </c>
      <c r="D118" s="15" t="s">
        <v>180</v>
      </c>
      <c r="E118" s="16" t="n">
        <v>567</v>
      </c>
      <c r="F118" s="16" t="n">
        <v>109</v>
      </c>
      <c r="G118" s="16" t="n">
        <v>10546</v>
      </c>
      <c r="H118" s="16" t="n">
        <v>2268</v>
      </c>
      <c r="I118" s="15"/>
    </row>
    <row r="119" customFormat="false" ht="15" hidden="false" customHeight="false" outlineLevel="0" collapsed="false">
      <c r="A119" s="15" t="s">
        <v>14</v>
      </c>
      <c r="B119" s="15" t="s">
        <v>138</v>
      </c>
      <c r="C119" s="15" t="s">
        <v>195</v>
      </c>
      <c r="D119" s="15" t="s">
        <v>181</v>
      </c>
      <c r="E119" s="16" t="n">
        <v>46</v>
      </c>
      <c r="F119" s="16" t="n">
        <v>30</v>
      </c>
      <c r="G119" s="16" t="n">
        <v>7482</v>
      </c>
      <c r="H119" s="16" t="n">
        <v>92</v>
      </c>
      <c r="I119" s="15"/>
    </row>
    <row r="120" customFormat="false" ht="15" hidden="false" customHeight="false" outlineLevel="0" collapsed="false">
      <c r="A120" s="15" t="s">
        <v>14</v>
      </c>
      <c r="B120" s="15" t="s">
        <v>138</v>
      </c>
      <c r="C120" s="15" t="s">
        <v>195</v>
      </c>
      <c r="D120" s="15" t="s">
        <v>180</v>
      </c>
      <c r="E120" s="16" t="n">
        <v>273</v>
      </c>
      <c r="F120" s="16" t="n">
        <v>82</v>
      </c>
      <c r="G120" s="16" t="n">
        <v>9673</v>
      </c>
      <c r="H120" s="16" t="n">
        <v>819</v>
      </c>
      <c r="I120" s="15"/>
    </row>
    <row r="121" customFormat="false" ht="15" hidden="false" customHeight="false" outlineLevel="0" collapsed="false">
      <c r="A121" s="15" t="s">
        <v>14</v>
      </c>
      <c r="B121" s="15" t="s">
        <v>139</v>
      </c>
      <c r="C121" s="15" t="s">
        <v>195</v>
      </c>
      <c r="D121" s="15" t="s">
        <v>181</v>
      </c>
      <c r="E121" s="16" t="n">
        <v>86</v>
      </c>
      <c r="F121" s="16" t="n">
        <v>49</v>
      </c>
      <c r="G121" s="16" t="n">
        <v>15600</v>
      </c>
      <c r="H121" s="16" t="n">
        <v>516</v>
      </c>
      <c r="I121" s="15"/>
    </row>
    <row r="122" customFormat="false" ht="15" hidden="false" customHeight="false" outlineLevel="0" collapsed="false">
      <c r="A122" s="15" t="s">
        <v>14</v>
      </c>
      <c r="B122" s="15" t="s">
        <v>139</v>
      </c>
      <c r="C122" s="15" t="s">
        <v>195</v>
      </c>
      <c r="D122" s="15" t="s">
        <v>180</v>
      </c>
      <c r="E122" s="16" t="n">
        <v>480</v>
      </c>
      <c r="F122" s="16" t="n">
        <v>96</v>
      </c>
      <c r="G122" s="16" t="n">
        <v>14629</v>
      </c>
      <c r="H122" s="16" t="n">
        <v>2400</v>
      </c>
      <c r="I122" s="15"/>
    </row>
    <row r="123" customFormat="false" ht="15" hidden="false" customHeight="false" outlineLevel="0" collapsed="false">
      <c r="A123" s="15" t="s">
        <v>14</v>
      </c>
      <c r="B123" s="15" t="s">
        <v>142</v>
      </c>
      <c r="C123" s="15" t="s">
        <v>195</v>
      </c>
      <c r="D123" s="15" t="s">
        <v>181</v>
      </c>
      <c r="E123" s="16" t="n">
        <v>11</v>
      </c>
      <c r="F123" s="16" t="n">
        <v>6</v>
      </c>
      <c r="G123" s="16" t="n">
        <v>6992</v>
      </c>
      <c r="H123" s="16" t="n">
        <v>22</v>
      </c>
      <c r="I123" s="15"/>
    </row>
    <row r="124" customFormat="false" ht="15" hidden="false" customHeight="false" outlineLevel="0" collapsed="false">
      <c r="A124" s="15" t="s">
        <v>164</v>
      </c>
      <c r="B124" s="15" t="s">
        <v>129</v>
      </c>
      <c r="C124" s="15" t="s">
        <v>196</v>
      </c>
      <c r="D124" s="15" t="s">
        <v>181</v>
      </c>
      <c r="E124" s="16" t="n">
        <v>1</v>
      </c>
      <c r="F124" s="16" t="n">
        <v>1</v>
      </c>
      <c r="G124" s="16"/>
      <c r="H124" s="16" t="n">
        <v>1</v>
      </c>
      <c r="I124" s="15"/>
    </row>
    <row r="125" customFormat="false" ht="15" hidden="false" customHeight="false" outlineLevel="0" collapsed="false">
      <c r="A125" s="15" t="s">
        <v>164</v>
      </c>
      <c r="B125" s="15" t="s">
        <v>134</v>
      </c>
      <c r="C125" s="15" t="s">
        <v>166</v>
      </c>
      <c r="D125" s="15" t="s">
        <v>181</v>
      </c>
      <c r="E125" s="16" t="n">
        <v>10</v>
      </c>
      <c r="F125" s="16" t="n">
        <v>8</v>
      </c>
      <c r="G125" s="16" t="n">
        <v>4317</v>
      </c>
      <c r="H125" s="16" t="n">
        <v>20</v>
      </c>
      <c r="I125" s="15"/>
    </row>
    <row r="126" customFormat="false" ht="15" hidden="false" customHeight="false" outlineLevel="0" collapsed="false">
      <c r="A126" s="15" t="s">
        <v>164</v>
      </c>
      <c r="B126" s="15" t="s">
        <v>134</v>
      </c>
      <c r="C126" s="15" t="s">
        <v>166</v>
      </c>
      <c r="D126" s="15" t="s">
        <v>180</v>
      </c>
      <c r="E126" s="16" t="n">
        <v>78</v>
      </c>
      <c r="F126" s="16" t="n">
        <v>14</v>
      </c>
      <c r="G126" s="16"/>
      <c r="H126" s="16" t="n">
        <v>78</v>
      </c>
      <c r="I126" s="15"/>
    </row>
    <row r="127" customFormat="false" ht="15" hidden="false" customHeight="false" outlineLevel="0" collapsed="false">
      <c r="A127" s="15" t="s">
        <v>164</v>
      </c>
      <c r="B127" s="15" t="s">
        <v>134</v>
      </c>
      <c r="C127" s="15" t="s">
        <v>150</v>
      </c>
      <c r="D127" s="15" t="s">
        <v>180</v>
      </c>
      <c r="E127" s="16" t="n">
        <v>15</v>
      </c>
      <c r="F127" s="16" t="n">
        <v>5</v>
      </c>
      <c r="G127" s="16" t="n">
        <v>10490</v>
      </c>
      <c r="H127" s="16" t="n">
        <v>60</v>
      </c>
      <c r="I127" s="15" t="s">
        <v>197</v>
      </c>
    </row>
    <row r="128" customFormat="false" ht="15" hidden="false" customHeight="false" outlineLevel="0" collapsed="false">
      <c r="A128" s="15" t="s">
        <v>164</v>
      </c>
      <c r="B128" s="15" t="s">
        <v>134</v>
      </c>
      <c r="C128" s="15" t="s">
        <v>196</v>
      </c>
      <c r="D128" s="15" t="s">
        <v>180</v>
      </c>
      <c r="E128" s="16" t="n">
        <v>5</v>
      </c>
      <c r="F128" s="16" t="n">
        <v>2</v>
      </c>
      <c r="G128" s="16"/>
      <c r="H128" s="16" t="n">
        <v>5</v>
      </c>
      <c r="I128" s="15"/>
    </row>
    <row r="129" customFormat="false" ht="15" hidden="false" customHeight="false" outlineLevel="0" collapsed="false">
      <c r="A129" s="15" t="s">
        <v>164</v>
      </c>
      <c r="B129" s="15" t="s">
        <v>135</v>
      </c>
      <c r="C129" s="15" t="s">
        <v>176</v>
      </c>
      <c r="D129" s="15" t="s">
        <v>181</v>
      </c>
      <c r="E129" s="16" t="n">
        <v>11</v>
      </c>
      <c r="F129" s="16" t="n">
        <v>11</v>
      </c>
      <c r="G129" s="16" t="n">
        <v>6690</v>
      </c>
      <c r="H129" s="16" t="n">
        <v>22</v>
      </c>
      <c r="I129" s="15"/>
    </row>
    <row r="130" customFormat="false" ht="15" hidden="false" customHeight="false" outlineLevel="0" collapsed="false">
      <c r="A130" s="15" t="s">
        <v>164</v>
      </c>
      <c r="B130" s="15" t="s">
        <v>135</v>
      </c>
      <c r="C130" s="15" t="s">
        <v>166</v>
      </c>
      <c r="D130" s="15" t="s">
        <v>181</v>
      </c>
      <c r="E130" s="16" t="n">
        <v>8</v>
      </c>
      <c r="F130" s="16" t="n">
        <v>8</v>
      </c>
      <c r="G130" s="16" t="n">
        <v>6690</v>
      </c>
      <c r="H130" s="16" t="n">
        <v>16</v>
      </c>
      <c r="I130" s="15"/>
    </row>
    <row r="131" customFormat="false" ht="15" hidden="false" customHeight="false" outlineLevel="0" collapsed="false">
      <c r="A131" s="15" t="s">
        <v>164</v>
      </c>
      <c r="B131" s="15" t="s">
        <v>135</v>
      </c>
      <c r="C131" s="15" t="s">
        <v>196</v>
      </c>
      <c r="D131" s="15" t="s">
        <v>181</v>
      </c>
      <c r="E131" s="16" t="n">
        <v>1</v>
      </c>
      <c r="F131" s="16" t="n">
        <v>1</v>
      </c>
      <c r="G131" s="16" t="n">
        <v>9543</v>
      </c>
      <c r="H131" s="16" t="n">
        <v>3</v>
      </c>
      <c r="I131" s="15"/>
    </row>
    <row r="132" customFormat="false" ht="15" hidden="false" customHeight="false" outlineLevel="0" collapsed="false">
      <c r="A132" s="15" t="s">
        <v>164</v>
      </c>
      <c r="B132" s="15" t="s">
        <v>135</v>
      </c>
      <c r="C132" s="15" t="s">
        <v>166</v>
      </c>
      <c r="D132" s="15" t="s">
        <v>180</v>
      </c>
      <c r="E132" s="16" t="n">
        <v>43</v>
      </c>
      <c r="F132" s="16" t="n">
        <v>8</v>
      </c>
      <c r="G132" s="16" t="n">
        <v>4598</v>
      </c>
      <c r="H132" s="16" t="n">
        <v>86</v>
      </c>
      <c r="I132" s="15"/>
    </row>
    <row r="133" customFormat="false" ht="15" hidden="false" customHeight="false" outlineLevel="0" collapsed="false">
      <c r="A133" s="15" t="s">
        <v>164</v>
      </c>
      <c r="B133" s="15" t="s">
        <v>135</v>
      </c>
      <c r="C133" s="15" t="s">
        <v>150</v>
      </c>
      <c r="D133" s="15" t="s">
        <v>180</v>
      </c>
      <c r="E133" s="16" t="n">
        <v>4</v>
      </c>
      <c r="F133" s="16" t="n">
        <v>1</v>
      </c>
      <c r="G133" s="16" t="n">
        <v>8454</v>
      </c>
      <c r="H133" s="16" t="n">
        <v>12</v>
      </c>
      <c r="I133" s="15"/>
    </row>
    <row r="134" customFormat="false" ht="15" hidden="false" customHeight="false" outlineLevel="0" collapsed="false">
      <c r="A134" s="15" t="s">
        <v>164</v>
      </c>
      <c r="B134" s="15" t="s">
        <v>135</v>
      </c>
      <c r="C134" s="15" t="s">
        <v>130</v>
      </c>
      <c r="D134" s="15" t="s">
        <v>180</v>
      </c>
      <c r="E134" s="16" t="n">
        <v>248</v>
      </c>
      <c r="F134" s="16" t="n">
        <v>17</v>
      </c>
      <c r="G134" s="16" t="n">
        <v>8080</v>
      </c>
      <c r="H134" s="16" t="n">
        <v>744</v>
      </c>
      <c r="I134" s="15" t="s">
        <v>192</v>
      </c>
    </row>
    <row r="135" customFormat="false" ht="15" hidden="false" customHeight="false" outlineLevel="0" collapsed="false">
      <c r="A135" s="15" t="s">
        <v>164</v>
      </c>
      <c r="B135" s="15" t="s">
        <v>136</v>
      </c>
      <c r="C135" s="15" t="s">
        <v>176</v>
      </c>
      <c r="D135" s="15" t="s">
        <v>181</v>
      </c>
      <c r="E135" s="16" t="n">
        <v>46</v>
      </c>
      <c r="F135" s="16" t="n">
        <v>21</v>
      </c>
      <c r="G135" s="16" t="n">
        <v>10990</v>
      </c>
      <c r="H135" s="16" t="n">
        <v>184</v>
      </c>
      <c r="I135" s="15"/>
    </row>
    <row r="136" customFormat="false" ht="15" hidden="false" customHeight="false" outlineLevel="0" collapsed="false">
      <c r="A136" s="15" t="s">
        <v>164</v>
      </c>
      <c r="B136" s="15" t="s">
        <v>136</v>
      </c>
      <c r="C136" s="15" t="s">
        <v>166</v>
      </c>
      <c r="D136" s="15" t="s">
        <v>181</v>
      </c>
      <c r="E136" s="16" t="n">
        <v>5</v>
      </c>
      <c r="F136" s="16" t="n">
        <v>5</v>
      </c>
      <c r="G136" s="16" t="n">
        <v>6513</v>
      </c>
      <c r="H136" s="16" t="n">
        <v>10</v>
      </c>
      <c r="I136" s="15"/>
    </row>
    <row r="137" customFormat="false" ht="15" hidden="false" customHeight="false" outlineLevel="0" collapsed="false">
      <c r="A137" s="15" t="s">
        <v>164</v>
      </c>
      <c r="B137" s="15" t="s">
        <v>136</v>
      </c>
      <c r="C137" s="15" t="s">
        <v>150</v>
      </c>
      <c r="D137" s="15" t="s">
        <v>181</v>
      </c>
      <c r="E137" s="16" t="n">
        <v>1</v>
      </c>
      <c r="F137" s="16" t="n">
        <v>1</v>
      </c>
      <c r="G137" s="16" t="n">
        <v>15113</v>
      </c>
      <c r="H137" s="16" t="n">
        <v>6</v>
      </c>
      <c r="I137" s="15"/>
    </row>
    <row r="138" customFormat="false" ht="15" hidden="false" customHeight="false" outlineLevel="0" collapsed="false">
      <c r="A138" s="15" t="s">
        <v>164</v>
      </c>
      <c r="B138" s="15" t="s">
        <v>136</v>
      </c>
      <c r="C138" s="15" t="s">
        <v>130</v>
      </c>
      <c r="D138" s="15" t="s">
        <v>181</v>
      </c>
      <c r="E138" s="16" t="n">
        <v>18</v>
      </c>
      <c r="F138" s="16" t="n">
        <v>11</v>
      </c>
      <c r="G138" s="16" t="n">
        <v>12116</v>
      </c>
      <c r="H138" s="16" t="n">
        <v>90</v>
      </c>
      <c r="I138" s="15"/>
    </row>
    <row r="139" customFormat="false" ht="15" hidden="false" customHeight="false" outlineLevel="0" collapsed="false">
      <c r="A139" s="15" t="s">
        <v>164</v>
      </c>
      <c r="B139" s="15" t="s">
        <v>136</v>
      </c>
      <c r="C139" s="15" t="s">
        <v>168</v>
      </c>
      <c r="D139" s="15" t="s">
        <v>181</v>
      </c>
      <c r="E139" s="16" t="n">
        <v>9</v>
      </c>
      <c r="F139" s="16" t="n">
        <v>3</v>
      </c>
      <c r="G139" s="16" t="n">
        <v>9890</v>
      </c>
      <c r="H139" s="16" t="n">
        <v>27</v>
      </c>
      <c r="I139" s="15"/>
    </row>
    <row r="140" customFormat="false" ht="15" hidden="false" customHeight="false" outlineLevel="0" collapsed="false">
      <c r="A140" s="15" t="s">
        <v>164</v>
      </c>
      <c r="B140" s="15" t="s">
        <v>136</v>
      </c>
      <c r="C140" s="15" t="s">
        <v>167</v>
      </c>
      <c r="D140" s="15" t="s">
        <v>181</v>
      </c>
      <c r="E140" s="16" t="n">
        <v>7</v>
      </c>
      <c r="F140" s="16" t="n">
        <v>2</v>
      </c>
      <c r="G140" s="16" t="n">
        <v>14012</v>
      </c>
      <c r="H140" s="16" t="n">
        <v>35</v>
      </c>
      <c r="I140" s="15"/>
    </row>
    <row r="141" customFormat="false" ht="15" hidden="false" customHeight="false" outlineLevel="0" collapsed="false">
      <c r="A141" s="15" t="s">
        <v>164</v>
      </c>
      <c r="B141" s="15" t="s">
        <v>136</v>
      </c>
      <c r="C141" s="15" t="s">
        <v>166</v>
      </c>
      <c r="D141" s="15" t="s">
        <v>180</v>
      </c>
      <c r="E141" s="16" t="n">
        <v>34</v>
      </c>
      <c r="F141" s="16" t="n">
        <v>16</v>
      </c>
      <c r="G141" s="16" t="n">
        <v>7387</v>
      </c>
      <c r="H141" s="16" t="n">
        <v>68</v>
      </c>
      <c r="I141" s="15"/>
    </row>
    <row r="142" customFormat="false" ht="15" hidden="false" customHeight="false" outlineLevel="0" collapsed="false">
      <c r="A142" s="15" t="s">
        <v>164</v>
      </c>
      <c r="B142" s="15" t="s">
        <v>136</v>
      </c>
      <c r="C142" s="15" t="s">
        <v>150</v>
      </c>
      <c r="D142" s="15" t="s">
        <v>180</v>
      </c>
      <c r="E142" s="16" t="n">
        <v>2</v>
      </c>
      <c r="F142" s="16" t="n">
        <v>1</v>
      </c>
      <c r="G142" s="16" t="n">
        <v>15113</v>
      </c>
      <c r="H142" s="16" t="n">
        <v>12</v>
      </c>
      <c r="I142" s="15"/>
    </row>
    <row r="143" customFormat="false" ht="15" hidden="false" customHeight="false" outlineLevel="0" collapsed="false">
      <c r="A143" s="15" t="s">
        <v>164</v>
      </c>
      <c r="B143" s="15" t="s">
        <v>136</v>
      </c>
      <c r="C143" s="15" t="s">
        <v>130</v>
      </c>
      <c r="D143" s="15" t="s">
        <v>180</v>
      </c>
      <c r="E143" s="16" t="n">
        <v>250</v>
      </c>
      <c r="F143" s="16" t="n">
        <v>41</v>
      </c>
      <c r="G143" s="16" t="n">
        <v>11971</v>
      </c>
      <c r="H143" s="16" t="n">
        <v>1000</v>
      </c>
      <c r="I143" s="15"/>
    </row>
    <row r="144" customFormat="false" ht="15" hidden="false" customHeight="false" outlineLevel="0" collapsed="false">
      <c r="A144" s="15" t="s">
        <v>164</v>
      </c>
      <c r="B144" s="15" t="s">
        <v>138</v>
      </c>
      <c r="C144" s="15" t="s">
        <v>176</v>
      </c>
      <c r="D144" s="15" t="s">
        <v>181</v>
      </c>
      <c r="E144" s="16" t="n">
        <v>146</v>
      </c>
      <c r="F144" s="16" t="n">
        <v>63</v>
      </c>
      <c r="G144" s="16" t="n">
        <v>7482</v>
      </c>
      <c r="H144" s="16" t="n">
        <v>292</v>
      </c>
      <c r="I144" s="15"/>
    </row>
    <row r="145" customFormat="false" ht="15" hidden="false" customHeight="false" outlineLevel="0" collapsed="false">
      <c r="A145" s="15" t="s">
        <v>164</v>
      </c>
      <c r="B145" s="15" t="s">
        <v>138</v>
      </c>
      <c r="C145" s="15" t="s">
        <v>130</v>
      </c>
      <c r="D145" s="15" t="s">
        <v>181</v>
      </c>
      <c r="E145" s="16" t="n">
        <v>12</v>
      </c>
      <c r="F145" s="16" t="n">
        <v>10</v>
      </c>
      <c r="G145" s="16" t="n">
        <v>7755</v>
      </c>
      <c r="H145" s="16" t="n">
        <v>24</v>
      </c>
      <c r="I145" s="15"/>
    </row>
    <row r="146" customFormat="false" ht="15" hidden="false" customHeight="false" outlineLevel="0" collapsed="false">
      <c r="A146" s="15" t="s">
        <v>164</v>
      </c>
      <c r="B146" s="15" t="s">
        <v>138</v>
      </c>
      <c r="C146" s="15" t="s">
        <v>168</v>
      </c>
      <c r="D146" s="15" t="s">
        <v>181</v>
      </c>
      <c r="E146" s="16" t="n">
        <v>9</v>
      </c>
      <c r="F146" s="16" t="n">
        <v>5</v>
      </c>
      <c r="G146" s="16" t="n">
        <v>9276</v>
      </c>
      <c r="H146" s="16" t="n">
        <v>27</v>
      </c>
      <c r="I146" s="15"/>
    </row>
    <row r="147" customFormat="false" ht="15" hidden="false" customHeight="false" outlineLevel="0" collapsed="false">
      <c r="A147" s="15" t="s">
        <v>164</v>
      </c>
      <c r="B147" s="15" t="s">
        <v>138</v>
      </c>
      <c r="C147" s="15" t="s">
        <v>130</v>
      </c>
      <c r="D147" s="15" t="s">
        <v>180</v>
      </c>
      <c r="E147" s="16" t="n">
        <v>150</v>
      </c>
      <c r="F147" s="16" t="n">
        <v>25</v>
      </c>
      <c r="G147" s="16" t="n">
        <v>7950</v>
      </c>
      <c r="H147" s="16" t="n">
        <v>300</v>
      </c>
      <c r="I147" s="15"/>
    </row>
    <row r="148" customFormat="false" ht="15" hidden="false" customHeight="false" outlineLevel="0" collapsed="false">
      <c r="A148" s="15" t="s">
        <v>164</v>
      </c>
      <c r="B148" s="15" t="s">
        <v>139</v>
      </c>
      <c r="C148" s="15" t="s">
        <v>176</v>
      </c>
      <c r="D148" s="15" t="s">
        <v>181</v>
      </c>
      <c r="E148" s="16" t="n">
        <v>86</v>
      </c>
      <c r="F148" s="16" t="n">
        <v>46</v>
      </c>
      <c r="G148" s="16" t="n">
        <v>14987</v>
      </c>
      <c r="H148" s="16" t="n">
        <v>430</v>
      </c>
      <c r="I148" s="15"/>
    </row>
    <row r="149" customFormat="false" ht="15" hidden="false" customHeight="false" outlineLevel="0" collapsed="false">
      <c r="A149" s="15" t="s">
        <v>164</v>
      </c>
      <c r="B149" s="15" t="s">
        <v>139</v>
      </c>
      <c r="C149" s="15" t="s">
        <v>150</v>
      </c>
      <c r="D149" s="15" t="s">
        <v>181</v>
      </c>
      <c r="E149" s="16" t="n">
        <v>25</v>
      </c>
      <c r="F149" s="16" t="n">
        <v>5</v>
      </c>
      <c r="G149" s="16" t="n">
        <v>13517</v>
      </c>
      <c r="H149" s="16" t="n">
        <v>125</v>
      </c>
      <c r="I149" s="15"/>
    </row>
    <row r="150" customFormat="false" ht="15" hidden="false" customHeight="false" outlineLevel="0" collapsed="false">
      <c r="A150" s="15" t="s">
        <v>164</v>
      </c>
      <c r="B150" s="15" t="s">
        <v>139</v>
      </c>
      <c r="C150" s="15" t="s">
        <v>130</v>
      </c>
      <c r="D150" s="15" t="s">
        <v>181</v>
      </c>
      <c r="E150" s="16" t="n">
        <v>52</v>
      </c>
      <c r="F150" s="16" t="n">
        <v>34</v>
      </c>
      <c r="G150" s="16" t="n">
        <v>12105</v>
      </c>
      <c r="H150" s="16" t="n">
        <v>260</v>
      </c>
      <c r="I150" s="15"/>
    </row>
    <row r="151" customFormat="false" ht="15" hidden="false" customHeight="false" outlineLevel="0" collapsed="false">
      <c r="A151" s="15" t="s">
        <v>164</v>
      </c>
      <c r="B151" s="15" t="s">
        <v>139</v>
      </c>
      <c r="C151" s="15" t="s">
        <v>168</v>
      </c>
      <c r="D151" s="15" t="s">
        <v>181</v>
      </c>
      <c r="E151" s="16" t="n">
        <v>6</v>
      </c>
      <c r="F151" s="16" t="n">
        <v>6</v>
      </c>
      <c r="G151" s="16" t="n">
        <v>13597</v>
      </c>
      <c r="H151" s="16" t="n">
        <v>30</v>
      </c>
      <c r="I151" s="15"/>
    </row>
    <row r="152" customFormat="false" ht="15" hidden="false" customHeight="false" outlineLevel="0" collapsed="false">
      <c r="A152" s="15" t="s">
        <v>164</v>
      </c>
      <c r="B152" s="15" t="s">
        <v>139</v>
      </c>
      <c r="C152" s="15" t="s">
        <v>150</v>
      </c>
      <c r="D152" s="15" t="s">
        <v>180</v>
      </c>
      <c r="E152" s="16" t="n">
        <v>11</v>
      </c>
      <c r="F152" s="16" t="n">
        <v>3</v>
      </c>
      <c r="G152" s="16" t="n">
        <v>12502</v>
      </c>
      <c r="H152" s="16" t="n">
        <v>55</v>
      </c>
      <c r="I152" s="15"/>
    </row>
    <row r="153" customFormat="false" ht="15" hidden="false" customHeight="false" outlineLevel="0" collapsed="false">
      <c r="A153" s="15" t="s">
        <v>164</v>
      </c>
      <c r="B153" s="15" t="s">
        <v>139</v>
      </c>
      <c r="C153" s="15" t="s">
        <v>130</v>
      </c>
      <c r="D153" s="15" t="s">
        <v>180</v>
      </c>
      <c r="E153" s="16" t="n">
        <v>194</v>
      </c>
      <c r="F153" s="16" t="n">
        <v>33</v>
      </c>
      <c r="G153" s="16" t="n">
        <v>11241</v>
      </c>
      <c r="H153" s="16" t="n">
        <v>776</v>
      </c>
      <c r="I153" s="15"/>
    </row>
    <row r="154" customFormat="false" ht="15" hidden="false" customHeight="false" outlineLevel="0" collapsed="false">
      <c r="A154" s="15" t="s">
        <v>164</v>
      </c>
      <c r="B154" s="15" t="s">
        <v>142</v>
      </c>
      <c r="C154" s="15" t="s">
        <v>176</v>
      </c>
      <c r="D154" s="15" t="s">
        <v>181</v>
      </c>
      <c r="E154" s="16" t="n">
        <v>46</v>
      </c>
      <c r="F154" s="16" t="n">
        <v>43</v>
      </c>
      <c r="G154" s="16" t="n">
        <v>5136</v>
      </c>
      <c r="H154" s="16" t="n">
        <v>92</v>
      </c>
      <c r="I154" s="15"/>
    </row>
    <row r="155" customFormat="false" ht="15" hidden="false" customHeight="false" outlineLevel="0" collapsed="false">
      <c r="A155" s="15" t="s">
        <v>164</v>
      </c>
      <c r="B155" s="15" t="s">
        <v>142</v>
      </c>
      <c r="C155" s="15" t="s">
        <v>130</v>
      </c>
      <c r="D155" s="15" t="s">
        <v>181</v>
      </c>
      <c r="E155" s="16" t="n">
        <v>33</v>
      </c>
      <c r="F155" s="16" t="n">
        <v>22</v>
      </c>
      <c r="G155" s="16" t="n">
        <v>10969</v>
      </c>
      <c r="H155" s="16" t="n">
        <v>132</v>
      </c>
      <c r="I155" s="15"/>
    </row>
    <row r="156" customFormat="false" ht="15" hidden="false" customHeight="false" outlineLevel="0" collapsed="false">
      <c r="A156" s="15" t="s">
        <v>164</v>
      </c>
      <c r="B156" s="15" t="s">
        <v>142</v>
      </c>
      <c r="C156" s="15" t="s">
        <v>130</v>
      </c>
      <c r="D156" s="15" t="s">
        <v>180</v>
      </c>
      <c r="E156" s="16" t="n">
        <v>67</v>
      </c>
      <c r="F156" s="16" t="n">
        <v>15</v>
      </c>
      <c r="G156" s="16" t="n">
        <v>11400</v>
      </c>
      <c r="H156" s="16" t="n">
        <v>268</v>
      </c>
      <c r="I156" s="15"/>
    </row>
    <row r="157" customFormat="false" ht="15" hidden="false" customHeight="false" outlineLevel="0" collapsed="false">
      <c r="A157" s="15" t="s">
        <v>171</v>
      </c>
      <c r="B157" s="15" t="s">
        <v>135</v>
      </c>
      <c r="C157" s="15" t="s">
        <v>198</v>
      </c>
      <c r="D157" s="15" t="s">
        <v>181</v>
      </c>
      <c r="E157" s="16" t="n">
        <v>8</v>
      </c>
      <c r="F157" s="16" t="n">
        <v>8</v>
      </c>
      <c r="G157" s="16" t="n">
        <v>2322</v>
      </c>
      <c r="H157" s="16" t="n">
        <v>8</v>
      </c>
      <c r="I157" s="15"/>
    </row>
    <row r="158" customFormat="false" ht="15" hidden="false" customHeight="false" outlineLevel="0" collapsed="false">
      <c r="A158" s="15" t="s">
        <v>171</v>
      </c>
      <c r="B158" s="15" t="s">
        <v>136</v>
      </c>
      <c r="C158" s="15" t="s">
        <v>198</v>
      </c>
      <c r="D158" s="15" t="s">
        <v>181</v>
      </c>
      <c r="E158" s="16" t="n">
        <v>31</v>
      </c>
      <c r="F158" s="16" t="n">
        <v>14</v>
      </c>
      <c r="G158" s="16" t="n">
        <v>2322</v>
      </c>
      <c r="H158" s="16" t="n">
        <v>31</v>
      </c>
      <c r="I158" s="15"/>
    </row>
    <row r="159" customFormat="false" ht="15" hidden="false" customHeight="false" outlineLevel="0" collapsed="false">
      <c r="A159" s="15" t="s">
        <v>171</v>
      </c>
      <c r="B159" s="15" t="s">
        <v>138</v>
      </c>
      <c r="C159" s="15" t="s">
        <v>198</v>
      </c>
      <c r="D159" s="15" t="s">
        <v>181</v>
      </c>
      <c r="E159" s="16" t="n">
        <v>82</v>
      </c>
      <c r="F159" s="16" t="n">
        <v>36</v>
      </c>
      <c r="G159" s="16" t="n">
        <v>4650</v>
      </c>
      <c r="H159" s="16" t="n">
        <v>164</v>
      </c>
      <c r="I159" s="15"/>
    </row>
    <row r="160" customFormat="false" ht="15" hidden="false" customHeight="false" outlineLevel="0" collapsed="false">
      <c r="A160" s="15" t="s">
        <v>171</v>
      </c>
      <c r="B160" s="15" t="s">
        <v>138</v>
      </c>
      <c r="C160" s="15" t="s">
        <v>198</v>
      </c>
      <c r="D160" s="15" t="s">
        <v>180</v>
      </c>
      <c r="E160" s="16" t="n">
        <v>16</v>
      </c>
      <c r="F160" s="16" t="n">
        <v>3</v>
      </c>
      <c r="G160" s="16" t="n">
        <v>2836</v>
      </c>
      <c r="H160" s="16" t="n">
        <v>16</v>
      </c>
      <c r="I160" s="15"/>
    </row>
    <row r="161" customFormat="false" ht="15" hidden="false" customHeight="false" outlineLevel="0" collapsed="false">
      <c r="A161" s="15" t="s">
        <v>171</v>
      </c>
      <c r="B161" s="15" t="s">
        <v>139</v>
      </c>
      <c r="C161" s="15" t="s">
        <v>198</v>
      </c>
      <c r="D161" s="15" t="s">
        <v>180</v>
      </c>
      <c r="E161" s="16" t="n">
        <v>8</v>
      </c>
      <c r="F161" s="16" t="n">
        <v>2</v>
      </c>
      <c r="G161" s="16" t="n">
        <v>3728</v>
      </c>
      <c r="H161" s="16" t="n">
        <v>16</v>
      </c>
      <c r="I161" s="15"/>
    </row>
    <row r="162" customFormat="false" ht="15" hidden="false" customHeight="false" outlineLevel="0" collapsed="false">
      <c r="A162" s="15" t="s">
        <v>171</v>
      </c>
      <c r="B162" s="15" t="s">
        <v>142</v>
      </c>
      <c r="C162" s="15" t="s">
        <v>167</v>
      </c>
      <c r="D162" s="15" t="s">
        <v>181</v>
      </c>
      <c r="E162" s="16" t="n">
        <v>24</v>
      </c>
      <c r="F162" s="16" t="n">
        <v>8</v>
      </c>
      <c r="G162" s="16" t="n">
        <v>10494</v>
      </c>
      <c r="H162" s="16" t="n">
        <v>96</v>
      </c>
      <c r="I162" s="15"/>
    </row>
    <row r="163" customFormat="false" ht="15" hidden="false" customHeight="false" outlineLevel="0" collapsed="false">
      <c r="A163" s="15" t="s">
        <v>174</v>
      </c>
      <c r="B163" s="15" t="s">
        <v>142</v>
      </c>
      <c r="C163" s="15" t="s">
        <v>195</v>
      </c>
      <c r="D163" s="15" t="s">
        <v>181</v>
      </c>
      <c r="E163" s="16" t="n">
        <v>47</v>
      </c>
      <c r="F163" s="16" t="n">
        <v>29</v>
      </c>
      <c r="G163" s="16" t="n">
        <v>7010</v>
      </c>
      <c r="H163" s="16" t="n">
        <v>94</v>
      </c>
      <c r="I163" s="15"/>
    </row>
    <row r="164" customFormat="false" ht="15" hidden="false" customHeight="false" outlineLevel="0" collapsed="false">
      <c r="A164" s="15" t="s">
        <v>174</v>
      </c>
      <c r="B164" s="15" t="s">
        <v>142</v>
      </c>
      <c r="C164" s="15" t="s">
        <v>195</v>
      </c>
      <c r="D164" s="15" t="s">
        <v>180</v>
      </c>
      <c r="E164" s="16" t="n">
        <v>293</v>
      </c>
      <c r="F164" s="16" t="n">
        <v>75</v>
      </c>
      <c r="G164" s="16" t="n">
        <v>7619</v>
      </c>
      <c r="H164" s="16" t="n">
        <v>586</v>
      </c>
      <c r="I164" s="15"/>
    </row>
  </sheetData>
  <autoFilter ref="A1:I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25" min="7" style="0" width="7"/>
  </cols>
  <sheetData>
    <row r="1" customFormat="false" ht="26.85" hidden="false" customHeight="false" outlineLevel="0" collapsed="false">
      <c r="A1" s="3" t="s">
        <v>199</v>
      </c>
      <c r="B1" s="3" t="s">
        <v>200</v>
      </c>
      <c r="C1" s="3" t="s">
        <v>201</v>
      </c>
      <c r="D1" s="3" t="s">
        <v>202</v>
      </c>
      <c r="E1" s="3" t="s">
        <v>203</v>
      </c>
      <c r="F1" s="3" t="s">
        <v>204</v>
      </c>
      <c r="G1" s="3" t="s">
        <v>205</v>
      </c>
      <c r="H1" s="3" t="s">
        <v>206</v>
      </c>
      <c r="I1" s="3" t="s">
        <v>6</v>
      </c>
      <c r="J1" s="3" t="s">
        <v>25</v>
      </c>
      <c r="K1" s="3" t="s">
        <v>21</v>
      </c>
      <c r="L1" s="3" t="s">
        <v>14</v>
      </c>
      <c r="M1" s="3" t="s">
        <v>10</v>
      </c>
      <c r="N1" s="3" t="s">
        <v>28</v>
      </c>
      <c r="O1" s="3" t="s">
        <v>18</v>
      </c>
      <c r="P1" s="3" t="s">
        <v>207</v>
      </c>
      <c r="Q1" s="3" t="s">
        <v>208</v>
      </c>
      <c r="R1" s="3" t="s">
        <v>209</v>
      </c>
      <c r="S1" s="3" t="s">
        <v>210</v>
      </c>
      <c r="T1" s="3" t="s">
        <v>211</v>
      </c>
      <c r="U1" s="3" t="s">
        <v>212</v>
      </c>
      <c r="V1" s="3" t="s">
        <v>213</v>
      </c>
      <c r="W1" s="3" t="s">
        <v>214</v>
      </c>
      <c r="X1" s="3" t="s">
        <v>215</v>
      </c>
      <c r="Y1" s="3" t="s">
        <v>96</v>
      </c>
    </row>
    <row r="2" customFormat="false" ht="15" hidden="false" customHeight="false" outlineLevel="0" collapsed="false">
      <c r="A2" s="15" t="n">
        <v>1</v>
      </c>
      <c r="B2" s="17" t="s">
        <v>216</v>
      </c>
      <c r="C2" s="17" t="s">
        <v>217</v>
      </c>
      <c r="D2" s="15" t="s">
        <v>218</v>
      </c>
      <c r="E2" s="15" t="s">
        <v>219</v>
      </c>
      <c r="F2" s="17" t="s">
        <v>220</v>
      </c>
      <c r="G2" s="7"/>
      <c r="H2" s="7" t="n">
        <v>0.01</v>
      </c>
      <c r="I2" s="7"/>
      <c r="J2" s="7"/>
      <c r="K2" s="7"/>
      <c r="L2" s="7"/>
      <c r="M2" s="7"/>
      <c r="N2" s="7" t="n">
        <v>0.01</v>
      </c>
      <c r="O2" s="7"/>
      <c r="P2" s="7"/>
      <c r="Q2" s="7"/>
      <c r="R2" s="7"/>
      <c r="S2" s="7"/>
      <c r="T2" s="7"/>
      <c r="U2" s="7"/>
      <c r="V2" s="7"/>
      <c r="W2" s="7"/>
      <c r="X2" s="7"/>
      <c r="Y2" s="10" t="n">
        <f aca="false">SUM(G2:X2)</f>
        <v>0.02</v>
      </c>
    </row>
    <row r="3" customFormat="false" ht="15" hidden="false" customHeight="false" outlineLevel="0" collapsed="false">
      <c r="A3" s="15" t="n">
        <v>2</v>
      </c>
      <c r="B3" s="17" t="s">
        <v>216</v>
      </c>
      <c r="C3" s="17" t="s">
        <v>217</v>
      </c>
      <c r="D3" s="17" t="s">
        <v>221</v>
      </c>
      <c r="E3" s="17" t="s">
        <v>222</v>
      </c>
      <c r="F3" s="17" t="s">
        <v>220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0" t="n">
        <f aca="false">SUM(G3:X3)</f>
        <v>0</v>
      </c>
    </row>
    <row r="4" customFormat="false" ht="15" hidden="false" customHeight="false" outlineLevel="0" collapsed="false">
      <c r="A4" s="15" t="n">
        <v>3</v>
      </c>
      <c r="B4" s="17" t="s">
        <v>216</v>
      </c>
      <c r="C4" s="17" t="s">
        <v>217</v>
      </c>
      <c r="D4" s="17" t="s">
        <v>223</v>
      </c>
      <c r="E4" s="17" t="s">
        <v>224</v>
      </c>
      <c r="F4" s="17" t="s">
        <v>225</v>
      </c>
      <c r="G4" s="7" t="n">
        <v>0.01</v>
      </c>
      <c r="H4" s="7" t="n">
        <v>0.01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0" t="n">
        <f aca="false">SUM(G4:X4)</f>
        <v>0.02</v>
      </c>
    </row>
    <row r="5" customFormat="false" ht="15" hidden="false" customHeight="false" outlineLevel="0" collapsed="false">
      <c r="A5" s="15" t="n">
        <v>4</v>
      </c>
      <c r="B5" s="17" t="s">
        <v>216</v>
      </c>
      <c r="C5" s="17" t="s">
        <v>217</v>
      </c>
      <c r="D5" s="17" t="s">
        <v>226</v>
      </c>
      <c r="E5" s="17" t="s">
        <v>227</v>
      </c>
      <c r="F5" s="17" t="s">
        <v>228</v>
      </c>
      <c r="G5" s="7" t="n">
        <v>0.07</v>
      </c>
      <c r="H5" s="7" t="n">
        <v>0.01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0" t="n">
        <f aca="false">SUM(G5:X5)</f>
        <v>0.08</v>
      </c>
    </row>
    <row r="6" customFormat="false" ht="15" hidden="false" customHeight="false" outlineLevel="0" collapsed="false">
      <c r="A6" s="15" t="n">
        <v>5</v>
      </c>
      <c r="B6" s="17" t="s">
        <v>216</v>
      </c>
      <c r="C6" s="17" t="s">
        <v>217</v>
      </c>
      <c r="D6" s="17" t="s">
        <v>229</v>
      </c>
      <c r="E6" s="15"/>
      <c r="F6" s="17" t="s">
        <v>225</v>
      </c>
      <c r="G6" s="7" t="n">
        <v>0.02</v>
      </c>
      <c r="H6" s="7" t="n">
        <v>0.01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10" t="n">
        <f aca="false">SUM(G6:X6)</f>
        <v>0.03</v>
      </c>
    </row>
    <row r="7" customFormat="false" ht="15" hidden="false" customHeight="false" outlineLevel="0" collapsed="false">
      <c r="A7" s="15" t="n">
        <v>6</v>
      </c>
      <c r="B7" s="17" t="s">
        <v>216</v>
      </c>
      <c r="C7" s="17" t="s">
        <v>217</v>
      </c>
      <c r="D7" s="15" t="s">
        <v>230</v>
      </c>
      <c r="E7" s="15"/>
      <c r="F7" s="17" t="s">
        <v>225</v>
      </c>
      <c r="G7" s="7" t="n">
        <v>0.02</v>
      </c>
      <c r="H7" s="7" t="n">
        <v>0.01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0" t="n">
        <f aca="false">SUM(G7:X7)</f>
        <v>0.03</v>
      </c>
    </row>
    <row r="8" customFormat="false" ht="15" hidden="false" customHeight="false" outlineLevel="0" collapsed="false">
      <c r="A8" s="15" t="n">
        <v>7</v>
      </c>
      <c r="B8" s="17" t="s">
        <v>216</v>
      </c>
      <c r="C8" s="17" t="s">
        <v>217</v>
      </c>
      <c r="D8" s="17" t="s">
        <v>231</v>
      </c>
      <c r="E8" s="15"/>
      <c r="F8" s="17" t="s">
        <v>225</v>
      </c>
      <c r="G8" s="7" t="n">
        <v>0.02</v>
      </c>
      <c r="H8" s="7" t="n">
        <v>0.01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0" t="n">
        <f aca="false">SUM(G8:X8)</f>
        <v>0.03</v>
      </c>
    </row>
    <row r="9" customFormat="false" ht="15" hidden="false" customHeight="false" outlineLevel="0" collapsed="false">
      <c r="A9" s="15" t="n">
        <v>8</v>
      </c>
      <c r="B9" s="17" t="s">
        <v>216</v>
      </c>
      <c r="C9" s="15" t="s">
        <v>232</v>
      </c>
      <c r="D9" s="17" t="s">
        <v>233</v>
      </c>
      <c r="E9" s="17" t="s">
        <v>234</v>
      </c>
      <c r="F9" s="17" t="s">
        <v>225</v>
      </c>
      <c r="G9" s="7"/>
      <c r="H9" s="7" t="n">
        <v>0.01</v>
      </c>
      <c r="I9" s="7"/>
      <c r="J9" s="7"/>
      <c r="K9" s="7"/>
      <c r="L9" s="7"/>
      <c r="M9" s="7"/>
      <c r="N9" s="7" t="n">
        <v>0.01</v>
      </c>
      <c r="O9" s="7"/>
      <c r="P9" s="7"/>
      <c r="Q9" s="7"/>
      <c r="R9" s="7"/>
      <c r="S9" s="7"/>
      <c r="T9" s="7"/>
      <c r="U9" s="7"/>
      <c r="V9" s="7"/>
      <c r="W9" s="7"/>
      <c r="X9" s="7"/>
      <c r="Y9" s="10" t="n">
        <f aca="false">SUM(G9:X9)</f>
        <v>0.02</v>
      </c>
    </row>
    <row r="10" customFormat="false" ht="15" hidden="false" customHeight="false" outlineLevel="0" collapsed="false">
      <c r="A10" s="15" t="n">
        <v>9</v>
      </c>
      <c r="B10" s="17" t="s">
        <v>216</v>
      </c>
      <c r="C10" s="15" t="s">
        <v>232</v>
      </c>
      <c r="D10" s="17" t="s">
        <v>235</v>
      </c>
      <c r="E10" s="15"/>
      <c r="F10" s="17" t="s">
        <v>225</v>
      </c>
      <c r="G10" s="7" t="n">
        <v>0.01</v>
      </c>
      <c r="H10" s="7" t="n">
        <v>0.01</v>
      </c>
      <c r="I10" s="7"/>
      <c r="J10" s="7"/>
      <c r="K10" s="7"/>
      <c r="L10" s="7"/>
      <c r="M10" s="7"/>
      <c r="N10" s="7" t="n">
        <v>0.01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10" t="n">
        <f aca="false">SUM(G10:X10)</f>
        <v>0.03</v>
      </c>
    </row>
    <row r="11" customFormat="false" ht="15" hidden="false" customHeight="false" outlineLevel="0" collapsed="false">
      <c r="A11" s="15" t="n">
        <v>10</v>
      </c>
      <c r="B11" s="17" t="s">
        <v>216</v>
      </c>
      <c r="C11" s="17" t="s">
        <v>236</v>
      </c>
      <c r="D11" s="17" t="s">
        <v>237</v>
      </c>
      <c r="E11" s="17" t="s">
        <v>238</v>
      </c>
      <c r="F11" s="17" t="s">
        <v>239</v>
      </c>
      <c r="G11" s="7" t="n">
        <v>0.02</v>
      </c>
      <c r="H11" s="7" t="n">
        <v>0.01</v>
      </c>
      <c r="I11" s="7"/>
      <c r="J11" s="7"/>
      <c r="K11" s="7"/>
      <c r="L11" s="7"/>
      <c r="M11" s="7"/>
      <c r="N11" s="7"/>
      <c r="O11" s="7"/>
      <c r="P11" s="7" t="n">
        <v>0.01</v>
      </c>
      <c r="Q11" s="7"/>
      <c r="R11" s="7"/>
      <c r="S11" s="7"/>
      <c r="T11" s="7"/>
      <c r="U11" s="7"/>
      <c r="V11" s="7"/>
      <c r="W11" s="7"/>
      <c r="X11" s="7" t="n">
        <v>0.5</v>
      </c>
      <c r="Y11" s="10" t="n">
        <f aca="false">SUM(G11:X11)</f>
        <v>0.54</v>
      </c>
    </row>
    <row r="12" customFormat="false" ht="15" hidden="false" customHeight="false" outlineLevel="0" collapsed="false">
      <c r="A12" s="15" t="n">
        <v>11</v>
      </c>
      <c r="B12" s="17" t="s">
        <v>216</v>
      </c>
      <c r="C12" s="17" t="s">
        <v>236</v>
      </c>
      <c r="D12" s="17" t="s">
        <v>240</v>
      </c>
      <c r="E12" s="17" t="s">
        <v>241</v>
      </c>
      <c r="F12" s="17" t="s">
        <v>225</v>
      </c>
      <c r="G12" s="7" t="n">
        <v>0.05</v>
      </c>
      <c r="H12" s="7" t="n">
        <v>0.01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 t="n">
        <v>0.05</v>
      </c>
      <c r="U12" s="7" t="n">
        <v>0.02</v>
      </c>
      <c r="V12" s="7" t="n">
        <v>0.03</v>
      </c>
      <c r="W12" s="7" t="n">
        <v>0.02</v>
      </c>
      <c r="X12" s="7" t="n">
        <v>0.5</v>
      </c>
      <c r="Y12" s="10" t="n">
        <f aca="false">SUM(G12:X12)</f>
        <v>0.68</v>
      </c>
    </row>
    <row r="13" customFormat="false" ht="15" hidden="false" customHeight="false" outlineLevel="0" collapsed="false">
      <c r="A13" s="15" t="n">
        <v>12</v>
      </c>
      <c r="B13" s="17" t="s">
        <v>216</v>
      </c>
      <c r="C13" s="17" t="s">
        <v>236</v>
      </c>
      <c r="D13" s="17" t="s">
        <v>242</v>
      </c>
      <c r="E13" s="17" t="s">
        <v>243</v>
      </c>
      <c r="F13" s="17" t="s">
        <v>239</v>
      </c>
      <c r="G13" s="7" t="n">
        <v>0.05</v>
      </c>
      <c r="H13" s="7" t="n">
        <v>0.01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0" t="n">
        <f aca="false">SUM(G13:X13)</f>
        <v>0.06</v>
      </c>
    </row>
    <row r="14" customFormat="false" ht="15" hidden="false" customHeight="false" outlineLevel="0" collapsed="false">
      <c r="A14" s="15" t="n">
        <v>13</v>
      </c>
      <c r="B14" s="17" t="s">
        <v>244</v>
      </c>
      <c r="C14" s="17" t="s">
        <v>245</v>
      </c>
      <c r="D14" s="17" t="s">
        <v>246</v>
      </c>
      <c r="E14" s="17" t="s">
        <v>247</v>
      </c>
      <c r="F14" s="17" t="s">
        <v>248</v>
      </c>
      <c r="G14" s="7"/>
      <c r="H14" s="7"/>
      <c r="I14" s="7"/>
      <c r="J14" s="7"/>
      <c r="K14" s="7"/>
      <c r="L14" s="7"/>
      <c r="M14" s="7"/>
      <c r="N14" s="7"/>
      <c r="O14" s="7"/>
      <c r="P14" s="7" t="n">
        <v>0.02</v>
      </c>
      <c r="Q14" s="7"/>
      <c r="R14" s="7"/>
      <c r="S14" s="7"/>
      <c r="T14" s="7"/>
      <c r="U14" s="7"/>
      <c r="V14" s="7"/>
      <c r="W14" s="7"/>
      <c r="X14" s="7"/>
      <c r="Y14" s="10" t="n">
        <f aca="false">SUM(G14:X14)</f>
        <v>0.02</v>
      </c>
    </row>
    <row r="15" customFormat="false" ht="15" hidden="false" customHeight="false" outlineLevel="0" collapsed="false">
      <c r="A15" s="15" t="n">
        <v>14</v>
      </c>
      <c r="B15" s="17" t="s">
        <v>244</v>
      </c>
      <c r="C15" s="17" t="s">
        <v>245</v>
      </c>
      <c r="D15" s="17" t="s">
        <v>249</v>
      </c>
      <c r="E15" s="17" t="s">
        <v>250</v>
      </c>
      <c r="F15" s="17" t="s">
        <v>248</v>
      </c>
      <c r="G15" s="7"/>
      <c r="H15" s="7"/>
      <c r="I15" s="7"/>
      <c r="J15" s="7"/>
      <c r="K15" s="7"/>
      <c r="L15" s="7"/>
      <c r="M15" s="7"/>
      <c r="N15" s="7"/>
      <c r="O15" s="7"/>
      <c r="P15" s="7" t="n">
        <v>0.01</v>
      </c>
      <c r="Q15" s="7"/>
      <c r="R15" s="7"/>
      <c r="S15" s="7"/>
      <c r="T15" s="7"/>
      <c r="U15" s="7"/>
      <c r="V15" s="7"/>
      <c r="W15" s="7"/>
      <c r="X15" s="7"/>
      <c r="Y15" s="10" t="n">
        <f aca="false">SUM(G15:X15)</f>
        <v>0.01</v>
      </c>
    </row>
    <row r="16" customFormat="false" ht="15" hidden="false" customHeight="false" outlineLevel="0" collapsed="false">
      <c r="A16" s="15" t="n">
        <v>15</v>
      </c>
      <c r="B16" s="17" t="s">
        <v>244</v>
      </c>
      <c r="C16" s="17" t="s">
        <v>245</v>
      </c>
      <c r="D16" s="17" t="s">
        <v>251</v>
      </c>
      <c r="E16" s="15" t="s">
        <v>252</v>
      </c>
      <c r="F16" s="17" t="s">
        <v>225</v>
      </c>
      <c r="G16" s="7"/>
      <c r="H16" s="7"/>
      <c r="I16" s="7"/>
      <c r="J16" s="7"/>
      <c r="K16" s="7"/>
      <c r="L16" s="7"/>
      <c r="M16" s="7"/>
      <c r="N16" s="7"/>
      <c r="O16" s="7"/>
      <c r="P16" s="7" t="n">
        <v>0.01</v>
      </c>
      <c r="Q16" s="7"/>
      <c r="R16" s="7"/>
      <c r="S16" s="7"/>
      <c r="T16" s="7"/>
      <c r="U16" s="7"/>
      <c r="V16" s="7"/>
      <c r="W16" s="7"/>
      <c r="X16" s="7"/>
      <c r="Y16" s="10" t="n">
        <f aca="false">SUM(G16:X16)</f>
        <v>0.01</v>
      </c>
    </row>
    <row r="17" customFormat="false" ht="15" hidden="false" customHeight="false" outlineLevel="0" collapsed="false">
      <c r="A17" s="15" t="n">
        <v>16</v>
      </c>
      <c r="B17" s="17" t="s">
        <v>244</v>
      </c>
      <c r="C17" s="17" t="s">
        <v>245</v>
      </c>
      <c r="D17" s="17" t="s">
        <v>253</v>
      </c>
      <c r="E17" s="17" t="s">
        <v>254</v>
      </c>
      <c r="F17" s="17" t="s">
        <v>248</v>
      </c>
      <c r="G17" s="7"/>
      <c r="H17" s="7"/>
      <c r="I17" s="7"/>
      <c r="J17" s="7"/>
      <c r="K17" s="7"/>
      <c r="L17" s="7"/>
      <c r="M17" s="7"/>
      <c r="N17" s="7"/>
      <c r="O17" s="7"/>
      <c r="P17" s="7" t="n">
        <v>0.02</v>
      </c>
      <c r="Q17" s="7"/>
      <c r="R17" s="7"/>
      <c r="S17" s="7"/>
      <c r="T17" s="7"/>
      <c r="U17" s="7"/>
      <c r="V17" s="7"/>
      <c r="W17" s="7"/>
      <c r="X17" s="7"/>
      <c r="Y17" s="10" t="n">
        <f aca="false">SUM(G17:X17)</f>
        <v>0.02</v>
      </c>
    </row>
    <row r="18" customFormat="false" ht="15" hidden="false" customHeight="false" outlineLevel="0" collapsed="false">
      <c r="A18" s="15" t="n">
        <v>17</v>
      </c>
      <c r="B18" s="17" t="s">
        <v>244</v>
      </c>
      <c r="C18" s="17" t="s">
        <v>245</v>
      </c>
      <c r="D18" s="17" t="s">
        <v>255</v>
      </c>
      <c r="E18" s="17" t="s">
        <v>256</v>
      </c>
      <c r="F18" s="17" t="s">
        <v>248</v>
      </c>
      <c r="G18" s="7"/>
      <c r="H18" s="7"/>
      <c r="I18" s="7"/>
      <c r="J18" s="7"/>
      <c r="K18" s="7"/>
      <c r="L18" s="7"/>
      <c r="M18" s="7"/>
      <c r="N18" s="7"/>
      <c r="O18" s="7"/>
      <c r="P18" s="7" t="n">
        <v>0.01</v>
      </c>
      <c r="Q18" s="7"/>
      <c r="R18" s="7"/>
      <c r="S18" s="7"/>
      <c r="T18" s="7"/>
      <c r="U18" s="7"/>
      <c r="V18" s="7"/>
      <c r="W18" s="7"/>
      <c r="X18" s="7"/>
      <c r="Y18" s="10" t="n">
        <f aca="false">SUM(G18:X18)</f>
        <v>0.01</v>
      </c>
    </row>
    <row r="19" customFormat="false" ht="15" hidden="false" customHeight="false" outlineLevel="0" collapsed="false">
      <c r="A19" s="15" t="n">
        <v>18</v>
      </c>
      <c r="B19" s="17" t="s">
        <v>257</v>
      </c>
      <c r="C19" s="17" t="s">
        <v>258</v>
      </c>
      <c r="D19" s="17" t="s">
        <v>259</v>
      </c>
      <c r="E19" s="17" t="s">
        <v>260</v>
      </c>
      <c r="F19" s="17" t="s">
        <v>228</v>
      </c>
      <c r="G19" s="7" t="n">
        <v>0.02</v>
      </c>
      <c r="H19" s="7" t="n">
        <v>0.05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0" t="n">
        <f aca="false">SUM(G19:X19)</f>
        <v>0.07</v>
      </c>
    </row>
    <row r="20" customFormat="false" ht="15" hidden="false" customHeight="false" outlineLevel="0" collapsed="false">
      <c r="A20" s="15" t="n">
        <v>19</v>
      </c>
      <c r="B20" s="17" t="s">
        <v>257</v>
      </c>
      <c r="C20" s="17" t="s">
        <v>258</v>
      </c>
      <c r="D20" s="17" t="s">
        <v>261</v>
      </c>
      <c r="E20" s="15" t="s">
        <v>262</v>
      </c>
      <c r="F20" s="17" t="s">
        <v>263</v>
      </c>
      <c r="G20" s="7"/>
      <c r="H20" s="7" t="n">
        <v>0.01</v>
      </c>
      <c r="I20" s="7" t="n">
        <v>0.01</v>
      </c>
      <c r="J20" s="7" t="n">
        <v>0.01</v>
      </c>
      <c r="K20" s="7" t="n">
        <v>0.01</v>
      </c>
      <c r="L20" s="7" t="n">
        <v>0.01</v>
      </c>
      <c r="M20" s="7" t="n">
        <v>0.01</v>
      </c>
      <c r="N20" s="7" t="n">
        <v>0.01</v>
      </c>
      <c r="O20" s="7" t="n">
        <v>0.01</v>
      </c>
      <c r="P20" s="7"/>
      <c r="Q20" s="7"/>
      <c r="R20" s="7"/>
      <c r="S20" s="7"/>
      <c r="T20" s="7"/>
      <c r="U20" s="7"/>
      <c r="V20" s="7"/>
      <c r="W20" s="7"/>
      <c r="X20" s="7"/>
      <c r="Y20" s="10" t="n">
        <f aca="false">SUM(G20:X20)</f>
        <v>0.08</v>
      </c>
    </row>
    <row r="21" customFormat="false" ht="15" hidden="false" customHeight="false" outlineLevel="0" collapsed="false">
      <c r="A21" s="15" t="n">
        <v>20</v>
      </c>
      <c r="B21" s="17" t="s">
        <v>257</v>
      </c>
      <c r="C21" s="17" t="s">
        <v>258</v>
      </c>
      <c r="D21" s="17" t="s">
        <v>264</v>
      </c>
      <c r="E21" s="17" t="s">
        <v>265</v>
      </c>
      <c r="F21" s="17" t="s">
        <v>228</v>
      </c>
      <c r="G21" s="7" t="n">
        <v>0.02</v>
      </c>
      <c r="H21" s="7" t="n">
        <v>0.04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0" t="n">
        <f aca="false">SUM(G21:X21)</f>
        <v>0.06</v>
      </c>
    </row>
    <row r="22" customFormat="false" ht="15" hidden="false" customHeight="false" outlineLevel="0" collapsed="false">
      <c r="A22" s="15" t="n">
        <v>21</v>
      </c>
      <c r="B22" s="17" t="s">
        <v>257</v>
      </c>
      <c r="C22" s="17" t="s">
        <v>258</v>
      </c>
      <c r="D22" s="17" t="s">
        <v>266</v>
      </c>
      <c r="E22" s="17" t="s">
        <v>267</v>
      </c>
      <c r="F22" s="17" t="s">
        <v>263</v>
      </c>
      <c r="G22" s="7"/>
      <c r="H22" s="7" t="n">
        <v>0.05</v>
      </c>
      <c r="I22" s="7" t="n">
        <v>0.02</v>
      </c>
      <c r="J22" s="7" t="n">
        <v>0.02</v>
      </c>
      <c r="K22" s="7" t="n">
        <v>0.02</v>
      </c>
      <c r="L22" s="7" t="n">
        <v>0.02</v>
      </c>
      <c r="M22" s="7" t="n">
        <v>0.05</v>
      </c>
      <c r="N22" s="7" t="n">
        <v>0.01</v>
      </c>
      <c r="O22" s="7" t="n">
        <v>0.02</v>
      </c>
      <c r="P22" s="7"/>
      <c r="Q22" s="7"/>
      <c r="R22" s="7"/>
      <c r="S22" s="7"/>
      <c r="T22" s="7"/>
      <c r="U22" s="7"/>
      <c r="V22" s="7"/>
      <c r="W22" s="7"/>
      <c r="X22" s="7"/>
      <c r="Y22" s="10" t="n">
        <f aca="false">SUM(G22:X22)</f>
        <v>0.21</v>
      </c>
    </row>
    <row r="23" customFormat="false" ht="15" hidden="false" customHeight="false" outlineLevel="0" collapsed="false">
      <c r="A23" s="15" t="n">
        <v>22</v>
      </c>
      <c r="B23" s="17" t="s">
        <v>257</v>
      </c>
      <c r="C23" s="17" t="s">
        <v>258</v>
      </c>
      <c r="D23" s="17" t="s">
        <v>268</v>
      </c>
      <c r="E23" s="17" t="s">
        <v>269</v>
      </c>
      <c r="F23" s="17" t="s">
        <v>228</v>
      </c>
      <c r="G23" s="7" t="n">
        <v>0.02</v>
      </c>
      <c r="H23" s="7" t="n">
        <v>0.01</v>
      </c>
      <c r="I23" s="7"/>
      <c r="J23" s="7"/>
      <c r="K23" s="7" t="n">
        <v>0.01</v>
      </c>
      <c r="L23" s="7"/>
      <c r="M23" s="7"/>
      <c r="N23" s="7"/>
      <c r="O23" s="7"/>
      <c r="P23" s="7" t="n">
        <v>0.01</v>
      </c>
      <c r="Q23" s="7"/>
      <c r="R23" s="7"/>
      <c r="S23" s="7"/>
      <c r="T23" s="7" t="n">
        <v>0.01</v>
      </c>
      <c r="U23" s="7" t="n">
        <v>0.01</v>
      </c>
      <c r="V23" s="7"/>
      <c r="W23" s="7"/>
      <c r="X23" s="7"/>
      <c r="Y23" s="10" t="n">
        <f aca="false">SUM(G23:X23)</f>
        <v>0.07</v>
      </c>
    </row>
    <row r="24" customFormat="false" ht="15" hidden="false" customHeight="false" outlineLevel="0" collapsed="false">
      <c r="A24" s="15" t="n">
        <v>23</v>
      </c>
      <c r="B24" s="17" t="s">
        <v>257</v>
      </c>
      <c r="C24" s="17" t="s">
        <v>270</v>
      </c>
      <c r="D24" s="17" t="s">
        <v>271</v>
      </c>
      <c r="E24" s="17" t="s">
        <v>272</v>
      </c>
      <c r="F24" s="17" t="s">
        <v>263</v>
      </c>
      <c r="G24" s="7"/>
      <c r="H24" s="7"/>
      <c r="I24" s="7" t="n">
        <v>0.02</v>
      </c>
      <c r="J24" s="7" t="n">
        <v>0.02</v>
      </c>
      <c r="K24" s="7" t="n">
        <v>0.02</v>
      </c>
      <c r="L24" s="7" t="n">
        <v>0.02</v>
      </c>
      <c r="M24" s="7" t="n">
        <v>0.01</v>
      </c>
      <c r="N24" s="7" t="n">
        <v>0.01</v>
      </c>
      <c r="O24" s="7" t="n">
        <v>0.02</v>
      </c>
      <c r="P24" s="7"/>
      <c r="Q24" s="7"/>
      <c r="R24" s="7"/>
      <c r="S24" s="7" t="n">
        <v>0.04</v>
      </c>
      <c r="T24" s="7"/>
      <c r="U24" s="7"/>
      <c r="V24" s="7"/>
      <c r="W24" s="7"/>
      <c r="X24" s="7"/>
      <c r="Y24" s="10" t="n">
        <f aca="false">SUM(G24:X24)</f>
        <v>0.16</v>
      </c>
    </row>
    <row r="25" customFormat="false" ht="15" hidden="false" customHeight="false" outlineLevel="0" collapsed="false">
      <c r="A25" s="15" t="n">
        <v>24</v>
      </c>
      <c r="B25" s="17" t="s">
        <v>257</v>
      </c>
      <c r="C25" s="17" t="s">
        <v>270</v>
      </c>
      <c r="D25" s="17" t="s">
        <v>273</v>
      </c>
      <c r="E25" s="17" t="s">
        <v>274</v>
      </c>
      <c r="F25" s="17" t="s">
        <v>263</v>
      </c>
      <c r="G25" s="7" t="n">
        <v>0.02</v>
      </c>
      <c r="H25" s="7"/>
      <c r="I25" s="7" t="n">
        <v>0.01</v>
      </c>
      <c r="J25" s="7" t="n">
        <v>0.01</v>
      </c>
      <c r="K25" s="7" t="n">
        <v>0.01</v>
      </c>
      <c r="L25" s="7" t="n">
        <v>0.01</v>
      </c>
      <c r="M25" s="7" t="n">
        <v>0.01</v>
      </c>
      <c r="N25" s="7" t="n">
        <v>0.01</v>
      </c>
      <c r="O25" s="7" t="n">
        <v>0.01</v>
      </c>
      <c r="P25" s="7"/>
      <c r="Q25" s="7"/>
      <c r="R25" s="7"/>
      <c r="S25" s="7"/>
      <c r="T25" s="7"/>
      <c r="U25" s="7"/>
      <c r="V25" s="7"/>
      <c r="W25" s="7"/>
      <c r="X25" s="7"/>
      <c r="Y25" s="10" t="n">
        <f aca="false">SUM(G25:X25)</f>
        <v>0.09</v>
      </c>
    </row>
    <row r="26" customFormat="false" ht="15" hidden="false" customHeight="false" outlineLevel="0" collapsed="false">
      <c r="A26" s="15" t="n">
        <v>25</v>
      </c>
      <c r="B26" s="17" t="s">
        <v>257</v>
      </c>
      <c r="C26" s="17" t="s">
        <v>270</v>
      </c>
      <c r="D26" s="17" t="s">
        <v>275</v>
      </c>
      <c r="E26" s="17" t="s">
        <v>276</v>
      </c>
      <c r="F26" s="17" t="s">
        <v>263</v>
      </c>
      <c r="G26" s="7" t="n">
        <v>0.01</v>
      </c>
      <c r="H26" s="7"/>
      <c r="I26" s="7" t="n">
        <v>0.01</v>
      </c>
      <c r="J26" s="7" t="n">
        <v>0.01</v>
      </c>
      <c r="K26" s="7" t="n">
        <v>0.01</v>
      </c>
      <c r="L26" s="7" t="n">
        <v>0.01</v>
      </c>
      <c r="M26" s="7" t="n">
        <v>0.01</v>
      </c>
      <c r="N26" s="7" t="n">
        <v>0.01</v>
      </c>
      <c r="O26" s="7" t="n">
        <v>0.01</v>
      </c>
      <c r="P26" s="7"/>
      <c r="Q26" s="7"/>
      <c r="R26" s="7"/>
      <c r="S26" s="7" t="n">
        <v>0.04</v>
      </c>
      <c r="T26" s="7"/>
      <c r="U26" s="7"/>
      <c r="V26" s="7"/>
      <c r="W26" s="7"/>
      <c r="X26" s="7"/>
      <c r="Y26" s="10" t="n">
        <f aca="false">SUM(G26:X26)</f>
        <v>0.12</v>
      </c>
    </row>
    <row r="27" customFormat="false" ht="15" hidden="false" customHeight="false" outlineLevel="0" collapsed="false">
      <c r="A27" s="15" t="n">
        <v>26</v>
      </c>
      <c r="B27" s="17" t="s">
        <v>257</v>
      </c>
      <c r="C27" s="17" t="s">
        <v>270</v>
      </c>
      <c r="D27" s="17" t="s">
        <v>277</v>
      </c>
      <c r="E27" s="17" t="s">
        <v>278</v>
      </c>
      <c r="F27" s="17" t="s">
        <v>263</v>
      </c>
      <c r="G27" s="7"/>
      <c r="H27" s="7"/>
      <c r="I27" s="7" t="n">
        <v>0.14</v>
      </c>
      <c r="J27" s="7" t="n">
        <v>0.14</v>
      </c>
      <c r="K27" s="7" t="n">
        <v>0.14</v>
      </c>
      <c r="L27" s="7" t="n">
        <v>0.14</v>
      </c>
      <c r="M27" s="7" t="n">
        <v>0.15</v>
      </c>
      <c r="N27" s="7" t="n">
        <v>0.05</v>
      </c>
      <c r="O27" s="7" t="n">
        <v>0.14</v>
      </c>
      <c r="P27" s="7"/>
      <c r="Q27" s="7"/>
      <c r="R27" s="7"/>
      <c r="S27" s="7"/>
      <c r="T27" s="7"/>
      <c r="U27" s="7"/>
      <c r="V27" s="7"/>
      <c r="W27" s="7"/>
      <c r="X27" s="7"/>
      <c r="Y27" s="10" t="n">
        <f aca="false">SUM(G27:X27)</f>
        <v>0.9</v>
      </c>
    </row>
    <row r="28" customFormat="false" ht="15" hidden="false" customHeight="false" outlineLevel="0" collapsed="false">
      <c r="A28" s="15" t="n">
        <v>27</v>
      </c>
      <c r="B28" s="17" t="s">
        <v>257</v>
      </c>
      <c r="C28" s="17" t="s">
        <v>270</v>
      </c>
      <c r="D28" s="17" t="s">
        <v>279</v>
      </c>
      <c r="E28" s="17" t="s">
        <v>280</v>
      </c>
      <c r="F28" s="17" t="s">
        <v>263</v>
      </c>
      <c r="G28" s="7"/>
      <c r="H28" s="7"/>
      <c r="I28" s="7" t="n">
        <v>0.01</v>
      </c>
      <c r="J28" s="7" t="n">
        <v>0.01</v>
      </c>
      <c r="K28" s="7" t="n">
        <v>0.01</v>
      </c>
      <c r="L28" s="7" t="n">
        <v>0.01</v>
      </c>
      <c r="M28" s="7" t="n">
        <v>0.01</v>
      </c>
      <c r="N28" s="7" t="n">
        <v>0.01</v>
      </c>
      <c r="O28" s="7" t="n">
        <v>0.01</v>
      </c>
      <c r="P28" s="7"/>
      <c r="Q28" s="7"/>
      <c r="R28" s="7"/>
      <c r="S28" s="7" t="n">
        <v>0.1</v>
      </c>
      <c r="T28" s="7"/>
      <c r="U28" s="7"/>
      <c r="V28" s="7"/>
      <c r="W28" s="7"/>
      <c r="X28" s="7"/>
      <c r="Y28" s="10" t="n">
        <f aca="false">SUM(G28:X28)</f>
        <v>0.17</v>
      </c>
    </row>
    <row r="29" customFormat="false" ht="15" hidden="false" customHeight="false" outlineLevel="0" collapsed="false">
      <c r="A29" s="15" t="n">
        <v>28</v>
      </c>
      <c r="B29" s="17" t="s">
        <v>257</v>
      </c>
      <c r="C29" s="17" t="s">
        <v>270</v>
      </c>
      <c r="D29" s="17" t="s">
        <v>281</v>
      </c>
      <c r="E29" s="17" t="s">
        <v>282</v>
      </c>
      <c r="F29" s="17" t="s">
        <v>263</v>
      </c>
      <c r="G29" s="7"/>
      <c r="H29" s="7"/>
      <c r="I29" s="7" t="n">
        <v>0.01</v>
      </c>
      <c r="J29" s="7" t="n">
        <v>0.01</v>
      </c>
      <c r="K29" s="7" t="n">
        <v>0.01</v>
      </c>
      <c r="L29" s="7" t="n">
        <v>0.01</v>
      </c>
      <c r="M29" s="7" t="n">
        <v>0.01</v>
      </c>
      <c r="N29" s="7" t="n">
        <v>0.01</v>
      </c>
      <c r="O29" s="7" t="n">
        <v>0.01</v>
      </c>
      <c r="P29" s="7"/>
      <c r="Q29" s="7"/>
      <c r="R29" s="7"/>
      <c r="S29" s="7"/>
      <c r="T29" s="7"/>
      <c r="U29" s="7"/>
      <c r="V29" s="7"/>
      <c r="W29" s="7"/>
      <c r="X29" s="7"/>
      <c r="Y29" s="10" t="n">
        <f aca="false">SUM(G29:X29)</f>
        <v>0.07</v>
      </c>
    </row>
    <row r="30" customFormat="false" ht="15" hidden="false" customHeight="false" outlineLevel="0" collapsed="false">
      <c r="A30" s="15" t="n">
        <v>29</v>
      </c>
      <c r="B30" s="17" t="s">
        <v>257</v>
      </c>
      <c r="C30" s="17" t="s">
        <v>270</v>
      </c>
      <c r="D30" s="17" t="s">
        <v>283</v>
      </c>
      <c r="E30" s="17" t="s">
        <v>284</v>
      </c>
      <c r="F30" s="17" t="s">
        <v>263</v>
      </c>
      <c r="G30" s="7"/>
      <c r="H30" s="7"/>
      <c r="I30" s="7" t="n">
        <v>0.05</v>
      </c>
      <c r="J30" s="7" t="n">
        <v>0.05</v>
      </c>
      <c r="K30" s="7" t="n">
        <v>0.05</v>
      </c>
      <c r="L30" s="7" t="n">
        <v>0.05</v>
      </c>
      <c r="M30" s="7" t="n">
        <v>0.01</v>
      </c>
      <c r="N30" s="7" t="n">
        <v>0.01</v>
      </c>
      <c r="O30" s="7" t="n">
        <v>0.05</v>
      </c>
      <c r="P30" s="7"/>
      <c r="Q30" s="7"/>
      <c r="R30" s="7"/>
      <c r="S30" s="7"/>
      <c r="T30" s="7"/>
      <c r="U30" s="7"/>
      <c r="V30" s="7"/>
      <c r="W30" s="7"/>
      <c r="X30" s="7"/>
      <c r="Y30" s="10" t="n">
        <f aca="false">SUM(G30:X30)</f>
        <v>0.27</v>
      </c>
    </row>
    <row r="31" customFormat="false" ht="15" hidden="false" customHeight="false" outlineLevel="0" collapsed="false">
      <c r="A31" s="15" t="n">
        <v>30</v>
      </c>
      <c r="B31" s="17" t="s">
        <v>257</v>
      </c>
      <c r="C31" s="17" t="s">
        <v>270</v>
      </c>
      <c r="D31" s="17" t="s">
        <v>285</v>
      </c>
      <c r="E31" s="17" t="s">
        <v>286</v>
      </c>
      <c r="F31" s="17" t="s">
        <v>287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 t="n">
        <v>0.05</v>
      </c>
      <c r="T31" s="7"/>
      <c r="U31" s="7" t="n">
        <v>0.01</v>
      </c>
      <c r="V31" s="7"/>
      <c r="W31" s="7"/>
      <c r="X31" s="7"/>
      <c r="Y31" s="10" t="n">
        <f aca="false">SUM(G31:X31)</f>
        <v>0.06</v>
      </c>
    </row>
    <row r="32" customFormat="false" ht="15" hidden="false" customHeight="false" outlineLevel="0" collapsed="false">
      <c r="A32" s="15" t="n">
        <v>31</v>
      </c>
      <c r="B32" s="17" t="s">
        <v>257</v>
      </c>
      <c r="C32" s="17" t="s">
        <v>270</v>
      </c>
      <c r="D32" s="17" t="s">
        <v>288</v>
      </c>
      <c r="E32" s="17" t="s">
        <v>289</v>
      </c>
      <c r="F32" s="17" t="s">
        <v>287</v>
      </c>
      <c r="G32" s="7" t="n">
        <v>0.01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 t="n">
        <v>0.1</v>
      </c>
      <c r="T32" s="7" t="n">
        <v>0.08</v>
      </c>
      <c r="U32" s="7" t="n">
        <v>0.02</v>
      </c>
      <c r="V32" s="7"/>
      <c r="W32" s="7"/>
      <c r="X32" s="7"/>
      <c r="Y32" s="10" t="n">
        <f aca="false">SUM(G32:X32)</f>
        <v>0.21</v>
      </c>
    </row>
    <row r="33" customFormat="false" ht="15" hidden="false" customHeight="false" outlineLevel="0" collapsed="false">
      <c r="A33" s="15" t="n">
        <v>32</v>
      </c>
      <c r="B33" s="17" t="s">
        <v>257</v>
      </c>
      <c r="C33" s="17" t="s">
        <v>270</v>
      </c>
      <c r="D33" s="17" t="s">
        <v>290</v>
      </c>
      <c r="E33" s="17" t="s">
        <v>291</v>
      </c>
      <c r="F33" s="17" t="s">
        <v>248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 t="n">
        <v>0.03</v>
      </c>
      <c r="T33" s="7" t="n">
        <v>0.09</v>
      </c>
      <c r="U33" s="7" t="n">
        <v>0.02</v>
      </c>
      <c r="V33" s="7"/>
      <c r="W33" s="7"/>
      <c r="X33" s="7"/>
      <c r="Y33" s="10" t="n">
        <f aca="false">SUM(G33:X33)</f>
        <v>0.14</v>
      </c>
    </row>
    <row r="34" customFormat="false" ht="15" hidden="false" customHeight="false" outlineLevel="0" collapsed="false">
      <c r="A34" s="15" t="n">
        <v>33</v>
      </c>
      <c r="B34" s="17" t="s">
        <v>257</v>
      </c>
      <c r="C34" s="17" t="s">
        <v>270</v>
      </c>
      <c r="D34" s="17" t="s">
        <v>292</v>
      </c>
      <c r="E34" s="17" t="s">
        <v>293</v>
      </c>
      <c r="F34" s="17" t="s">
        <v>263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 t="n">
        <v>0.22</v>
      </c>
      <c r="T34" s="7"/>
      <c r="U34" s="7"/>
      <c r="V34" s="7"/>
      <c r="W34" s="7"/>
      <c r="X34" s="7"/>
      <c r="Y34" s="10" t="n">
        <f aca="false">SUM(G34:X34)</f>
        <v>0.22</v>
      </c>
    </row>
    <row r="35" customFormat="false" ht="15" hidden="false" customHeight="false" outlineLevel="0" collapsed="false">
      <c r="A35" s="15" t="n">
        <v>34</v>
      </c>
      <c r="B35" s="17" t="s">
        <v>257</v>
      </c>
      <c r="C35" s="17" t="s">
        <v>270</v>
      </c>
      <c r="D35" s="17" t="s">
        <v>294</v>
      </c>
      <c r="E35" s="17" t="s">
        <v>295</v>
      </c>
      <c r="F35" s="17" t="s">
        <v>225</v>
      </c>
      <c r="G35" s="7"/>
      <c r="H35" s="7"/>
      <c r="I35" s="7" t="n">
        <v>0.01</v>
      </c>
      <c r="J35" s="7" t="n">
        <v>0.01</v>
      </c>
      <c r="K35" s="7" t="n">
        <v>0.01</v>
      </c>
      <c r="L35" s="7" t="n">
        <v>0.01</v>
      </c>
      <c r="M35" s="7" t="n">
        <v>0.01</v>
      </c>
      <c r="N35" s="7" t="n">
        <v>0.01</v>
      </c>
      <c r="O35" s="7" t="n">
        <v>0.01</v>
      </c>
      <c r="P35" s="7"/>
      <c r="Q35" s="7"/>
      <c r="R35" s="7"/>
      <c r="S35" s="7"/>
      <c r="T35" s="7"/>
      <c r="U35" s="7"/>
      <c r="V35" s="7"/>
      <c r="W35" s="7"/>
      <c r="X35" s="7"/>
      <c r="Y35" s="10" t="n">
        <f aca="false">SUM(G35:X35)</f>
        <v>0.07</v>
      </c>
    </row>
    <row r="36" customFormat="false" ht="15" hidden="false" customHeight="false" outlineLevel="0" collapsed="false">
      <c r="A36" s="15" t="n">
        <v>35</v>
      </c>
      <c r="B36" s="17" t="s">
        <v>257</v>
      </c>
      <c r="C36" s="17" t="s">
        <v>270</v>
      </c>
      <c r="D36" s="17" t="s">
        <v>296</v>
      </c>
      <c r="E36" s="17" t="s">
        <v>297</v>
      </c>
      <c r="F36" s="17" t="s">
        <v>263</v>
      </c>
      <c r="G36" s="7"/>
      <c r="H36" s="7"/>
      <c r="I36" s="7"/>
      <c r="J36" s="7"/>
      <c r="K36" s="7"/>
      <c r="L36" s="7"/>
      <c r="M36" s="7"/>
      <c r="N36" s="7"/>
      <c r="O36" s="7"/>
      <c r="P36" s="7" t="n">
        <v>0.02</v>
      </c>
      <c r="Q36" s="7"/>
      <c r="R36" s="7"/>
      <c r="S36" s="7"/>
      <c r="T36" s="7"/>
      <c r="U36" s="7"/>
      <c r="V36" s="7"/>
      <c r="W36" s="7"/>
      <c r="X36" s="7"/>
      <c r="Y36" s="10" t="n">
        <f aca="false">SUM(G36:X36)</f>
        <v>0.02</v>
      </c>
    </row>
    <row r="37" customFormat="false" ht="15" hidden="false" customHeight="false" outlineLevel="0" collapsed="false">
      <c r="A37" s="15" t="n">
        <v>36</v>
      </c>
      <c r="B37" s="17" t="s">
        <v>257</v>
      </c>
      <c r="C37" s="17" t="s">
        <v>270</v>
      </c>
      <c r="D37" s="17" t="s">
        <v>298</v>
      </c>
      <c r="E37" s="17" t="s">
        <v>299</v>
      </c>
      <c r="F37" s="17" t="s">
        <v>263</v>
      </c>
      <c r="G37" s="7"/>
      <c r="H37" s="7"/>
      <c r="I37" s="7"/>
      <c r="J37" s="7"/>
      <c r="K37" s="7"/>
      <c r="L37" s="7"/>
      <c r="M37" s="7"/>
      <c r="N37" s="7"/>
      <c r="O37" s="7"/>
      <c r="P37" s="7" t="n">
        <v>0.02</v>
      </c>
      <c r="Q37" s="7"/>
      <c r="R37" s="7"/>
      <c r="S37" s="7"/>
      <c r="T37" s="7"/>
      <c r="U37" s="7"/>
      <c r="V37" s="7"/>
      <c r="W37" s="7"/>
      <c r="X37" s="7"/>
      <c r="Y37" s="10" t="n">
        <f aca="false">SUM(G37:X37)</f>
        <v>0.02</v>
      </c>
    </row>
    <row r="38" customFormat="false" ht="15" hidden="false" customHeight="false" outlineLevel="0" collapsed="false">
      <c r="A38" s="15" t="n">
        <v>37</v>
      </c>
      <c r="B38" s="17" t="s">
        <v>257</v>
      </c>
      <c r="C38" s="17" t="s">
        <v>270</v>
      </c>
      <c r="D38" s="17" t="s">
        <v>300</v>
      </c>
      <c r="E38" s="17" t="s">
        <v>301</v>
      </c>
      <c r="F38" s="17" t="s">
        <v>263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 t="n">
        <v>0.05</v>
      </c>
      <c r="T38" s="7" t="n">
        <v>0.01</v>
      </c>
      <c r="U38" s="7" t="n">
        <v>0.01</v>
      </c>
      <c r="V38" s="7"/>
      <c r="W38" s="7"/>
      <c r="X38" s="7"/>
      <c r="Y38" s="10" t="n">
        <f aca="false">SUM(G38:X38)</f>
        <v>0.07</v>
      </c>
    </row>
    <row r="39" customFormat="false" ht="15" hidden="false" customHeight="false" outlineLevel="0" collapsed="false">
      <c r="A39" s="15" t="n">
        <v>38</v>
      </c>
      <c r="B39" s="17" t="s">
        <v>257</v>
      </c>
      <c r="C39" s="17" t="s">
        <v>270</v>
      </c>
      <c r="D39" s="17" t="s">
        <v>302</v>
      </c>
      <c r="E39" s="17" t="s">
        <v>303</v>
      </c>
      <c r="F39" s="17" t="s">
        <v>225</v>
      </c>
      <c r="G39" s="7" t="n">
        <v>0.01</v>
      </c>
      <c r="H39" s="7" t="n">
        <v>0.01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0" t="n">
        <f aca="false">SUM(G39:X39)</f>
        <v>0.02</v>
      </c>
    </row>
    <row r="40" customFormat="false" ht="15" hidden="false" customHeight="false" outlineLevel="0" collapsed="false">
      <c r="A40" s="15" t="n">
        <v>39</v>
      </c>
      <c r="B40" s="17" t="s">
        <v>257</v>
      </c>
      <c r="C40" s="17" t="s">
        <v>270</v>
      </c>
      <c r="D40" s="17" t="s">
        <v>304</v>
      </c>
      <c r="E40" s="17" t="s">
        <v>305</v>
      </c>
      <c r="F40" s="17" t="s">
        <v>248</v>
      </c>
      <c r="G40" s="7"/>
      <c r="H40" s="7"/>
      <c r="I40" s="7" t="n">
        <v>0.01</v>
      </c>
      <c r="J40" s="7" t="n">
        <v>0.01</v>
      </c>
      <c r="K40" s="7" t="n">
        <v>0.01</v>
      </c>
      <c r="L40" s="7" t="n">
        <v>0.01</v>
      </c>
      <c r="M40" s="7" t="n">
        <v>0.01</v>
      </c>
      <c r="N40" s="7" t="n">
        <v>0.01</v>
      </c>
      <c r="O40" s="7" t="n">
        <v>0.01</v>
      </c>
      <c r="P40" s="7" t="n">
        <v>0.01</v>
      </c>
      <c r="Q40" s="7"/>
      <c r="R40" s="7"/>
      <c r="S40" s="7" t="n">
        <v>0.02</v>
      </c>
      <c r="T40" s="7"/>
      <c r="U40" s="7"/>
      <c r="V40" s="7"/>
      <c r="W40" s="7"/>
      <c r="X40" s="7"/>
      <c r="Y40" s="10" t="n">
        <f aca="false">SUM(G40:X40)</f>
        <v>0.1</v>
      </c>
    </row>
    <row r="41" customFormat="false" ht="15" hidden="false" customHeight="false" outlineLevel="0" collapsed="false">
      <c r="A41" s="15" t="n">
        <v>40</v>
      </c>
      <c r="B41" s="17" t="s">
        <v>257</v>
      </c>
      <c r="C41" s="17" t="s">
        <v>306</v>
      </c>
      <c r="D41" s="17" t="s">
        <v>307</v>
      </c>
      <c r="E41" s="17" t="s">
        <v>308</v>
      </c>
      <c r="F41" s="17" t="s">
        <v>248</v>
      </c>
      <c r="G41" s="7"/>
      <c r="H41" s="7"/>
      <c r="I41" s="7" t="n">
        <v>0.01</v>
      </c>
      <c r="J41" s="7" t="n">
        <v>0.01</v>
      </c>
      <c r="K41" s="7" t="n">
        <v>0.01</v>
      </c>
      <c r="L41" s="7" t="n">
        <v>0.01</v>
      </c>
      <c r="M41" s="7" t="n">
        <v>0.01</v>
      </c>
      <c r="N41" s="7" t="n">
        <v>0.01</v>
      </c>
      <c r="O41" s="7" t="n">
        <v>0.01</v>
      </c>
      <c r="P41" s="7"/>
      <c r="Q41" s="7"/>
      <c r="R41" s="7"/>
      <c r="S41" s="7"/>
      <c r="T41" s="7"/>
      <c r="U41" s="7"/>
      <c r="V41" s="7"/>
      <c r="W41" s="7"/>
      <c r="X41" s="7"/>
      <c r="Y41" s="10" t="n">
        <f aca="false">SUM(G41:X41)</f>
        <v>0.07</v>
      </c>
    </row>
    <row r="42" customFormat="false" ht="15" hidden="false" customHeight="false" outlineLevel="0" collapsed="false">
      <c r="A42" s="15" t="n">
        <v>41</v>
      </c>
      <c r="B42" s="17" t="s">
        <v>257</v>
      </c>
      <c r="C42" s="17" t="s">
        <v>306</v>
      </c>
      <c r="D42" s="17" t="s">
        <v>309</v>
      </c>
      <c r="E42" s="17" t="s">
        <v>310</v>
      </c>
      <c r="F42" s="17" t="s">
        <v>263</v>
      </c>
      <c r="G42" s="7"/>
      <c r="H42" s="7"/>
      <c r="I42" s="7" t="n">
        <v>0.15</v>
      </c>
      <c r="J42" s="7" t="n">
        <v>0.15</v>
      </c>
      <c r="K42" s="7" t="n">
        <v>0.15</v>
      </c>
      <c r="L42" s="7" t="n">
        <v>0.15</v>
      </c>
      <c r="M42" s="7" t="n">
        <v>0.15</v>
      </c>
      <c r="N42" s="7" t="n">
        <v>0.1</v>
      </c>
      <c r="O42" s="7" t="n">
        <v>0.15</v>
      </c>
      <c r="P42" s="7"/>
      <c r="Q42" s="7"/>
      <c r="R42" s="7"/>
      <c r="S42" s="7"/>
      <c r="T42" s="7"/>
      <c r="U42" s="7"/>
      <c r="V42" s="7"/>
      <c r="W42" s="7"/>
      <c r="X42" s="7"/>
      <c r="Y42" s="10" t="n">
        <f aca="false">SUM(G42:X42)</f>
        <v>1</v>
      </c>
    </row>
    <row r="43" customFormat="false" ht="15" hidden="false" customHeight="false" outlineLevel="0" collapsed="false">
      <c r="A43" s="15" t="n">
        <v>42</v>
      </c>
      <c r="B43" s="17" t="s">
        <v>257</v>
      </c>
      <c r="C43" s="17" t="s">
        <v>306</v>
      </c>
      <c r="D43" s="17" t="s">
        <v>311</v>
      </c>
      <c r="E43" s="17" t="s">
        <v>312</v>
      </c>
      <c r="F43" s="17" t="s">
        <v>263</v>
      </c>
      <c r="G43" s="7"/>
      <c r="H43" s="7"/>
      <c r="I43" s="7" t="n">
        <v>0.03</v>
      </c>
      <c r="J43" s="7" t="n">
        <v>0.03</v>
      </c>
      <c r="K43" s="7" t="n">
        <v>0.03</v>
      </c>
      <c r="L43" s="7" t="n">
        <v>0.02</v>
      </c>
      <c r="M43" s="7" t="n">
        <v>0.04</v>
      </c>
      <c r="N43" s="7" t="n">
        <v>0.05</v>
      </c>
      <c r="O43" s="7" t="n">
        <v>0.02</v>
      </c>
      <c r="P43" s="7"/>
      <c r="Q43" s="7"/>
      <c r="R43" s="7"/>
      <c r="S43" s="7"/>
      <c r="T43" s="7"/>
      <c r="U43" s="7"/>
      <c r="V43" s="7"/>
      <c r="W43" s="7"/>
      <c r="X43" s="7"/>
      <c r="Y43" s="10" t="n">
        <f aca="false">SUM(G43:X43)</f>
        <v>0.22</v>
      </c>
    </row>
    <row r="44" customFormat="false" ht="15" hidden="false" customHeight="false" outlineLevel="0" collapsed="false">
      <c r="A44" s="15" t="n">
        <v>43</v>
      </c>
      <c r="B44" s="17" t="s">
        <v>257</v>
      </c>
      <c r="C44" s="17" t="s">
        <v>306</v>
      </c>
      <c r="D44" s="17" t="s">
        <v>313</v>
      </c>
      <c r="E44" s="17" t="s">
        <v>314</v>
      </c>
      <c r="F44" s="17" t="s">
        <v>239</v>
      </c>
      <c r="G44" s="7"/>
      <c r="H44" s="7"/>
      <c r="I44" s="7" t="n">
        <v>0.01</v>
      </c>
      <c r="J44" s="7" t="n">
        <v>0.01</v>
      </c>
      <c r="K44" s="7" t="n">
        <v>0.01</v>
      </c>
      <c r="L44" s="7" t="n">
        <v>0.01</v>
      </c>
      <c r="M44" s="7" t="n">
        <v>0.04</v>
      </c>
      <c r="N44" s="7" t="n">
        <v>0.04</v>
      </c>
      <c r="O44" s="7" t="n">
        <v>0.01</v>
      </c>
      <c r="P44" s="7"/>
      <c r="Q44" s="7"/>
      <c r="R44" s="7"/>
      <c r="S44" s="7"/>
      <c r="T44" s="7"/>
      <c r="U44" s="7"/>
      <c r="V44" s="7"/>
      <c r="W44" s="7"/>
      <c r="X44" s="7"/>
      <c r="Y44" s="10" t="n">
        <f aca="false">SUM(G44:X44)</f>
        <v>0.13</v>
      </c>
    </row>
    <row r="45" customFormat="false" ht="15" hidden="false" customHeight="false" outlineLevel="0" collapsed="false">
      <c r="A45" s="15" t="n">
        <v>44</v>
      </c>
      <c r="B45" s="17" t="s">
        <v>257</v>
      </c>
      <c r="C45" s="17" t="s">
        <v>315</v>
      </c>
      <c r="D45" s="17" t="s">
        <v>316</v>
      </c>
      <c r="E45" s="17" t="s">
        <v>317</v>
      </c>
      <c r="F45" s="17" t="s">
        <v>239</v>
      </c>
      <c r="G45" s="7"/>
      <c r="H45" s="7"/>
      <c r="I45" s="7" t="n">
        <v>0.02</v>
      </c>
      <c r="J45" s="7" t="n">
        <v>0.02</v>
      </c>
      <c r="K45" s="7" t="n">
        <v>0.02</v>
      </c>
      <c r="L45" s="7" t="n">
        <v>0.02</v>
      </c>
      <c r="M45" s="7" t="n">
        <v>0.02</v>
      </c>
      <c r="N45" s="7" t="n">
        <v>0.02</v>
      </c>
      <c r="O45" s="7" t="n">
        <v>0.02</v>
      </c>
      <c r="P45" s="7"/>
      <c r="Q45" s="7"/>
      <c r="R45" s="7"/>
      <c r="S45" s="7"/>
      <c r="T45" s="7"/>
      <c r="U45" s="7"/>
      <c r="V45" s="7"/>
      <c r="W45" s="7"/>
      <c r="X45" s="7"/>
      <c r="Y45" s="10" t="n">
        <f aca="false">SUM(G45:X45)</f>
        <v>0.14</v>
      </c>
    </row>
    <row r="46" customFormat="false" ht="15" hidden="false" customHeight="false" outlineLevel="0" collapsed="false">
      <c r="A46" s="15" t="n">
        <v>45</v>
      </c>
      <c r="B46" s="17" t="s">
        <v>257</v>
      </c>
      <c r="C46" s="17" t="s">
        <v>315</v>
      </c>
      <c r="D46" s="17" t="s">
        <v>318</v>
      </c>
      <c r="E46" s="17" t="s">
        <v>319</v>
      </c>
      <c r="F46" s="17" t="s">
        <v>248</v>
      </c>
      <c r="G46" s="7"/>
      <c r="H46" s="7"/>
      <c r="I46" s="7" t="n">
        <v>0.01</v>
      </c>
      <c r="J46" s="7" t="n">
        <v>0.01</v>
      </c>
      <c r="K46" s="7" t="n">
        <v>0.01</v>
      </c>
      <c r="L46" s="7" t="n">
        <v>0.01</v>
      </c>
      <c r="M46" s="7" t="n">
        <v>0.01</v>
      </c>
      <c r="N46" s="7" t="n">
        <v>0.01</v>
      </c>
      <c r="O46" s="7" t="n">
        <v>0.01</v>
      </c>
      <c r="P46" s="7"/>
      <c r="Q46" s="7"/>
      <c r="R46" s="7"/>
      <c r="S46" s="7" t="n">
        <v>0.2</v>
      </c>
      <c r="T46" s="7" t="n">
        <v>0.01</v>
      </c>
      <c r="U46" s="7" t="n">
        <v>0.01</v>
      </c>
      <c r="V46" s="7"/>
      <c r="W46" s="7"/>
      <c r="X46" s="7"/>
      <c r="Y46" s="10" t="n">
        <f aca="false">SUM(G46:X46)</f>
        <v>0.29</v>
      </c>
    </row>
    <row r="47" customFormat="false" ht="15" hidden="false" customHeight="false" outlineLevel="0" collapsed="false">
      <c r="A47" s="15" t="n">
        <v>46</v>
      </c>
      <c r="B47" s="17" t="s">
        <v>257</v>
      </c>
      <c r="C47" s="15" t="s">
        <v>320</v>
      </c>
      <c r="D47" s="17" t="s">
        <v>321</v>
      </c>
      <c r="E47" s="17" t="s">
        <v>322</v>
      </c>
      <c r="F47" s="17" t="s">
        <v>263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 t="n">
        <v>0.25</v>
      </c>
      <c r="R47" s="7" t="n">
        <v>0.25</v>
      </c>
      <c r="S47" s="7"/>
      <c r="T47" s="7"/>
      <c r="U47" s="7"/>
      <c r="V47" s="7"/>
      <c r="W47" s="7"/>
      <c r="X47" s="7"/>
      <c r="Y47" s="10" t="n">
        <f aca="false">SUM(G47:X47)</f>
        <v>0.5</v>
      </c>
    </row>
    <row r="48" customFormat="false" ht="15" hidden="false" customHeight="false" outlineLevel="0" collapsed="false">
      <c r="A48" s="15" t="n">
        <v>47</v>
      </c>
      <c r="B48" s="17" t="s">
        <v>257</v>
      </c>
      <c r="C48" s="15" t="s">
        <v>320</v>
      </c>
      <c r="D48" s="17" t="s">
        <v>323</v>
      </c>
      <c r="E48" s="17" t="s">
        <v>324</v>
      </c>
      <c r="F48" s="17" t="s">
        <v>263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 t="n">
        <v>0.25</v>
      </c>
      <c r="R48" s="7" t="n">
        <v>0.25</v>
      </c>
      <c r="S48" s="7"/>
      <c r="T48" s="7"/>
      <c r="U48" s="7"/>
      <c r="V48" s="7"/>
      <c r="W48" s="7"/>
      <c r="X48" s="7"/>
      <c r="Y48" s="10" t="n">
        <f aca="false">SUM(G48:X48)</f>
        <v>0.5</v>
      </c>
    </row>
    <row r="49" customFormat="false" ht="15" hidden="false" customHeight="false" outlineLevel="0" collapsed="false">
      <c r="A49" s="15" t="n">
        <v>48</v>
      </c>
      <c r="B49" s="17" t="s">
        <v>257</v>
      </c>
      <c r="C49" s="15" t="s">
        <v>320</v>
      </c>
      <c r="D49" s="17" t="s">
        <v>325</v>
      </c>
      <c r="E49" s="17" t="s">
        <v>326</v>
      </c>
      <c r="F49" s="17" t="s">
        <v>263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 t="n">
        <v>0.25</v>
      </c>
      <c r="R49" s="7" t="n">
        <v>0.25</v>
      </c>
      <c r="S49" s="7"/>
      <c r="T49" s="7"/>
      <c r="U49" s="7"/>
      <c r="V49" s="7"/>
      <c r="W49" s="7"/>
      <c r="X49" s="7"/>
      <c r="Y49" s="10" t="n">
        <f aca="false">SUM(G49:X49)</f>
        <v>0.5</v>
      </c>
    </row>
    <row r="50" customFormat="false" ht="15" hidden="false" customHeight="false" outlineLevel="0" collapsed="false">
      <c r="A50" s="15" t="n">
        <v>49</v>
      </c>
      <c r="B50" s="17" t="s">
        <v>257</v>
      </c>
      <c r="C50" s="17" t="s">
        <v>327</v>
      </c>
      <c r="D50" s="17" t="s">
        <v>328</v>
      </c>
      <c r="E50" s="15" t="s">
        <v>329</v>
      </c>
      <c r="F50" s="17" t="s">
        <v>263</v>
      </c>
      <c r="G50" s="7"/>
      <c r="H50" s="7"/>
      <c r="I50" s="7" t="n">
        <v>0.02</v>
      </c>
      <c r="J50" s="7" t="n">
        <v>0.02</v>
      </c>
      <c r="K50" s="7" t="n">
        <v>0.02</v>
      </c>
      <c r="L50" s="7" t="n">
        <v>0.01</v>
      </c>
      <c r="M50" s="7" t="n">
        <v>0.01</v>
      </c>
      <c r="N50" s="7" t="n">
        <v>0.01</v>
      </c>
      <c r="O50" s="7" t="n">
        <v>0.01</v>
      </c>
      <c r="P50" s="7"/>
      <c r="Q50" s="7"/>
      <c r="R50" s="7"/>
      <c r="S50" s="7"/>
      <c r="T50" s="7"/>
      <c r="U50" s="7"/>
      <c r="V50" s="7"/>
      <c r="W50" s="7"/>
      <c r="X50" s="7"/>
      <c r="Y50" s="10" t="n">
        <f aca="false">SUM(G50:X50)</f>
        <v>0.1</v>
      </c>
    </row>
    <row r="51" customFormat="false" ht="15" hidden="false" customHeight="false" outlineLevel="0" collapsed="false">
      <c r="A51" s="15" t="n">
        <v>50</v>
      </c>
      <c r="B51" s="17" t="s">
        <v>257</v>
      </c>
      <c r="C51" s="17" t="s">
        <v>327</v>
      </c>
      <c r="D51" s="17" t="s">
        <v>283</v>
      </c>
      <c r="E51" s="17" t="s">
        <v>330</v>
      </c>
      <c r="F51" s="17" t="s">
        <v>263</v>
      </c>
      <c r="G51" s="7"/>
      <c r="H51" s="7"/>
      <c r="I51" s="7" t="n">
        <v>0.16</v>
      </c>
      <c r="J51" s="7" t="n">
        <v>0.16</v>
      </c>
      <c r="K51" s="7" t="n">
        <v>0.13</v>
      </c>
      <c r="L51" s="7" t="n">
        <v>0.2</v>
      </c>
      <c r="M51" s="7" t="n">
        <v>0.01</v>
      </c>
      <c r="N51" s="7" t="n">
        <v>0.1</v>
      </c>
      <c r="O51" s="7" t="n">
        <v>0.2</v>
      </c>
      <c r="P51" s="7" t="n">
        <v>0.01</v>
      </c>
      <c r="Q51" s="7"/>
      <c r="R51" s="7"/>
      <c r="S51" s="7"/>
      <c r="T51" s="7"/>
      <c r="U51" s="7"/>
      <c r="V51" s="7"/>
      <c r="W51" s="7"/>
      <c r="X51" s="7"/>
      <c r="Y51" s="10" t="n">
        <f aca="false">SUM(G51:X51)</f>
        <v>0.97</v>
      </c>
    </row>
    <row r="52" customFormat="false" ht="15" hidden="false" customHeight="false" outlineLevel="0" collapsed="false">
      <c r="A52" s="15" t="n">
        <v>51</v>
      </c>
      <c r="B52" s="17" t="s">
        <v>257</v>
      </c>
      <c r="C52" s="17" t="s">
        <v>327</v>
      </c>
      <c r="D52" s="17" t="s">
        <v>331</v>
      </c>
      <c r="E52" s="17" t="s">
        <v>332</v>
      </c>
      <c r="F52" s="17" t="s">
        <v>263</v>
      </c>
      <c r="G52" s="7"/>
      <c r="H52" s="7"/>
      <c r="I52" s="7" t="n">
        <v>0.02</v>
      </c>
      <c r="J52" s="7" t="n">
        <v>0.02</v>
      </c>
      <c r="K52" s="7" t="n">
        <v>0.02</v>
      </c>
      <c r="L52" s="7" t="n">
        <v>0.01</v>
      </c>
      <c r="M52" s="7" t="n">
        <v>0.01</v>
      </c>
      <c r="N52" s="7" t="n">
        <v>0.01</v>
      </c>
      <c r="O52" s="7" t="n">
        <v>0.01</v>
      </c>
      <c r="P52" s="7" t="n">
        <v>0.01</v>
      </c>
      <c r="Q52" s="7"/>
      <c r="R52" s="7"/>
      <c r="S52" s="7"/>
      <c r="T52" s="7"/>
      <c r="U52" s="7"/>
      <c r="V52" s="7"/>
      <c r="W52" s="7"/>
      <c r="X52" s="7"/>
      <c r="Y52" s="10" t="n">
        <f aca="false">SUM(G52:X52)</f>
        <v>0.11</v>
      </c>
    </row>
    <row r="53" customFormat="false" ht="15" hidden="false" customHeight="false" outlineLevel="0" collapsed="false">
      <c r="A53" s="15" t="n">
        <v>52</v>
      </c>
      <c r="B53" s="17" t="s">
        <v>333</v>
      </c>
      <c r="C53" s="17" t="s">
        <v>334</v>
      </c>
      <c r="D53" s="17" t="s">
        <v>335</v>
      </c>
      <c r="E53" s="17" t="s">
        <v>336</v>
      </c>
      <c r="F53" s="17" t="s">
        <v>263</v>
      </c>
      <c r="G53" s="7"/>
      <c r="H53" s="7"/>
      <c r="I53" s="7" t="n">
        <v>0.01</v>
      </c>
      <c r="J53" s="7" t="n">
        <v>0.01</v>
      </c>
      <c r="K53" s="7" t="n">
        <v>0.01</v>
      </c>
      <c r="L53" s="7" t="n">
        <v>0.01</v>
      </c>
      <c r="M53" s="7" t="n">
        <v>0.01</v>
      </c>
      <c r="N53" s="7" t="n">
        <v>0.01</v>
      </c>
      <c r="O53" s="7" t="n">
        <v>0.01</v>
      </c>
      <c r="P53" s="7"/>
      <c r="Q53" s="7"/>
      <c r="R53" s="7"/>
      <c r="S53" s="7"/>
      <c r="T53" s="7"/>
      <c r="U53" s="7"/>
      <c r="V53" s="7"/>
      <c r="W53" s="7"/>
      <c r="X53" s="7"/>
      <c r="Y53" s="10" t="n">
        <f aca="false">SUM(G53:X53)</f>
        <v>0.07</v>
      </c>
    </row>
    <row r="54" customFormat="false" ht="15" hidden="false" customHeight="false" outlineLevel="0" collapsed="false">
      <c r="A54" s="15" t="n">
        <v>53</v>
      </c>
      <c r="B54" s="17" t="s">
        <v>333</v>
      </c>
      <c r="C54" s="17" t="s">
        <v>334</v>
      </c>
      <c r="D54" s="17" t="s">
        <v>337</v>
      </c>
      <c r="E54" s="17" t="s">
        <v>338</v>
      </c>
      <c r="F54" s="17" t="s">
        <v>263</v>
      </c>
      <c r="G54" s="7"/>
      <c r="H54" s="7"/>
      <c r="I54" s="7" t="n">
        <v>0.02</v>
      </c>
      <c r="J54" s="7" t="n">
        <v>0.02</v>
      </c>
      <c r="K54" s="7" t="n">
        <v>0.02</v>
      </c>
      <c r="L54" s="7" t="n">
        <v>0.01</v>
      </c>
      <c r="M54" s="7" t="n">
        <v>0.01</v>
      </c>
      <c r="N54" s="7" t="n">
        <v>0.01</v>
      </c>
      <c r="O54" s="7" t="n">
        <v>0.01</v>
      </c>
      <c r="P54" s="7"/>
      <c r="Q54" s="7"/>
      <c r="R54" s="7"/>
      <c r="S54" s="7"/>
      <c r="T54" s="7"/>
      <c r="U54" s="7"/>
      <c r="V54" s="7"/>
      <c r="W54" s="7"/>
      <c r="X54" s="7"/>
      <c r="Y54" s="10" t="n">
        <f aca="false">SUM(G54:X54)</f>
        <v>0.1</v>
      </c>
    </row>
    <row r="55" customFormat="false" ht="15" hidden="false" customHeight="false" outlineLevel="0" collapsed="false">
      <c r="A55" s="15" t="n">
        <v>54</v>
      </c>
      <c r="B55" s="17" t="s">
        <v>333</v>
      </c>
      <c r="C55" s="17" t="s">
        <v>334</v>
      </c>
      <c r="D55" s="17" t="s">
        <v>339</v>
      </c>
      <c r="E55" s="17" t="s">
        <v>340</v>
      </c>
      <c r="F55" s="17" t="s">
        <v>239</v>
      </c>
      <c r="G55" s="7" t="n">
        <v>0.02</v>
      </c>
      <c r="H55" s="7" t="n">
        <v>0.02</v>
      </c>
      <c r="I55" s="7" t="n">
        <v>0.01</v>
      </c>
      <c r="J55" s="7" t="n">
        <v>0.01</v>
      </c>
      <c r="K55" s="7" t="n">
        <v>0.01</v>
      </c>
      <c r="L55" s="7" t="n">
        <v>0.01</v>
      </c>
      <c r="M55" s="7" t="n">
        <v>0.02</v>
      </c>
      <c r="N55" s="7" t="n">
        <v>0.01</v>
      </c>
      <c r="O55" s="7" t="n">
        <v>0.01</v>
      </c>
      <c r="P55" s="7" t="n">
        <v>0.05</v>
      </c>
      <c r="Q55" s="7"/>
      <c r="R55" s="7"/>
      <c r="S55" s="7"/>
      <c r="T55" s="7" t="n">
        <v>0.18</v>
      </c>
      <c r="U55" s="7" t="n">
        <v>0.18</v>
      </c>
      <c r="V55" s="7" t="n">
        <v>0.06</v>
      </c>
      <c r="W55" s="7" t="n">
        <v>0.06</v>
      </c>
      <c r="X55" s="7"/>
      <c r="Y55" s="10" t="n">
        <f aca="false">SUM(G55:X55)</f>
        <v>0.65</v>
      </c>
    </row>
    <row r="56" customFormat="false" ht="15" hidden="false" customHeight="false" outlineLevel="0" collapsed="false">
      <c r="A56" s="15" t="n">
        <v>55</v>
      </c>
      <c r="B56" s="17" t="s">
        <v>333</v>
      </c>
      <c r="C56" s="17" t="s">
        <v>294</v>
      </c>
      <c r="D56" s="17" t="s">
        <v>341</v>
      </c>
      <c r="E56" s="17" t="s">
        <v>342</v>
      </c>
      <c r="F56" s="17" t="s">
        <v>248</v>
      </c>
      <c r="G56" s="7"/>
      <c r="H56" s="7"/>
      <c r="I56" s="7" t="n">
        <v>0.01</v>
      </c>
      <c r="J56" s="7" t="n">
        <v>0.01</v>
      </c>
      <c r="K56" s="7" t="n">
        <v>0.01</v>
      </c>
      <c r="L56" s="7" t="n">
        <v>0.01</v>
      </c>
      <c r="M56" s="7" t="n">
        <v>0.01</v>
      </c>
      <c r="N56" s="7" t="n">
        <v>0.01</v>
      </c>
      <c r="O56" s="7" t="n">
        <v>0.01</v>
      </c>
      <c r="P56" s="7"/>
      <c r="Q56" s="7"/>
      <c r="R56" s="7"/>
      <c r="S56" s="7"/>
      <c r="T56" s="7"/>
      <c r="U56" s="7"/>
      <c r="V56" s="7"/>
      <c r="W56" s="7"/>
      <c r="X56" s="7"/>
      <c r="Y56" s="10" t="n">
        <f aca="false">SUM(G56:X56)</f>
        <v>0.07</v>
      </c>
    </row>
    <row r="57" customFormat="false" ht="15" hidden="false" customHeight="false" outlineLevel="0" collapsed="false">
      <c r="A57" s="15" t="n">
        <v>56</v>
      </c>
      <c r="B57" s="17" t="s">
        <v>333</v>
      </c>
      <c r="C57" s="17" t="s">
        <v>294</v>
      </c>
      <c r="D57" s="17" t="s">
        <v>343</v>
      </c>
      <c r="E57" s="17" t="s">
        <v>344</v>
      </c>
      <c r="F57" s="17" t="s">
        <v>248</v>
      </c>
      <c r="G57" s="7"/>
      <c r="H57" s="7"/>
      <c r="I57" s="7" t="n">
        <v>0.01</v>
      </c>
      <c r="J57" s="7" t="n">
        <v>0.01</v>
      </c>
      <c r="K57" s="7" t="n">
        <v>0.01</v>
      </c>
      <c r="L57" s="7" t="n">
        <v>0.01</v>
      </c>
      <c r="M57" s="7" t="n">
        <v>0.01</v>
      </c>
      <c r="N57" s="7" t="n">
        <v>0.01</v>
      </c>
      <c r="O57" s="7" t="n">
        <v>0.01</v>
      </c>
      <c r="P57" s="7"/>
      <c r="Q57" s="7"/>
      <c r="R57" s="7"/>
      <c r="S57" s="7"/>
      <c r="T57" s="7"/>
      <c r="U57" s="7"/>
      <c r="V57" s="7"/>
      <c r="W57" s="7"/>
      <c r="X57" s="7"/>
      <c r="Y57" s="10" t="n">
        <f aca="false">SUM(G57:X57)</f>
        <v>0.07</v>
      </c>
    </row>
    <row r="58" customFormat="false" ht="15" hidden="false" customHeight="false" outlineLevel="0" collapsed="false">
      <c r="A58" s="15" t="n">
        <v>57</v>
      </c>
      <c r="B58" s="17" t="s">
        <v>333</v>
      </c>
      <c r="C58" s="17" t="s">
        <v>294</v>
      </c>
      <c r="D58" s="17" t="s">
        <v>345</v>
      </c>
      <c r="E58" s="17" t="s">
        <v>346</v>
      </c>
      <c r="F58" s="17" t="s">
        <v>225</v>
      </c>
      <c r="G58" s="7"/>
      <c r="H58" s="7"/>
      <c r="I58" s="7" t="n">
        <v>0.01</v>
      </c>
      <c r="J58" s="7" t="n">
        <v>0.01</v>
      </c>
      <c r="K58" s="7" t="n">
        <v>0.01</v>
      </c>
      <c r="L58" s="7" t="n">
        <v>0.01</v>
      </c>
      <c r="M58" s="7" t="n">
        <v>0.01</v>
      </c>
      <c r="N58" s="7" t="n">
        <v>0.01</v>
      </c>
      <c r="O58" s="7" t="n">
        <v>0.01</v>
      </c>
      <c r="P58" s="7"/>
      <c r="Q58" s="7"/>
      <c r="R58" s="7"/>
      <c r="S58" s="7"/>
      <c r="T58" s="7"/>
      <c r="U58" s="7"/>
      <c r="V58" s="7"/>
      <c r="W58" s="7"/>
      <c r="X58" s="7"/>
      <c r="Y58" s="10" t="n">
        <f aca="false">SUM(G58:X58)</f>
        <v>0.07</v>
      </c>
    </row>
    <row r="59" customFormat="false" ht="15" hidden="false" customHeight="false" outlineLevel="0" collapsed="false">
      <c r="A59" s="15" t="n">
        <v>58</v>
      </c>
      <c r="B59" s="17" t="s">
        <v>333</v>
      </c>
      <c r="C59" s="17" t="s">
        <v>294</v>
      </c>
      <c r="D59" s="17" t="s">
        <v>347</v>
      </c>
      <c r="E59" s="17" t="s">
        <v>348</v>
      </c>
      <c r="F59" s="17" t="s">
        <v>225</v>
      </c>
      <c r="G59" s="7" t="n">
        <v>0.01</v>
      </c>
      <c r="H59" s="7" t="n">
        <v>0.04</v>
      </c>
      <c r="I59" s="7" t="n">
        <v>0.01</v>
      </c>
      <c r="J59" s="7" t="n">
        <v>0.01</v>
      </c>
      <c r="K59" s="7" t="n">
        <v>0.01</v>
      </c>
      <c r="L59" s="7" t="n">
        <v>0.01</v>
      </c>
      <c r="M59" s="7" t="n">
        <v>0.01</v>
      </c>
      <c r="N59" s="7" t="n">
        <v>0.01</v>
      </c>
      <c r="O59" s="7" t="n">
        <v>0.01</v>
      </c>
      <c r="P59" s="7" t="n">
        <v>0.02</v>
      </c>
      <c r="Q59" s="7"/>
      <c r="R59" s="7"/>
      <c r="S59" s="7"/>
      <c r="T59" s="7"/>
      <c r="U59" s="7"/>
      <c r="V59" s="7"/>
      <c r="W59" s="7"/>
      <c r="X59" s="7"/>
      <c r="Y59" s="10" t="n">
        <f aca="false">SUM(G59:X59)</f>
        <v>0.14</v>
      </c>
    </row>
    <row r="60" customFormat="false" ht="15" hidden="false" customHeight="false" outlineLevel="0" collapsed="false">
      <c r="A60" s="15" t="n">
        <v>59</v>
      </c>
      <c r="B60" s="17" t="s">
        <v>333</v>
      </c>
      <c r="C60" s="17" t="s">
        <v>349</v>
      </c>
      <c r="D60" s="17" t="s">
        <v>350</v>
      </c>
      <c r="E60" s="15" t="s">
        <v>351</v>
      </c>
      <c r="F60" s="17" t="s">
        <v>263</v>
      </c>
      <c r="G60" s="7"/>
      <c r="H60" s="7"/>
      <c r="I60" s="7"/>
      <c r="J60" s="7"/>
      <c r="K60" s="7"/>
      <c r="L60" s="7"/>
      <c r="M60" s="7"/>
      <c r="N60" s="7"/>
      <c r="O60" s="7"/>
      <c r="P60" s="7" t="n">
        <v>0.02</v>
      </c>
      <c r="Q60" s="7" t="n">
        <v>0.1</v>
      </c>
      <c r="R60" s="7" t="n">
        <v>0.1</v>
      </c>
      <c r="S60" s="7"/>
      <c r="T60" s="7" t="n">
        <v>0.07</v>
      </c>
      <c r="U60" s="7" t="n">
        <v>0.07</v>
      </c>
      <c r="V60" s="7" t="n">
        <v>0.1</v>
      </c>
      <c r="W60" s="7" t="n">
        <v>0.07</v>
      </c>
      <c r="X60" s="7"/>
      <c r="Y60" s="10" t="n">
        <f aca="false">SUM(G60:X60)</f>
        <v>0.53</v>
      </c>
    </row>
    <row r="61" customFormat="false" ht="15" hidden="false" customHeight="false" outlineLevel="0" collapsed="false">
      <c r="A61" s="15" t="n">
        <v>60</v>
      </c>
      <c r="B61" s="17" t="s">
        <v>333</v>
      </c>
      <c r="C61" s="17" t="s">
        <v>349</v>
      </c>
      <c r="D61" s="17" t="s">
        <v>283</v>
      </c>
      <c r="E61" s="17" t="s">
        <v>284</v>
      </c>
      <c r="F61" s="17" t="s">
        <v>263</v>
      </c>
      <c r="G61" s="7"/>
      <c r="H61" s="7"/>
      <c r="I61" s="7" t="n">
        <v>0.1</v>
      </c>
      <c r="J61" s="7" t="n">
        <v>0.1</v>
      </c>
      <c r="K61" s="7" t="n">
        <v>0.1</v>
      </c>
      <c r="L61" s="7" t="n">
        <v>0.1</v>
      </c>
      <c r="M61" s="7" t="n">
        <v>0.15</v>
      </c>
      <c r="N61" s="7" t="n">
        <v>0.05</v>
      </c>
      <c r="O61" s="7" t="n">
        <v>0.1</v>
      </c>
      <c r="P61" s="7" t="n">
        <v>0.02</v>
      </c>
      <c r="Q61" s="7"/>
      <c r="R61" s="7"/>
      <c r="S61" s="7"/>
      <c r="T61" s="7"/>
      <c r="U61" s="7"/>
      <c r="V61" s="7"/>
      <c r="W61" s="7"/>
      <c r="X61" s="7"/>
      <c r="Y61" s="10" t="n">
        <f aca="false">SUM(G61:X61)</f>
        <v>0.72</v>
      </c>
    </row>
    <row r="62" customFormat="false" ht="15" hidden="false" customHeight="false" outlineLevel="0" collapsed="false">
      <c r="A62" s="15" t="n">
        <v>61</v>
      </c>
      <c r="B62" s="17" t="s">
        <v>333</v>
      </c>
      <c r="C62" s="17" t="s">
        <v>349</v>
      </c>
      <c r="D62" s="17" t="s">
        <v>352</v>
      </c>
      <c r="E62" s="17" t="s">
        <v>353</v>
      </c>
      <c r="F62" s="17" t="s">
        <v>263</v>
      </c>
      <c r="G62" s="7"/>
      <c r="H62" s="7"/>
      <c r="I62" s="7"/>
      <c r="J62" s="7"/>
      <c r="K62" s="7"/>
      <c r="L62" s="7"/>
      <c r="M62" s="7"/>
      <c r="N62" s="7"/>
      <c r="O62" s="7"/>
      <c r="P62" s="7" t="n">
        <v>0.02</v>
      </c>
      <c r="Q62" s="7" t="n">
        <v>0.1</v>
      </c>
      <c r="R62" s="7" t="n">
        <v>0.1</v>
      </c>
      <c r="S62" s="7"/>
      <c r="T62" s="7" t="n">
        <v>0.05</v>
      </c>
      <c r="U62" s="7" t="n">
        <v>0.05</v>
      </c>
      <c r="V62" s="7" t="n">
        <v>0.1</v>
      </c>
      <c r="W62" s="7" t="n">
        <v>0.08</v>
      </c>
      <c r="X62" s="7"/>
      <c r="Y62" s="10" t="n">
        <f aca="false">SUM(G62:X62)</f>
        <v>0.5</v>
      </c>
    </row>
    <row r="63" customFormat="false" ht="15" hidden="false" customHeight="false" outlineLevel="0" collapsed="false">
      <c r="A63" s="15" t="n">
        <v>62</v>
      </c>
      <c r="B63" s="17" t="s">
        <v>333</v>
      </c>
      <c r="C63" s="17" t="s">
        <v>349</v>
      </c>
      <c r="D63" s="17" t="s">
        <v>354</v>
      </c>
      <c r="E63" s="17" t="s">
        <v>353</v>
      </c>
      <c r="F63" s="17" t="s">
        <v>263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 t="n">
        <v>0.03</v>
      </c>
      <c r="U63" s="7" t="n">
        <v>0.03</v>
      </c>
      <c r="V63" s="7"/>
      <c r="W63" s="7"/>
      <c r="X63" s="7"/>
      <c r="Y63" s="10" t="n">
        <f aca="false">SUM(G63:X63)</f>
        <v>0.06</v>
      </c>
    </row>
    <row r="64" customFormat="false" ht="15" hidden="false" customHeight="false" outlineLevel="0" collapsed="false">
      <c r="A64" s="15" t="n">
        <v>63</v>
      </c>
      <c r="B64" s="17" t="s">
        <v>333</v>
      </c>
      <c r="C64" s="17" t="s">
        <v>349</v>
      </c>
      <c r="D64" s="17" t="s">
        <v>355</v>
      </c>
      <c r="E64" s="17" t="s">
        <v>356</v>
      </c>
      <c r="F64" s="17" t="s">
        <v>263</v>
      </c>
      <c r="G64" s="7" t="n">
        <v>0.1</v>
      </c>
      <c r="H64" s="7" t="n">
        <v>0.1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10" t="n">
        <f aca="false">SUM(G64:X64)</f>
        <v>0.2</v>
      </c>
    </row>
    <row r="65" customFormat="false" ht="15" hidden="false" customHeight="false" outlineLevel="0" collapsed="false">
      <c r="A65" s="15" t="n">
        <v>64</v>
      </c>
      <c r="B65" s="17" t="s">
        <v>333</v>
      </c>
      <c r="C65" s="17" t="s">
        <v>349</v>
      </c>
      <c r="D65" s="17" t="s">
        <v>357</v>
      </c>
      <c r="E65" s="17" t="s">
        <v>358</v>
      </c>
      <c r="F65" s="17" t="s">
        <v>239</v>
      </c>
      <c r="G65" s="7" t="n">
        <v>0.02</v>
      </c>
      <c r="H65" s="7" t="n">
        <v>0.02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 t="n">
        <v>0.05</v>
      </c>
      <c r="U65" s="7" t="n">
        <v>0.05</v>
      </c>
      <c r="V65" s="7" t="n">
        <v>0.18</v>
      </c>
      <c r="W65" s="7" t="n">
        <v>0.17</v>
      </c>
      <c r="X65" s="7"/>
      <c r="Y65" s="10" t="n">
        <f aca="false">SUM(G65:X65)</f>
        <v>0.49</v>
      </c>
    </row>
    <row r="66" customFormat="false" ht="15" hidden="false" customHeight="false" outlineLevel="0" collapsed="false">
      <c r="A66" s="15" t="n">
        <v>65</v>
      </c>
      <c r="B66" s="17" t="s">
        <v>333</v>
      </c>
      <c r="C66" s="17" t="s">
        <v>349</v>
      </c>
      <c r="D66" s="17" t="s">
        <v>359</v>
      </c>
      <c r="E66" s="17" t="s">
        <v>360</v>
      </c>
      <c r="F66" s="17" t="s">
        <v>248</v>
      </c>
      <c r="G66" s="7" t="n">
        <v>0.01</v>
      </c>
      <c r="H66" s="7" t="n">
        <v>0.01</v>
      </c>
      <c r="I66" s="7"/>
      <c r="J66" s="7"/>
      <c r="K66" s="7"/>
      <c r="L66" s="7"/>
      <c r="M66" s="7"/>
      <c r="N66" s="7"/>
      <c r="O66" s="7"/>
      <c r="P66" s="7" t="n">
        <v>0.02</v>
      </c>
      <c r="Q66" s="7"/>
      <c r="R66" s="7"/>
      <c r="S66" s="7"/>
      <c r="T66" s="7" t="n">
        <v>0.03</v>
      </c>
      <c r="U66" s="7" t="n">
        <v>0.03</v>
      </c>
      <c r="V66" s="7" t="n">
        <v>0.05</v>
      </c>
      <c r="W66" s="7" t="n">
        <v>0.06</v>
      </c>
      <c r="X66" s="7"/>
      <c r="Y66" s="10" t="n">
        <f aca="false">SUM(G66:X66)</f>
        <v>0.21</v>
      </c>
    </row>
    <row r="67" customFormat="false" ht="15" hidden="false" customHeight="false" outlineLevel="0" collapsed="false">
      <c r="A67" s="15" t="n">
        <v>66</v>
      </c>
      <c r="B67" s="17" t="s">
        <v>333</v>
      </c>
      <c r="C67" s="17" t="s">
        <v>349</v>
      </c>
      <c r="D67" s="17" t="s">
        <v>361</v>
      </c>
      <c r="E67" s="17" t="s">
        <v>362</v>
      </c>
      <c r="F67" s="17" t="s">
        <v>263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 t="n">
        <v>0.03</v>
      </c>
      <c r="U67" s="7" t="n">
        <v>0.03</v>
      </c>
      <c r="V67" s="7" t="n">
        <v>0.05</v>
      </c>
      <c r="W67" s="7" t="n">
        <v>0.1</v>
      </c>
      <c r="X67" s="7"/>
      <c r="Y67" s="10" t="n">
        <f aca="false">SUM(G67:X67)</f>
        <v>0.21</v>
      </c>
    </row>
    <row r="68" customFormat="false" ht="15" hidden="false" customHeight="false" outlineLevel="0" collapsed="false">
      <c r="A68" s="15" t="n">
        <v>67</v>
      </c>
      <c r="B68" s="17" t="s">
        <v>333</v>
      </c>
      <c r="C68" s="17" t="s">
        <v>363</v>
      </c>
      <c r="D68" s="17" t="s">
        <v>364</v>
      </c>
      <c r="E68" s="17" t="s">
        <v>365</v>
      </c>
      <c r="F68" s="17" t="s">
        <v>239</v>
      </c>
      <c r="G68" s="7"/>
      <c r="H68" s="7"/>
      <c r="I68" s="7"/>
      <c r="J68" s="7"/>
      <c r="K68" s="7"/>
      <c r="L68" s="7"/>
      <c r="M68" s="7"/>
      <c r="N68" s="7"/>
      <c r="O68" s="7"/>
      <c r="P68" s="7" t="n">
        <v>0.02</v>
      </c>
      <c r="Q68" s="7"/>
      <c r="R68" s="7"/>
      <c r="S68" s="7"/>
      <c r="T68" s="7" t="n">
        <v>0.05</v>
      </c>
      <c r="U68" s="7" t="n">
        <v>0.05</v>
      </c>
      <c r="V68" s="7" t="n">
        <v>0.07</v>
      </c>
      <c r="W68" s="7" t="n">
        <v>0.05</v>
      </c>
      <c r="X68" s="7"/>
      <c r="Y68" s="10" t="n">
        <f aca="false">SUM(G68:X68)</f>
        <v>0.24</v>
      </c>
    </row>
    <row r="69" customFormat="false" ht="15" hidden="false" customHeight="false" outlineLevel="0" collapsed="false">
      <c r="A69" s="15" t="n">
        <v>68</v>
      </c>
      <c r="B69" s="17" t="s">
        <v>333</v>
      </c>
      <c r="C69" s="17" t="s">
        <v>363</v>
      </c>
      <c r="D69" s="17" t="s">
        <v>366</v>
      </c>
      <c r="E69" s="17" t="s">
        <v>367</v>
      </c>
      <c r="F69" s="17" t="s">
        <v>263</v>
      </c>
      <c r="G69" s="7"/>
      <c r="H69" s="7"/>
      <c r="I69" s="7"/>
      <c r="J69" s="7"/>
      <c r="K69" s="7"/>
      <c r="L69" s="7"/>
      <c r="M69" s="7"/>
      <c r="N69" s="7"/>
      <c r="O69" s="7"/>
      <c r="P69" s="7" t="n">
        <v>0.02</v>
      </c>
      <c r="Q69" s="7"/>
      <c r="R69" s="7"/>
      <c r="S69" s="7"/>
      <c r="T69" s="7" t="n">
        <v>0.05</v>
      </c>
      <c r="U69" s="7" t="n">
        <v>0.05</v>
      </c>
      <c r="V69" s="7" t="n">
        <v>0.09</v>
      </c>
      <c r="W69" s="7" t="n">
        <v>0.11</v>
      </c>
      <c r="X69" s="7"/>
      <c r="Y69" s="10" t="n">
        <f aca="false">SUM(G69:X69)</f>
        <v>0.32</v>
      </c>
    </row>
    <row r="70" customFormat="false" ht="15" hidden="false" customHeight="false" outlineLevel="0" collapsed="false">
      <c r="A70" s="15" t="n">
        <v>69</v>
      </c>
      <c r="B70" s="17" t="s">
        <v>333</v>
      </c>
      <c r="C70" s="17" t="s">
        <v>363</v>
      </c>
      <c r="D70" s="17" t="s">
        <v>368</v>
      </c>
      <c r="E70" s="17" t="s">
        <v>369</v>
      </c>
      <c r="F70" s="17" t="s">
        <v>263</v>
      </c>
      <c r="G70" s="7"/>
      <c r="H70" s="7"/>
      <c r="I70" s="7"/>
      <c r="J70" s="7"/>
      <c r="K70" s="7"/>
      <c r="L70" s="7"/>
      <c r="M70" s="7"/>
      <c r="N70" s="7"/>
      <c r="O70" s="7"/>
      <c r="P70" s="7" t="n">
        <v>0.02</v>
      </c>
      <c r="Q70" s="7"/>
      <c r="R70" s="7"/>
      <c r="S70" s="7"/>
      <c r="T70" s="7" t="n">
        <v>0.05</v>
      </c>
      <c r="U70" s="7" t="n">
        <v>0.05</v>
      </c>
      <c r="V70" s="7" t="n">
        <v>0.05</v>
      </c>
      <c r="W70" s="7" t="n">
        <v>0.05</v>
      </c>
      <c r="X70" s="7"/>
      <c r="Y70" s="10" t="n">
        <f aca="false">SUM(G70:X70)</f>
        <v>0.22</v>
      </c>
    </row>
    <row r="71" customFormat="false" ht="15" hidden="false" customHeight="false" outlineLevel="0" collapsed="false">
      <c r="A71" s="15" t="n">
        <v>70</v>
      </c>
      <c r="B71" s="17" t="s">
        <v>333</v>
      </c>
      <c r="C71" s="17" t="s">
        <v>363</v>
      </c>
      <c r="D71" s="17" t="s">
        <v>370</v>
      </c>
      <c r="E71" s="17" t="s">
        <v>371</v>
      </c>
      <c r="F71" s="17" t="s">
        <v>263</v>
      </c>
      <c r="G71" s="7"/>
      <c r="H71" s="7"/>
      <c r="I71" s="7"/>
      <c r="J71" s="7"/>
      <c r="K71" s="7"/>
      <c r="L71" s="7"/>
      <c r="M71" s="7"/>
      <c r="N71" s="7"/>
      <c r="O71" s="7"/>
      <c r="P71" s="7" t="n">
        <v>0.02</v>
      </c>
      <c r="Q71" s="7"/>
      <c r="R71" s="7"/>
      <c r="S71" s="7"/>
      <c r="T71" s="7" t="n">
        <v>0.05</v>
      </c>
      <c r="U71" s="7" t="n">
        <v>0.05</v>
      </c>
      <c r="V71" s="7" t="n">
        <v>0.03</v>
      </c>
      <c r="W71" s="7" t="n">
        <v>0.03</v>
      </c>
      <c r="X71" s="7"/>
      <c r="Y71" s="10" t="n">
        <f aca="false">SUM(G71:X71)</f>
        <v>0.18</v>
      </c>
    </row>
    <row r="72" customFormat="false" ht="15" hidden="false" customHeight="false" outlineLevel="0" collapsed="false">
      <c r="A72" s="15" t="n">
        <v>71</v>
      </c>
      <c r="B72" s="17" t="s">
        <v>333</v>
      </c>
      <c r="C72" s="17" t="s">
        <v>363</v>
      </c>
      <c r="D72" s="17" t="s">
        <v>372</v>
      </c>
      <c r="E72" s="17" t="s">
        <v>373</v>
      </c>
      <c r="F72" s="17" t="s">
        <v>263</v>
      </c>
      <c r="G72" s="7"/>
      <c r="H72" s="7"/>
      <c r="I72" s="7" t="n">
        <v>0.01</v>
      </c>
      <c r="J72" s="7" t="n">
        <v>0.01</v>
      </c>
      <c r="K72" s="7" t="n">
        <v>0.01</v>
      </c>
      <c r="L72" s="7" t="n">
        <v>0.01</v>
      </c>
      <c r="M72" s="7" t="n">
        <v>0.01</v>
      </c>
      <c r="N72" s="7" t="n">
        <v>0.01</v>
      </c>
      <c r="O72" s="7" t="n">
        <v>0.01</v>
      </c>
      <c r="P72" s="7"/>
      <c r="Q72" s="7"/>
      <c r="R72" s="7"/>
      <c r="S72" s="7"/>
      <c r="T72" s="7"/>
      <c r="U72" s="7"/>
      <c r="V72" s="7"/>
      <c r="W72" s="7"/>
      <c r="X72" s="7"/>
      <c r="Y72" s="10" t="n">
        <f aca="false">SUM(G72:X72)</f>
        <v>0.07</v>
      </c>
    </row>
    <row r="73" customFormat="false" ht="15" hidden="false" customHeight="false" outlineLevel="0" collapsed="false">
      <c r="A73" s="15" t="n">
        <v>72</v>
      </c>
      <c r="B73" s="17" t="s">
        <v>333</v>
      </c>
      <c r="C73" s="17" t="s">
        <v>363</v>
      </c>
      <c r="D73" s="17" t="s">
        <v>374</v>
      </c>
      <c r="E73" s="17" t="s">
        <v>375</v>
      </c>
      <c r="F73" s="17" t="s">
        <v>239</v>
      </c>
      <c r="G73" s="7"/>
      <c r="H73" s="7"/>
      <c r="I73" s="7"/>
      <c r="J73" s="7"/>
      <c r="K73" s="7"/>
      <c r="L73" s="7"/>
      <c r="M73" s="7"/>
      <c r="N73" s="7"/>
      <c r="O73" s="7"/>
      <c r="P73" s="7" t="n">
        <v>0.05</v>
      </c>
      <c r="Q73" s="7"/>
      <c r="R73" s="7"/>
      <c r="S73" s="7"/>
      <c r="T73" s="7" t="n">
        <v>0.03</v>
      </c>
      <c r="U73" s="7" t="n">
        <v>0.03</v>
      </c>
      <c r="V73" s="7" t="n">
        <v>0.04</v>
      </c>
      <c r="W73" s="7" t="n">
        <v>0.04</v>
      </c>
      <c r="X73" s="7"/>
      <c r="Y73" s="10" t="n">
        <f aca="false">SUM(G73:X73)</f>
        <v>0.19</v>
      </c>
    </row>
    <row r="74" customFormat="false" ht="15" hidden="false" customHeight="false" outlineLevel="0" collapsed="false">
      <c r="A74" s="15" t="n">
        <v>73</v>
      </c>
      <c r="B74" s="17" t="s">
        <v>333</v>
      </c>
      <c r="C74" s="17" t="s">
        <v>363</v>
      </c>
      <c r="D74" s="17" t="s">
        <v>376</v>
      </c>
      <c r="E74" s="17" t="s">
        <v>377</v>
      </c>
      <c r="F74" s="17" t="s">
        <v>248</v>
      </c>
      <c r="G74" s="7"/>
      <c r="H74" s="7"/>
      <c r="I74" s="7"/>
      <c r="J74" s="7"/>
      <c r="K74" s="7"/>
      <c r="L74" s="7"/>
      <c r="M74" s="7"/>
      <c r="N74" s="7"/>
      <c r="O74" s="7"/>
      <c r="P74" s="7" t="n">
        <v>0.01</v>
      </c>
      <c r="Q74" s="7"/>
      <c r="R74" s="7"/>
      <c r="S74" s="7"/>
      <c r="T74" s="7" t="n">
        <v>0.03</v>
      </c>
      <c r="U74" s="7" t="n">
        <v>0.03</v>
      </c>
      <c r="V74" s="7" t="n">
        <v>0.04</v>
      </c>
      <c r="W74" s="7" t="n">
        <v>0.04</v>
      </c>
      <c r="X74" s="7"/>
      <c r="Y74" s="10" t="n">
        <f aca="false">SUM(G74:X74)</f>
        <v>0.15</v>
      </c>
    </row>
    <row r="75" customFormat="false" ht="15" hidden="false" customHeight="false" outlineLevel="0" collapsed="false">
      <c r="A75" s="15" t="n">
        <v>74</v>
      </c>
      <c r="B75" s="17" t="s">
        <v>333</v>
      </c>
      <c r="C75" s="17" t="s">
        <v>363</v>
      </c>
      <c r="D75" s="17" t="s">
        <v>378</v>
      </c>
      <c r="E75" s="17" t="s">
        <v>379</v>
      </c>
      <c r="F75" s="17" t="s">
        <v>248</v>
      </c>
      <c r="G75" s="7" t="n">
        <v>0.01</v>
      </c>
      <c r="H75" s="7" t="n">
        <v>0.05</v>
      </c>
      <c r="I75" s="7" t="n">
        <v>0.01</v>
      </c>
      <c r="J75" s="7" t="n">
        <v>0.01</v>
      </c>
      <c r="K75" s="7" t="n">
        <v>0.01</v>
      </c>
      <c r="L75" s="7" t="n">
        <v>0.01</v>
      </c>
      <c r="M75" s="7" t="n">
        <v>0.01</v>
      </c>
      <c r="N75" s="7" t="n">
        <v>0.01</v>
      </c>
      <c r="O75" s="7" t="n">
        <v>0.01</v>
      </c>
      <c r="P75" s="7"/>
      <c r="Q75" s="7"/>
      <c r="R75" s="7"/>
      <c r="S75" s="7"/>
      <c r="T75" s="7"/>
      <c r="U75" s="7"/>
      <c r="V75" s="7"/>
      <c r="W75" s="7"/>
      <c r="X75" s="7"/>
      <c r="Y75" s="10" t="n">
        <f aca="false">SUM(G75:X75)</f>
        <v>0.13</v>
      </c>
    </row>
    <row r="76" customFormat="false" ht="15" hidden="false" customHeight="false" outlineLevel="0" collapsed="false">
      <c r="A76" s="15" t="n">
        <v>75</v>
      </c>
      <c r="B76" s="17" t="s">
        <v>380</v>
      </c>
      <c r="C76" s="17" t="s">
        <v>380</v>
      </c>
      <c r="D76" s="15" t="s">
        <v>381</v>
      </c>
      <c r="E76" s="17" t="s">
        <v>382</v>
      </c>
      <c r="F76" s="17" t="s">
        <v>263</v>
      </c>
      <c r="G76" s="7"/>
      <c r="H76" s="7"/>
      <c r="I76" s="7"/>
      <c r="J76" s="7"/>
      <c r="K76" s="7"/>
      <c r="L76" s="7"/>
      <c r="M76" s="7"/>
      <c r="N76" s="7" t="n">
        <v>0.05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10" t="n">
        <f aca="false">SUM(G76:X76)</f>
        <v>0.05</v>
      </c>
    </row>
    <row r="77" customFormat="false" ht="15" hidden="false" customHeight="false" outlineLevel="0" collapsed="false">
      <c r="A77" s="15" t="n">
        <v>76</v>
      </c>
      <c r="B77" s="17" t="s">
        <v>380</v>
      </c>
      <c r="C77" s="17" t="s">
        <v>380</v>
      </c>
      <c r="D77" s="17" t="s">
        <v>296</v>
      </c>
      <c r="E77" s="17" t="s">
        <v>383</v>
      </c>
      <c r="F77" s="17" t="s">
        <v>263</v>
      </c>
      <c r="G77" s="7"/>
      <c r="H77" s="7"/>
      <c r="I77" s="7"/>
      <c r="J77" s="7"/>
      <c r="K77" s="7"/>
      <c r="L77" s="7"/>
      <c r="M77" s="7"/>
      <c r="N77" s="7" t="n">
        <v>0.05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10" t="n">
        <f aca="false">SUM(G77:X77)</f>
        <v>0.05</v>
      </c>
    </row>
    <row r="78" customFormat="false" ht="15" hidden="false" customHeight="false" outlineLevel="0" collapsed="false">
      <c r="A78" s="15" t="n">
        <v>77</v>
      </c>
      <c r="B78" s="17" t="s">
        <v>380</v>
      </c>
      <c r="C78" s="17" t="s">
        <v>380</v>
      </c>
      <c r="D78" s="17" t="s">
        <v>384</v>
      </c>
      <c r="E78" s="17" t="s">
        <v>385</v>
      </c>
      <c r="F78" s="17" t="s">
        <v>228</v>
      </c>
      <c r="G78" s="7" t="n">
        <v>0.01</v>
      </c>
      <c r="H78" s="7" t="n">
        <v>0.05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10" t="n">
        <f aca="false">SUM(G78:X78)</f>
        <v>0.06</v>
      </c>
    </row>
    <row r="79" customFormat="false" ht="15" hidden="false" customHeight="false" outlineLevel="0" collapsed="false">
      <c r="A79" s="15" t="n">
        <v>78</v>
      </c>
      <c r="B79" s="17" t="s">
        <v>386</v>
      </c>
      <c r="C79" s="17" t="s">
        <v>387</v>
      </c>
      <c r="D79" s="17" t="s">
        <v>388</v>
      </c>
      <c r="E79" s="17" t="s">
        <v>389</v>
      </c>
      <c r="F79" s="17" t="s">
        <v>225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10" t="n">
        <f aca="false">SUM(G79:X79)</f>
        <v>0</v>
      </c>
    </row>
    <row r="80" customFormat="false" ht="15" hidden="false" customHeight="false" outlineLevel="0" collapsed="false">
      <c r="A80" s="15" t="n">
        <v>79</v>
      </c>
      <c r="B80" s="17" t="s">
        <v>386</v>
      </c>
      <c r="C80" s="17" t="s">
        <v>390</v>
      </c>
      <c r="D80" s="17" t="s">
        <v>391</v>
      </c>
      <c r="E80" s="17" t="s">
        <v>222</v>
      </c>
      <c r="F80" s="17" t="s">
        <v>220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10" t="n">
        <f aca="false">SUM(G80:X80)</f>
        <v>0</v>
      </c>
    </row>
    <row r="81" customFormat="false" ht="15" hidden="false" customHeight="false" outlineLevel="0" collapsed="false">
      <c r="A81" s="15" t="n">
        <v>80</v>
      </c>
      <c r="B81" s="17" t="s">
        <v>392</v>
      </c>
      <c r="C81" s="17" t="s">
        <v>393</v>
      </c>
      <c r="D81" s="17" t="s">
        <v>394</v>
      </c>
      <c r="E81" s="17" t="s">
        <v>395</v>
      </c>
      <c r="F81" s="17" t="s">
        <v>263</v>
      </c>
      <c r="G81" s="7"/>
      <c r="H81" s="7" t="n">
        <v>0.01</v>
      </c>
      <c r="I81" s="7" t="n">
        <v>0.01</v>
      </c>
      <c r="J81" s="7" t="n">
        <v>0.01</v>
      </c>
      <c r="K81" s="7" t="n">
        <v>0.01</v>
      </c>
      <c r="L81" s="7" t="n">
        <v>0.01</v>
      </c>
      <c r="M81" s="7" t="n">
        <v>0.01</v>
      </c>
      <c r="N81" s="7" t="n">
        <v>0.01</v>
      </c>
      <c r="O81" s="7" t="n">
        <v>0.01</v>
      </c>
      <c r="P81" s="7" t="n">
        <v>0.01</v>
      </c>
      <c r="Q81" s="7" t="n">
        <v>0.01</v>
      </c>
      <c r="R81" s="7" t="n">
        <v>0.01</v>
      </c>
      <c r="S81" s="7"/>
      <c r="T81" s="7"/>
      <c r="U81" s="7"/>
      <c r="V81" s="7"/>
      <c r="W81" s="7"/>
      <c r="X81" s="7"/>
      <c r="Y81" s="10" t="n">
        <f aca="false">SUM(G81:X81)</f>
        <v>0.11</v>
      </c>
    </row>
    <row r="82" customFormat="false" ht="15" hidden="false" customHeight="false" outlineLevel="0" collapsed="false">
      <c r="A82" s="15" t="n">
        <v>81</v>
      </c>
      <c r="B82" s="17" t="s">
        <v>392</v>
      </c>
      <c r="C82" s="17" t="s">
        <v>393</v>
      </c>
      <c r="D82" s="17" t="s">
        <v>396</v>
      </c>
      <c r="E82" s="17" t="s">
        <v>397</v>
      </c>
      <c r="F82" s="17" t="s">
        <v>263</v>
      </c>
      <c r="G82" s="7" t="n">
        <v>0.02</v>
      </c>
      <c r="H82" s="7" t="n">
        <v>0.05</v>
      </c>
      <c r="I82" s="7" t="n">
        <v>0.01</v>
      </c>
      <c r="J82" s="7" t="n">
        <v>0.01</v>
      </c>
      <c r="K82" s="7" t="n">
        <v>0.01</v>
      </c>
      <c r="L82" s="7" t="n">
        <v>0.01</v>
      </c>
      <c r="M82" s="7" t="n">
        <v>0.01</v>
      </c>
      <c r="N82" s="7" t="n">
        <v>0.01</v>
      </c>
      <c r="O82" s="7" t="n">
        <v>0.01</v>
      </c>
      <c r="P82" s="7" t="n">
        <v>0.01</v>
      </c>
      <c r="Q82" s="7" t="n">
        <v>0.01</v>
      </c>
      <c r="R82" s="7" t="n">
        <v>0.01</v>
      </c>
      <c r="S82" s="7" t="n">
        <v>0.05</v>
      </c>
      <c r="T82" s="7" t="n">
        <v>0.02</v>
      </c>
      <c r="U82" s="7" t="n">
        <v>0.02</v>
      </c>
      <c r="V82" s="7" t="n">
        <v>0.06</v>
      </c>
      <c r="W82" s="7" t="n">
        <v>0.05</v>
      </c>
      <c r="X82" s="7"/>
      <c r="Y82" s="10" t="n">
        <f aca="false">SUM(G82:X82)</f>
        <v>0.37</v>
      </c>
    </row>
    <row r="83" customFormat="false" ht="15" hidden="false" customHeight="false" outlineLevel="0" collapsed="false">
      <c r="A83" s="15" t="n">
        <v>82</v>
      </c>
      <c r="B83" s="17" t="s">
        <v>392</v>
      </c>
      <c r="C83" s="17" t="s">
        <v>393</v>
      </c>
      <c r="D83" s="17" t="s">
        <v>398</v>
      </c>
      <c r="E83" s="17" t="s">
        <v>399</v>
      </c>
      <c r="F83" s="17" t="s">
        <v>263</v>
      </c>
      <c r="G83" s="7" t="n">
        <v>0.01</v>
      </c>
      <c r="H83" s="7"/>
      <c r="I83" s="7"/>
      <c r="J83" s="7"/>
      <c r="K83" s="7"/>
      <c r="L83" s="7"/>
      <c r="M83" s="7"/>
      <c r="N83" s="7"/>
      <c r="O83" s="7"/>
      <c r="P83" s="7" t="n">
        <v>0.15</v>
      </c>
      <c r="Q83" s="7" t="n">
        <v>0.02</v>
      </c>
      <c r="R83" s="7" t="n">
        <v>0.02</v>
      </c>
      <c r="S83" s="7" t="n">
        <v>0.05</v>
      </c>
      <c r="T83" s="7" t="n">
        <v>0.02</v>
      </c>
      <c r="U83" s="7" t="n">
        <v>0.02</v>
      </c>
      <c r="V83" s="7" t="n">
        <v>0.04</v>
      </c>
      <c r="W83" s="7" t="n">
        <v>0.06</v>
      </c>
      <c r="X83" s="7"/>
      <c r="Y83" s="10" t="n">
        <f aca="false">SUM(G83:X83)</f>
        <v>0.39</v>
      </c>
    </row>
    <row r="84" customFormat="false" ht="15" hidden="false" customHeight="false" outlineLevel="0" collapsed="false">
      <c r="A84" s="15" t="n">
        <v>83</v>
      </c>
      <c r="B84" s="17" t="s">
        <v>392</v>
      </c>
      <c r="C84" s="17" t="s">
        <v>393</v>
      </c>
      <c r="D84" s="17" t="s">
        <v>400</v>
      </c>
      <c r="E84" s="17" t="s">
        <v>401</v>
      </c>
      <c r="F84" s="17" t="s">
        <v>263</v>
      </c>
      <c r="G84" s="7" t="n">
        <v>0.01</v>
      </c>
      <c r="H84" s="7" t="n">
        <v>0.01</v>
      </c>
      <c r="I84" s="7"/>
      <c r="J84" s="7"/>
      <c r="K84" s="7"/>
      <c r="L84" s="7"/>
      <c r="M84" s="7"/>
      <c r="N84" s="7"/>
      <c r="O84" s="7"/>
      <c r="P84" s="7" t="n">
        <v>0.3</v>
      </c>
      <c r="Q84" s="7"/>
      <c r="R84" s="7"/>
      <c r="S84" s="7"/>
      <c r="T84" s="7"/>
      <c r="U84" s="7" t="n">
        <v>0.15</v>
      </c>
      <c r="V84" s="7"/>
      <c r="W84" s="7"/>
      <c r="X84" s="7"/>
      <c r="Y84" s="10" t="n">
        <f aca="false">SUM(G84:X84)</f>
        <v>0.47</v>
      </c>
    </row>
    <row r="85" customFormat="false" ht="15" hidden="false" customHeight="false" outlineLevel="0" collapsed="false">
      <c r="A85" s="15" t="n">
        <v>84</v>
      </c>
      <c r="B85" s="17" t="s">
        <v>392</v>
      </c>
      <c r="C85" s="17" t="s">
        <v>393</v>
      </c>
      <c r="D85" s="15" t="s">
        <v>402</v>
      </c>
      <c r="E85" s="17" t="s">
        <v>403</v>
      </c>
      <c r="F85" s="17" t="s">
        <v>263</v>
      </c>
      <c r="G85" s="7"/>
      <c r="H85" s="7"/>
      <c r="I85" s="7"/>
      <c r="J85" s="7"/>
      <c r="K85" s="7"/>
      <c r="L85" s="7"/>
      <c r="M85" s="7"/>
      <c r="N85" s="7" t="n">
        <v>0.06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10" t="n">
        <f aca="false">SUM(G85:X85)</f>
        <v>0.06</v>
      </c>
    </row>
    <row r="86" customFormat="false" ht="15" hidden="false" customHeight="false" outlineLevel="0" collapsed="false">
      <c r="A86" s="15" t="n">
        <v>85</v>
      </c>
      <c r="B86" s="17" t="s">
        <v>392</v>
      </c>
      <c r="C86" s="17" t="s">
        <v>404</v>
      </c>
      <c r="D86" s="17" t="s">
        <v>405</v>
      </c>
      <c r="E86" s="17" t="s">
        <v>406</v>
      </c>
      <c r="F86" s="17" t="s">
        <v>228</v>
      </c>
      <c r="G86" s="7" t="n">
        <v>0.15</v>
      </c>
      <c r="H86" s="7" t="n">
        <v>0.12</v>
      </c>
      <c r="I86" s="7" t="n">
        <v>0.01</v>
      </c>
      <c r="J86" s="7" t="n">
        <v>0.01</v>
      </c>
      <c r="K86" s="7" t="n">
        <v>0.01</v>
      </c>
      <c r="L86" s="7" t="n">
        <v>0.01</v>
      </c>
      <c r="M86" s="7" t="n">
        <v>0.01</v>
      </c>
      <c r="N86" s="7" t="n">
        <v>0.01</v>
      </c>
      <c r="O86" s="7" t="n">
        <v>0.01</v>
      </c>
      <c r="P86" s="7"/>
      <c r="Q86" s="7"/>
      <c r="R86" s="7"/>
      <c r="S86" s="7"/>
      <c r="T86" s="7"/>
      <c r="U86" s="7"/>
      <c r="V86" s="7"/>
      <c r="W86" s="7"/>
      <c r="X86" s="7"/>
      <c r="Y86" s="10" t="n">
        <f aca="false">SUM(G86:X86)</f>
        <v>0.34</v>
      </c>
    </row>
    <row r="87" customFormat="false" ht="15" hidden="false" customHeight="false" outlineLevel="0" collapsed="false">
      <c r="A87" s="15" t="n">
        <v>86</v>
      </c>
      <c r="B87" s="17" t="s">
        <v>392</v>
      </c>
      <c r="C87" s="17" t="s">
        <v>404</v>
      </c>
      <c r="D87" s="17" t="s">
        <v>407</v>
      </c>
      <c r="E87" s="15" t="s">
        <v>408</v>
      </c>
      <c r="F87" s="17" t="s">
        <v>228</v>
      </c>
      <c r="G87" s="7"/>
      <c r="H87" s="7"/>
      <c r="I87" s="7" t="n">
        <v>0.01</v>
      </c>
      <c r="J87" s="7" t="n">
        <v>0.01</v>
      </c>
      <c r="K87" s="7" t="n">
        <v>0.01</v>
      </c>
      <c r="L87" s="7" t="n">
        <v>0.01</v>
      </c>
      <c r="M87" s="7" t="n">
        <v>0.01</v>
      </c>
      <c r="N87" s="7" t="n">
        <v>0.01</v>
      </c>
      <c r="O87" s="7" t="n">
        <v>0.01</v>
      </c>
      <c r="P87" s="7"/>
      <c r="Q87" s="7"/>
      <c r="R87" s="7"/>
      <c r="S87" s="7" t="n">
        <v>0.05</v>
      </c>
      <c r="T87" s="7"/>
      <c r="U87" s="7"/>
      <c r="V87" s="7"/>
      <c r="W87" s="7"/>
      <c r="X87" s="7"/>
      <c r="Y87" s="10" t="n">
        <f aca="false">SUM(G87:X87)</f>
        <v>0.12</v>
      </c>
    </row>
    <row r="88" customFormat="false" ht="15" hidden="false" customHeight="false" outlineLevel="0" collapsed="false">
      <c r="A88" s="15" t="n">
        <v>87</v>
      </c>
      <c r="B88" s="17" t="s">
        <v>392</v>
      </c>
      <c r="C88" s="17" t="s">
        <v>404</v>
      </c>
      <c r="D88" s="17" t="s">
        <v>409</v>
      </c>
      <c r="E88" s="17" t="s">
        <v>410</v>
      </c>
      <c r="F88" s="15"/>
      <c r="G88" s="7" t="n">
        <v>0.05</v>
      </c>
      <c r="H88" s="7" t="n">
        <v>0.01</v>
      </c>
      <c r="I88" s="7" t="n">
        <v>0.01</v>
      </c>
      <c r="J88" s="7" t="n">
        <v>0.01</v>
      </c>
      <c r="K88" s="7" t="n">
        <v>0.01</v>
      </c>
      <c r="L88" s="7" t="n">
        <v>0.01</v>
      </c>
      <c r="M88" s="7" t="n">
        <v>0.01</v>
      </c>
      <c r="N88" s="7" t="n">
        <v>0.01</v>
      </c>
      <c r="O88" s="7" t="n">
        <v>0.01</v>
      </c>
      <c r="P88" s="7" t="n">
        <v>0.01</v>
      </c>
      <c r="Q88" s="7" t="n">
        <v>0.01</v>
      </c>
      <c r="R88" s="7" t="n">
        <v>0.01</v>
      </c>
      <c r="S88" s="7"/>
      <c r="T88" s="7"/>
      <c r="U88" s="7"/>
      <c r="V88" s="7"/>
      <c r="W88" s="7"/>
      <c r="X88" s="7"/>
      <c r="Y88" s="10" t="n">
        <f aca="false">SUM(G88:X88)</f>
        <v>0.16</v>
      </c>
    </row>
    <row r="89" customFormat="false" ht="15" hidden="false" customHeight="false" outlineLevel="0" collapsed="false">
      <c r="A89" s="15" t="n">
        <v>88</v>
      </c>
      <c r="B89" s="17" t="s">
        <v>392</v>
      </c>
      <c r="C89" s="17" t="s">
        <v>404</v>
      </c>
      <c r="D89" s="17" t="s">
        <v>411</v>
      </c>
      <c r="E89" s="17" t="s">
        <v>412</v>
      </c>
      <c r="F89" s="17" t="s">
        <v>228</v>
      </c>
      <c r="G89" s="7" t="n">
        <v>0.05</v>
      </c>
      <c r="H89" s="7" t="n">
        <v>0.05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10" t="n">
        <f aca="false">SUM(G89:X89)</f>
        <v>0.1</v>
      </c>
    </row>
    <row r="90" customFormat="false" ht="15" hidden="false" customHeight="false" outlineLevel="0" collapsed="false">
      <c r="A90" s="15" t="n">
        <v>89</v>
      </c>
      <c r="B90" s="17" t="s">
        <v>392</v>
      </c>
      <c r="C90" s="17" t="s">
        <v>404</v>
      </c>
      <c r="D90" s="17" t="s">
        <v>413</v>
      </c>
      <c r="E90" s="17" t="s">
        <v>414</v>
      </c>
      <c r="F90" s="17" t="s">
        <v>228</v>
      </c>
      <c r="G90" s="7" t="n">
        <v>0.05</v>
      </c>
      <c r="H90" s="7" t="n">
        <v>0.05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10" t="n">
        <f aca="false">SUM(G90:X90)</f>
        <v>0.1</v>
      </c>
    </row>
    <row r="91" customFormat="false" ht="15" hidden="false" customHeight="false" outlineLevel="0" collapsed="false">
      <c r="A91" s="15" t="n">
        <v>90</v>
      </c>
      <c r="B91" s="17" t="s">
        <v>392</v>
      </c>
      <c r="C91" s="17" t="s">
        <v>404</v>
      </c>
      <c r="D91" s="15" t="s">
        <v>415</v>
      </c>
      <c r="E91" s="17" t="s">
        <v>416</v>
      </c>
      <c r="F91" s="17" t="s">
        <v>228</v>
      </c>
      <c r="G91" s="7" t="n">
        <v>0.05</v>
      </c>
      <c r="H91" s="7" t="n">
        <v>0.04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10" t="n">
        <f aca="false">SUM(G91:X91)</f>
        <v>0.09</v>
      </c>
    </row>
    <row r="92" customFormat="false" ht="15" hidden="false" customHeight="false" outlineLevel="0" collapsed="false">
      <c r="A92" s="15" t="n">
        <v>91</v>
      </c>
      <c r="B92" s="17" t="s">
        <v>392</v>
      </c>
      <c r="C92" s="17" t="s">
        <v>404</v>
      </c>
      <c r="D92" s="17" t="s">
        <v>417</v>
      </c>
      <c r="E92" s="17" t="s">
        <v>418</v>
      </c>
      <c r="F92" s="17" t="s">
        <v>228</v>
      </c>
      <c r="G92" s="7"/>
      <c r="H92" s="7"/>
      <c r="I92" s="7"/>
      <c r="J92" s="7"/>
      <c r="K92" s="7"/>
      <c r="L92" s="7"/>
      <c r="M92" s="7"/>
      <c r="N92" s="7" t="n">
        <v>0.1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10" t="n">
        <f aca="false">SUM(G92:X92)</f>
        <v>0.1</v>
      </c>
    </row>
    <row r="93" customFormat="false" ht="15" hidden="false" customHeight="false" outlineLevel="0" collapsed="false">
      <c r="A93" s="15" t="n">
        <v>92</v>
      </c>
      <c r="B93" s="17" t="s">
        <v>392</v>
      </c>
      <c r="C93" s="17" t="s">
        <v>419</v>
      </c>
      <c r="D93" s="17" t="s">
        <v>420</v>
      </c>
      <c r="E93" s="17" t="s">
        <v>421</v>
      </c>
      <c r="F93" s="17" t="s">
        <v>220</v>
      </c>
      <c r="G93" s="7" t="n">
        <v>0.02</v>
      </c>
      <c r="H93" s="7" t="n">
        <v>0.01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10" t="n">
        <f aca="false">SUM(G93:X93)</f>
        <v>0.03</v>
      </c>
    </row>
    <row r="94" customFormat="false" ht="15" hidden="false" customHeight="false" outlineLevel="0" collapsed="false">
      <c r="A94" s="15" t="n">
        <v>93</v>
      </c>
      <c r="B94" s="17" t="s">
        <v>392</v>
      </c>
      <c r="C94" s="17" t="s">
        <v>419</v>
      </c>
      <c r="D94" s="17" t="s">
        <v>422</v>
      </c>
      <c r="E94" s="17" t="s">
        <v>423</v>
      </c>
      <c r="F94" s="17" t="s">
        <v>220</v>
      </c>
      <c r="G94" s="7"/>
      <c r="H94" s="7" t="n">
        <v>0.01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10" t="n">
        <f aca="false">SUM(G94:X94)</f>
        <v>0.01</v>
      </c>
    </row>
    <row r="95" customFormat="false" ht="15" hidden="false" customHeight="false" outlineLevel="0" collapsed="false">
      <c r="A95" s="15" t="n">
        <v>94</v>
      </c>
      <c r="B95" s="17" t="s">
        <v>392</v>
      </c>
      <c r="C95" s="17" t="s">
        <v>419</v>
      </c>
      <c r="D95" s="17" t="s">
        <v>424</v>
      </c>
      <c r="E95" s="17" t="s">
        <v>425</v>
      </c>
      <c r="F95" s="17" t="s">
        <v>220</v>
      </c>
      <c r="G95" s="7"/>
      <c r="H95" s="7" t="n">
        <v>0.01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10" t="n">
        <f aca="false">SUM(G95:X95)</f>
        <v>0.01</v>
      </c>
    </row>
    <row r="96" customFormat="false" ht="15" hidden="false" customHeight="false" outlineLevel="0" collapsed="false">
      <c r="A96" s="15" t="n">
        <v>95</v>
      </c>
      <c r="B96" s="17" t="s">
        <v>392</v>
      </c>
      <c r="C96" s="17" t="s">
        <v>419</v>
      </c>
      <c r="D96" s="17" t="s">
        <v>426</v>
      </c>
      <c r="E96" s="17" t="s">
        <v>427</v>
      </c>
      <c r="F96" s="17" t="s">
        <v>220</v>
      </c>
      <c r="G96" s="7"/>
      <c r="H96" s="7" t="n">
        <v>0.01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10" t="n">
        <f aca="false">SUM(G96:X96)</f>
        <v>0.01</v>
      </c>
    </row>
    <row r="97" customFormat="false" ht="15" hidden="false" customHeight="false" outlineLevel="0" collapsed="false">
      <c r="A97" s="15" t="n">
        <v>96</v>
      </c>
      <c r="B97" s="17" t="s">
        <v>392</v>
      </c>
      <c r="C97" s="17" t="s">
        <v>419</v>
      </c>
      <c r="D97" s="17" t="s">
        <v>428</v>
      </c>
      <c r="E97" s="17" t="s">
        <v>429</v>
      </c>
      <c r="F97" s="17" t="s">
        <v>220</v>
      </c>
      <c r="G97" s="7"/>
      <c r="H97" s="7" t="n">
        <v>0.01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10" t="n">
        <f aca="false">SUM(G97:X97)</f>
        <v>0.01</v>
      </c>
    </row>
    <row r="98" customFormat="false" ht="15" hidden="false" customHeight="false" outlineLevel="0" collapsed="false">
      <c r="A98" s="15" t="n">
        <v>97</v>
      </c>
      <c r="B98" s="17" t="s">
        <v>392</v>
      </c>
      <c r="C98" s="17" t="s">
        <v>419</v>
      </c>
      <c r="D98" s="17" t="s">
        <v>430</v>
      </c>
      <c r="E98" s="17" t="s">
        <v>431</v>
      </c>
      <c r="F98" s="17" t="s">
        <v>220</v>
      </c>
      <c r="G98" s="7"/>
      <c r="H98" s="7"/>
      <c r="I98" s="7" t="n">
        <v>0.01</v>
      </c>
      <c r="J98" s="7" t="n">
        <v>0.01</v>
      </c>
      <c r="K98" s="7" t="n">
        <v>0.01</v>
      </c>
      <c r="L98" s="7" t="n">
        <v>0.01</v>
      </c>
      <c r="M98" s="7" t="n">
        <v>0.01</v>
      </c>
      <c r="N98" s="7" t="n">
        <v>0.01</v>
      </c>
      <c r="O98" s="7" t="n">
        <v>0.01</v>
      </c>
      <c r="P98" s="7"/>
      <c r="Q98" s="7"/>
      <c r="R98" s="7"/>
      <c r="S98" s="7"/>
      <c r="T98" s="7"/>
      <c r="U98" s="7"/>
      <c r="V98" s="7"/>
      <c r="W98" s="7"/>
      <c r="X98" s="7"/>
      <c r="Y98" s="10" t="n">
        <f aca="false">SUM(G98:X98)</f>
        <v>0.07</v>
      </c>
    </row>
    <row r="99" customFormat="false" ht="15" hidden="false" customHeight="false" outlineLevel="0" collapsed="false">
      <c r="A99" s="15" t="n">
        <v>98</v>
      </c>
      <c r="B99" s="17" t="s">
        <v>392</v>
      </c>
      <c r="C99" s="17" t="s">
        <v>419</v>
      </c>
      <c r="D99" s="15" t="s">
        <v>432</v>
      </c>
      <c r="E99" s="17" t="s">
        <v>433</v>
      </c>
      <c r="F99" s="17" t="s">
        <v>220</v>
      </c>
      <c r="G99" s="7"/>
      <c r="H99" s="7" t="n">
        <v>0.01</v>
      </c>
      <c r="I99" s="7" t="n">
        <v>0.01</v>
      </c>
      <c r="J99" s="7" t="n">
        <v>0.01</v>
      </c>
      <c r="K99" s="7" t="n">
        <v>0.01</v>
      </c>
      <c r="L99" s="7" t="n">
        <v>0.01</v>
      </c>
      <c r="M99" s="7" t="n">
        <v>0.1</v>
      </c>
      <c r="N99" s="7" t="n">
        <v>0.01</v>
      </c>
      <c r="O99" s="7" t="n">
        <v>0.01</v>
      </c>
      <c r="P99" s="7"/>
      <c r="Q99" s="7"/>
      <c r="R99" s="7"/>
      <c r="S99" s="7"/>
      <c r="T99" s="7"/>
      <c r="U99" s="7"/>
      <c r="V99" s="7"/>
      <c r="W99" s="7"/>
      <c r="X99" s="7"/>
      <c r="Y99" s="10" t="n">
        <f aca="false">SUM(G99:X99)</f>
        <v>0.17</v>
      </c>
    </row>
    <row r="100" customFormat="false" ht="15" hidden="false" customHeight="false" outlineLevel="0" collapsed="false">
      <c r="A100" s="15" t="n">
        <v>99</v>
      </c>
      <c r="B100" s="17" t="s">
        <v>392</v>
      </c>
      <c r="C100" s="17" t="s">
        <v>419</v>
      </c>
      <c r="D100" s="17" t="s">
        <v>434</v>
      </c>
      <c r="E100" s="17" t="s">
        <v>435</v>
      </c>
      <c r="F100" s="17" t="s">
        <v>220</v>
      </c>
      <c r="G100" s="7"/>
      <c r="H100" s="7"/>
      <c r="I100" s="7"/>
      <c r="J100" s="7"/>
      <c r="K100" s="7" t="n">
        <v>0.01</v>
      </c>
      <c r="L100" s="7"/>
      <c r="M100" s="7"/>
      <c r="N100" s="7"/>
      <c r="O100" s="7"/>
      <c r="P100" s="7" t="n">
        <v>0.05</v>
      </c>
      <c r="Q100" s="7"/>
      <c r="R100" s="7"/>
      <c r="S100" s="7"/>
      <c r="T100" s="7"/>
      <c r="U100" s="7"/>
      <c r="V100" s="7"/>
      <c r="W100" s="7"/>
      <c r="X100" s="7"/>
      <c r="Y100" s="10" t="n">
        <f aca="false">SUM(G100:X100)</f>
        <v>0.06</v>
      </c>
    </row>
    <row r="101" customFormat="false" ht="15" hidden="false" customHeight="false" outlineLevel="0" collapsed="false">
      <c r="A101" s="15" t="n">
        <v>100</v>
      </c>
      <c r="B101" s="17" t="s">
        <v>392</v>
      </c>
      <c r="C101" s="17" t="s">
        <v>419</v>
      </c>
      <c r="D101" s="17" t="s">
        <v>434</v>
      </c>
      <c r="E101" s="17" t="s">
        <v>436</v>
      </c>
      <c r="F101" s="17" t="s">
        <v>220</v>
      </c>
      <c r="G101" s="7" t="n">
        <v>0.01</v>
      </c>
      <c r="H101" s="7" t="n">
        <v>0.01</v>
      </c>
      <c r="I101" s="7"/>
      <c r="J101" s="7"/>
      <c r="K101" s="7" t="n">
        <v>0.01</v>
      </c>
      <c r="L101" s="7"/>
      <c r="M101" s="7"/>
      <c r="N101" s="7"/>
      <c r="O101" s="7"/>
      <c r="P101" s="7" t="n">
        <v>0.02</v>
      </c>
      <c r="Q101" s="7"/>
      <c r="R101" s="7"/>
      <c r="S101" s="7"/>
      <c r="T101" s="7" t="n">
        <v>0.01</v>
      </c>
      <c r="U101" s="7" t="n">
        <v>0.01</v>
      </c>
      <c r="V101" s="7" t="n">
        <v>0.01</v>
      </c>
      <c r="W101" s="7" t="n">
        <v>0.01</v>
      </c>
      <c r="X101" s="7"/>
      <c r="Y101" s="10" t="n">
        <f aca="false">SUM(G101:X101)</f>
        <v>0.09</v>
      </c>
    </row>
    <row r="102" customFormat="false" ht="15" hidden="false" customHeight="false" outlineLevel="0" collapsed="false">
      <c r="A102" s="15" t="n">
        <v>101</v>
      </c>
      <c r="B102" s="17" t="s">
        <v>392</v>
      </c>
      <c r="C102" s="17" t="s">
        <v>419</v>
      </c>
      <c r="D102" s="17" t="s">
        <v>437</v>
      </c>
      <c r="E102" s="17" t="s">
        <v>438</v>
      </c>
      <c r="F102" s="17" t="s">
        <v>220</v>
      </c>
      <c r="G102" s="7" t="n">
        <v>0.01</v>
      </c>
      <c r="H102" s="7" t="n">
        <v>0.01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10" t="n">
        <f aca="false">SUM(G102:X102)</f>
        <v>0.02</v>
      </c>
    </row>
    <row r="103" customFormat="false" ht="15" hidden="false" customHeight="false" outlineLevel="0" collapsed="false">
      <c r="A103" s="15" t="n">
        <v>102</v>
      </c>
      <c r="B103" s="17" t="s">
        <v>392</v>
      </c>
      <c r="C103" s="17" t="s">
        <v>419</v>
      </c>
      <c r="D103" s="15" t="s">
        <v>439</v>
      </c>
      <c r="E103" s="15" t="s">
        <v>440</v>
      </c>
      <c r="F103" s="17" t="s">
        <v>220</v>
      </c>
      <c r="G103" s="7" t="n">
        <v>0.01</v>
      </c>
      <c r="H103" s="7" t="n">
        <v>0.01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10" t="n">
        <f aca="false">SUM(G103:X103)</f>
        <v>0.02</v>
      </c>
    </row>
    <row r="104" customFormat="false" ht="23.85" hidden="false" customHeight="false" outlineLevel="0" collapsed="false">
      <c r="D104" s="4" t="s">
        <v>441</v>
      </c>
      <c r="G104" s="18" t="n">
        <f aca="false">SUM(G2:G103)</f>
        <v>1</v>
      </c>
      <c r="H104" s="18" t="n">
        <f aca="false">SUM(H2:H103)</f>
        <v>1</v>
      </c>
      <c r="I104" s="18" t="n">
        <f aca="false">SUM(I2:I103)</f>
        <v>1</v>
      </c>
      <c r="J104" s="18" t="n">
        <f aca="false">SUM(J2:J103)</f>
        <v>1</v>
      </c>
      <c r="K104" s="18" t="n">
        <f aca="false">SUM(K2:K103)</f>
        <v>1</v>
      </c>
      <c r="L104" s="18" t="n">
        <f aca="false">SUM(L2:L103)</f>
        <v>1</v>
      </c>
      <c r="M104" s="18" t="n">
        <f aca="false">SUM(M2:M103)</f>
        <v>1</v>
      </c>
      <c r="N104" s="18" t="n">
        <f aca="false">SUM(N2:N103)</f>
        <v>1</v>
      </c>
      <c r="O104" s="18" t="n">
        <f aca="false">SUM(O2:O103)</f>
        <v>1</v>
      </c>
      <c r="P104" s="18" t="n">
        <f aca="false">SUM(P2:P103)</f>
        <v>1</v>
      </c>
      <c r="Q104" s="18" t="n">
        <f aca="false">SUM(Q2:Q103)</f>
        <v>1</v>
      </c>
      <c r="R104" s="18" t="n">
        <f aca="false">SUM(R2:R103)</f>
        <v>1</v>
      </c>
      <c r="S104" s="18" t="n">
        <f aca="false">SUM(S2:S103)</f>
        <v>1</v>
      </c>
      <c r="T104" s="18" t="n">
        <f aca="false">SUM(T2:T103)</f>
        <v>1</v>
      </c>
      <c r="U104" s="18" t="n">
        <f aca="false">SUM(U2:U103)</f>
        <v>1</v>
      </c>
      <c r="V104" s="18" t="n">
        <f aca="false">SUM(V2:V103)</f>
        <v>1</v>
      </c>
      <c r="W104" s="18" t="n">
        <f aca="false">SUM(W2:W103)</f>
        <v>1</v>
      </c>
      <c r="X104" s="18" t="n">
        <f aca="false">SUM(X2:X103)</f>
        <v>1</v>
      </c>
    </row>
    <row r="106" customFormat="false" ht="15" hidden="false" customHeight="false" outlineLevel="0" collapsed="false">
      <c r="A106" s="12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2026-10-28T01:49:42Z</dcterms:created>
  <dc:creator>openpyxl</dc:creator>
  <dc:description/>
  <dc:language>en-US</dc:language>
  <cp:lastModifiedBy/>
  <dcterms:modified xsi:type="dcterms:W3CDTF">2026-10-28T01:49:43Z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