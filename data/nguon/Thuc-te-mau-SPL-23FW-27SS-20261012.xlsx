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toraygroup01.sharepoint.com/sites/AP2departmentAPIC.TIVN.tm/Shared Documents/General/業務分担/翻訳業務時間/"/>
    </mc:Choice>
  </mc:AlternateContent>
  <xr:revisionPtr revIDLastSave="2203" documentId="8_{B7E1D6AB-D589-4C5A-BEFA-A120B700C2E1}" xr6:coauthVersionLast="47" xr6:coauthVersionMax="47" xr10:uidLastSave="{1BB43D87-4C82-41AD-991A-18BEF7EB8873}"/>
  <bookViews>
    <workbookView xWindow="28680" yWindow="-120" windowWidth="29040" windowHeight="15720" firstSheet="1" activeTab="12" xr2:uid="{00000000-000D-0000-FFFF-FFFF00000000}"/>
  </bookViews>
  <sheets>
    <sheet name="APIC 翻訳業務時間" sheetId="11" r:id="rId1"/>
    <sheet name="Pivot" sheetId="23" r:id="rId2"/>
    <sheet name="グラフ" sheetId="25" r:id="rId3"/>
    <sheet name="シーズンごと纏め" sheetId="22" r:id="rId4"/>
    <sheet name="全体纏め" sheetId="21" r:id="rId5"/>
    <sheet name="Luan" sheetId="13" r:id="rId6"/>
    <sheet name="Cuong" sheetId="14" r:id="rId7"/>
    <sheet name="Hien" sheetId="15" r:id="rId8"/>
    <sheet name="Nhu" sheetId="16" r:id="rId9"/>
    <sheet name="Khanh" sheetId="17" r:id="rId10"/>
    <sheet name="Q.Huy" sheetId="18" r:id="rId11"/>
    <sheet name="H.Trang" sheetId="19" r:id="rId12"/>
    <sheet name="B.Trang" sheetId="20" r:id="rId13"/>
  </sheets>
  <definedNames>
    <definedName name="_xlnm._FilterDatabase" localSheetId="0" hidden="1">'APIC 翻訳業務時間'!$A$5:$FM$53</definedName>
    <definedName name="brand" localSheetId="12">テーブル3[列1]</definedName>
    <definedName name="brand" localSheetId="6">テーブル3[列1]</definedName>
    <definedName name="brand" localSheetId="11">テーブル3[列1]</definedName>
    <definedName name="brand" localSheetId="7">テーブル3[列1]</definedName>
    <definedName name="brand" localSheetId="9">テーブル3[列1]</definedName>
    <definedName name="brand" localSheetId="8">テーブル3[列1]</definedName>
    <definedName name="brand" localSheetId="10">テーブル3[列1]</definedName>
    <definedName name="brand">テーブル3[列1]</definedName>
    <definedName name="ExternalData_1" localSheetId="4" hidden="1">全体纏め!$A$2:$M$165</definedName>
    <definedName name="ExternalData_2" localSheetId="3" hidden="1">シーズンごと纏め!$A$1:$F$52</definedName>
    <definedName name="スライサー_シーズン">#N/A</definedName>
    <definedName name="スライサー_ブランド担当者">#N/A</definedName>
  </definedNames>
  <calcPr calcId="191028"/>
  <pivotCaches>
    <pivotCache cacheId="3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1" l="1"/>
  <c r="J1" i="21"/>
  <c r="K1" i="21"/>
  <c r="M1" i="21"/>
  <c r="F1" i="21"/>
  <c r="A45" i="18" l="1"/>
  <c r="H45" i="18" a="1"/>
  <c r="H45" i="18" s="1"/>
  <c r="A43" i="18"/>
  <c r="A44" i="18"/>
  <c r="H43" i="18" a="1"/>
  <c r="H43" i="18" s="1"/>
  <c r="H44" i="18" a="1"/>
  <c r="H44" i="18" s="1"/>
  <c r="A41" i="18"/>
  <c r="A42" i="18"/>
  <c r="H41" i="18" a="1"/>
  <c r="H41" i="18" s="1"/>
  <c r="H42" i="18" a="1"/>
  <c r="H42" i="18" s="1"/>
  <c r="A37" i="18"/>
  <c r="A38" i="18"/>
  <c r="A39" i="18"/>
  <c r="A40" i="18"/>
  <c r="H37" i="18" a="1"/>
  <c r="H37" i="18" s="1"/>
  <c r="H38" i="18" a="1"/>
  <c r="H38" i="18" s="1"/>
  <c r="H39" i="18" a="1"/>
  <c r="H39" i="18" s="1"/>
  <c r="H40" i="18" a="1"/>
  <c r="H40" i="18" s="1"/>
  <c r="A36" i="18"/>
  <c r="H36" i="18" a="1"/>
  <c r="H36" i="18" s="1"/>
  <c r="A33" i="18"/>
  <c r="A34" i="18"/>
  <c r="A35" i="18"/>
  <c r="H33" i="18" a="1"/>
  <c r="H33" i="18" s="1"/>
  <c r="H34" i="18" a="1"/>
  <c r="H34" i="18" s="1"/>
  <c r="H35" i="18" a="1"/>
  <c r="H35" i="18" s="1"/>
  <c r="A30" i="18"/>
  <c r="A31" i="18"/>
  <c r="A32" i="18"/>
  <c r="H30" i="18" a="1"/>
  <c r="H30" i="18" s="1"/>
  <c r="H31" i="18" a="1"/>
  <c r="H31" i="18"/>
  <c r="H32" i="18" a="1"/>
  <c r="H32" i="18" s="1"/>
  <c r="A24" i="18"/>
  <c r="A25" i="18"/>
  <c r="A26" i="18"/>
  <c r="A27" i="18"/>
  <c r="A28" i="18"/>
  <c r="A29" i="18"/>
  <c r="H24" i="18" a="1"/>
  <c r="H24" i="18" s="1"/>
  <c r="H25" i="18" a="1"/>
  <c r="H25" i="18" s="1"/>
  <c r="H26" i="18" a="1"/>
  <c r="H26" i="18" s="1"/>
  <c r="H27" i="18" a="1"/>
  <c r="H27" i="18" s="1"/>
  <c r="H28" i="18" a="1"/>
  <c r="H28" i="18" s="1"/>
  <c r="H29" i="18" a="1"/>
  <c r="H29" i="18" s="1"/>
  <c r="A21" i="18"/>
  <c r="A22" i="18"/>
  <c r="A23" i="18"/>
  <c r="H21" i="18" a="1"/>
  <c r="H21" i="18" s="1"/>
  <c r="H22" i="18" a="1"/>
  <c r="H22" i="18" s="1"/>
  <c r="H23" i="18" a="1"/>
  <c r="H23" i="18" s="1"/>
  <c r="A18" i="18"/>
  <c r="A19" i="18"/>
  <c r="A20" i="18"/>
  <c r="H18" i="18" a="1"/>
  <c r="H18" i="18" s="1"/>
  <c r="H19" i="18" a="1"/>
  <c r="H19" i="18" s="1"/>
  <c r="H20" i="18" a="1"/>
  <c r="H20" i="18" s="1"/>
  <c r="A17" i="18"/>
  <c r="H17" i="18" a="1"/>
  <c r="H17" i="18" s="1"/>
  <c r="A27" i="17"/>
  <c r="H27" i="17" a="1"/>
  <c r="H27" i="17" s="1"/>
  <c r="A26" i="17"/>
  <c r="A25" i="17"/>
  <c r="H25" i="17" a="1"/>
  <c r="H25" i="17" s="1"/>
  <c r="A24" i="17"/>
  <c r="H24" i="17" a="1"/>
  <c r="H24" i="17" s="1"/>
  <c r="A23" i="17"/>
  <c r="H23" i="17" a="1"/>
  <c r="H23" i="17" s="1"/>
  <c r="A22" i="17"/>
  <c r="H22" i="17" a="1"/>
  <c r="H22" i="17" s="1"/>
  <c r="A21" i="17"/>
  <c r="H21" i="17" a="1"/>
  <c r="H21" i="17" s="1"/>
  <c r="A20" i="17"/>
  <c r="H20" i="17" a="1"/>
  <c r="H20" i="17" s="1"/>
  <c r="A19" i="17"/>
  <c r="H19" i="17" a="1"/>
  <c r="H19" i="17" s="1"/>
  <c r="A34" i="16"/>
  <c r="H34" i="16" a="1"/>
  <c r="H34" i="16" s="1"/>
  <c r="A23" i="16"/>
  <c r="H23" i="16" a="1"/>
  <c r="H23" i="16" s="1"/>
  <c r="A22" i="16"/>
  <c r="H22" i="16" a="1"/>
  <c r="H22" i="16" s="1"/>
  <c r="A33" i="16"/>
  <c r="H33" i="16" a="1"/>
  <c r="H33" i="16" s="1"/>
  <c r="A32" i="16"/>
  <c r="H32" i="16" a="1"/>
  <c r="H32" i="16" s="1"/>
  <c r="A31" i="16"/>
  <c r="H31" i="16" a="1"/>
  <c r="H31" i="16" s="1"/>
  <c r="A29" i="16"/>
  <c r="A30" i="16"/>
  <c r="H29" i="16" a="1"/>
  <c r="H29" i="16" s="1"/>
  <c r="H30" i="16" a="1"/>
  <c r="H30" i="16" s="1"/>
  <c r="A28" i="16"/>
  <c r="H28" i="16" a="1"/>
  <c r="H28" i="16" s="1"/>
  <c r="A25" i="16"/>
  <c r="A26" i="16"/>
  <c r="A27" i="16"/>
  <c r="H25" i="16" a="1"/>
  <c r="H25" i="16" s="1"/>
  <c r="H26" i="16" a="1"/>
  <c r="H26" i="16" s="1"/>
  <c r="H27" i="16" a="1"/>
  <c r="H27" i="16" s="1"/>
  <c r="A24" i="16"/>
  <c r="H24" i="16" a="1"/>
  <c r="H24" i="16" s="1"/>
  <c r="A21" i="16"/>
  <c r="H21" i="16" a="1"/>
  <c r="H21" i="16" s="1"/>
  <c r="A19" i="16"/>
  <c r="A20" i="16"/>
  <c r="H19" i="16" a="1"/>
  <c r="H19" i="16" s="1"/>
  <c r="H20" i="16" a="1"/>
  <c r="H20" i="16" s="1"/>
  <c r="A17" i="16"/>
  <c r="A18" i="16"/>
  <c r="H17" i="16" a="1"/>
  <c r="H17" i="16" s="1"/>
  <c r="H18" i="16" a="1"/>
  <c r="H18" i="16" s="1"/>
  <c r="A47" i="15"/>
  <c r="A48" i="15"/>
  <c r="A49" i="15"/>
  <c r="H47" i="15" a="1"/>
  <c r="H47" i="15" s="1"/>
  <c r="H48" i="15" a="1"/>
  <c r="H48" i="15" s="1"/>
  <c r="H49" i="15" a="1"/>
  <c r="H49" i="15" s="1"/>
  <c r="A44" i="15"/>
  <c r="A45" i="15"/>
  <c r="A46" i="15"/>
  <c r="H44" i="15" a="1"/>
  <c r="H44" i="15" s="1"/>
  <c r="H45" i="15" a="1"/>
  <c r="H45" i="15" s="1"/>
  <c r="H46" i="15" a="1"/>
  <c r="H46" i="15" s="1"/>
  <c r="A43" i="15"/>
  <c r="H43" i="15" a="1"/>
  <c r="H43" i="15" s="1"/>
  <c r="A40" i="15"/>
  <c r="H40" i="15" a="1"/>
  <c r="H40" i="15" s="1"/>
  <c r="A41" i="15"/>
  <c r="H41" i="15" a="1"/>
  <c r="H41" i="15" s="1"/>
  <c r="A24" i="15"/>
  <c r="H24" i="15" a="1"/>
  <c r="H24" i="15" s="1"/>
  <c r="A42" i="15"/>
  <c r="H42" i="15" a="1"/>
  <c r="H42" i="15" s="1"/>
  <c r="A38" i="15"/>
  <c r="A39" i="15"/>
  <c r="H38" i="15" a="1"/>
  <c r="H38" i="15" s="1"/>
  <c r="H39" i="15" a="1"/>
  <c r="H39" i="15" s="1"/>
  <c r="A36" i="15"/>
  <c r="A37" i="15"/>
  <c r="H36" i="15" a="1"/>
  <c r="H36" i="15" s="1"/>
  <c r="H37" i="15" a="1"/>
  <c r="H37" i="15" s="1"/>
  <c r="A34" i="15"/>
  <c r="A35" i="15"/>
  <c r="H34" i="15" a="1"/>
  <c r="H34" i="15" s="1"/>
  <c r="H35" i="15" a="1"/>
  <c r="H35" i="15" s="1"/>
  <c r="A32" i="15"/>
  <c r="A33" i="15"/>
  <c r="H32" i="15" a="1"/>
  <c r="H32" i="15" s="1"/>
  <c r="H33" i="15" a="1"/>
  <c r="H33" i="15" s="1"/>
  <c r="A30" i="15"/>
  <c r="A31" i="15"/>
  <c r="H30" i="15" a="1"/>
  <c r="H30" i="15" s="1"/>
  <c r="H31" i="15" a="1"/>
  <c r="H31" i="15" s="1"/>
  <c r="A27" i="15"/>
  <c r="A28" i="15"/>
  <c r="A29" i="15"/>
  <c r="H27" i="15" a="1"/>
  <c r="H27" i="15" s="1"/>
  <c r="H28" i="15" a="1"/>
  <c r="H28" i="15" s="1"/>
  <c r="H29" i="15" a="1"/>
  <c r="H29" i="15" s="1"/>
  <c r="A23" i="15"/>
  <c r="A25" i="15"/>
  <c r="A26" i="15"/>
  <c r="H23" i="15" a="1"/>
  <c r="H23" i="15" s="1"/>
  <c r="H25" i="15" a="1"/>
  <c r="H25" i="15" s="1"/>
  <c r="H26" i="15" a="1"/>
  <c r="H26" i="15" s="1"/>
  <c r="A21" i="15"/>
  <c r="A22" i="15"/>
  <c r="H21" i="15" a="1"/>
  <c r="H21" i="15" s="1"/>
  <c r="H22" i="15" a="1"/>
  <c r="H22" i="15" s="1"/>
  <c r="A19" i="15"/>
  <c r="A20" i="15"/>
  <c r="H19" i="15" a="1"/>
  <c r="H19" i="15" s="1"/>
  <c r="H20" i="15" a="1"/>
  <c r="H20" i="15" s="1"/>
  <c r="A18" i="15"/>
  <c r="H18" i="15" a="1"/>
  <c r="H18" i="15" s="1"/>
  <c r="A53" i="14"/>
  <c r="A54" i="14"/>
  <c r="H53" i="14" a="1"/>
  <c r="H53" i="14" s="1"/>
  <c r="H54" i="14" a="1"/>
  <c r="H54" i="14" s="1"/>
  <c r="A51" i="14"/>
  <c r="A52" i="14"/>
  <c r="H51" i="14" a="1"/>
  <c r="H51" i="14" s="1"/>
  <c r="H52" i="14" a="1"/>
  <c r="H52" i="14" s="1"/>
  <c r="A49" i="14"/>
  <c r="A50" i="14"/>
  <c r="H49" i="14" a="1"/>
  <c r="H49" i="14" s="1"/>
  <c r="H50" i="14" a="1"/>
  <c r="H50" i="14" s="1"/>
  <c r="A47" i="14"/>
  <c r="A48" i="14"/>
  <c r="H47" i="14" a="1"/>
  <c r="H47" i="14" s="1"/>
  <c r="H48" i="14" a="1"/>
  <c r="H48" i="14" s="1"/>
  <c r="A45" i="14"/>
  <c r="A46" i="14"/>
  <c r="H45" i="14" a="1"/>
  <c r="H45" i="14" s="1"/>
  <c r="H46" i="14" a="1"/>
  <c r="H46" i="14" s="1"/>
  <c r="A41" i="14"/>
  <c r="A42" i="14"/>
  <c r="A43" i="14"/>
  <c r="A44" i="14"/>
  <c r="H41" i="14" a="1"/>
  <c r="H41" i="14" s="1"/>
  <c r="H42" i="14" a="1"/>
  <c r="H42" i="14" s="1"/>
  <c r="H43" i="14" a="1"/>
  <c r="H43" i="14" s="1"/>
  <c r="H44" i="14" a="1"/>
  <c r="H44" i="14" s="1"/>
  <c r="A39" i="14"/>
  <c r="A40" i="14"/>
  <c r="H39" i="14" a="1"/>
  <c r="H39" i="14" s="1"/>
  <c r="H40" i="14" a="1"/>
  <c r="H40" i="14" s="1"/>
  <c r="A35" i="14"/>
  <c r="A36" i="14"/>
  <c r="A37" i="14"/>
  <c r="A38" i="14"/>
  <c r="H35" i="14" a="1"/>
  <c r="H35" i="14" s="1"/>
  <c r="H36" i="14" a="1"/>
  <c r="H36" i="14" s="1"/>
  <c r="H37" i="14" a="1"/>
  <c r="H37" i="14" s="1"/>
  <c r="H38" i="14" a="1"/>
  <c r="H38" i="14" s="1"/>
  <c r="A33" i="14"/>
  <c r="A34" i="14"/>
  <c r="H33" i="14" a="1"/>
  <c r="H33" i="14" s="1"/>
  <c r="H34" i="14" a="1"/>
  <c r="H34" i="14" s="1"/>
  <c r="A30" i="14"/>
  <c r="A31" i="14"/>
  <c r="A32" i="14"/>
  <c r="H30" i="14" a="1"/>
  <c r="H30" i="14" s="1"/>
  <c r="H31" i="14" a="1"/>
  <c r="H31" i="14" s="1"/>
  <c r="H32" i="14" a="1"/>
  <c r="H32" i="14" s="1"/>
  <c r="A28" i="14"/>
  <c r="A29" i="14"/>
  <c r="H28" i="14" a="1"/>
  <c r="H28" i="14" s="1"/>
  <c r="H29" i="14" a="1"/>
  <c r="H29" i="14" s="1"/>
  <c r="A24" i="14"/>
  <c r="A25" i="14"/>
  <c r="A26" i="14"/>
  <c r="A27" i="14"/>
  <c r="H24" i="14" a="1"/>
  <c r="H24" i="14" s="1"/>
  <c r="H25" i="14" a="1"/>
  <c r="H25" i="14" s="1"/>
  <c r="H26" i="14" a="1"/>
  <c r="H26" i="14" s="1"/>
  <c r="H27" i="14" a="1"/>
  <c r="H27" i="14" s="1"/>
  <c r="A22" i="14"/>
  <c r="A23" i="14"/>
  <c r="H22" i="14" a="1"/>
  <c r="H22" i="14" s="1"/>
  <c r="H23" i="14" a="1"/>
  <c r="H23" i="14" s="1"/>
  <c r="A19" i="14"/>
  <c r="A20" i="14"/>
  <c r="A21" i="14"/>
  <c r="H19" i="14" a="1"/>
  <c r="H19" i="14" s="1"/>
  <c r="H20" i="14" a="1"/>
  <c r="H20" i="14" s="1"/>
  <c r="H21" i="14" a="1"/>
  <c r="H21" i="14" s="1"/>
  <c r="H14" i="20" a="1"/>
  <c r="H14" i="20" s="1"/>
  <c r="A14" i="20"/>
  <c r="H13" i="20" a="1"/>
  <c r="H13" i="20" s="1"/>
  <c r="A13" i="20"/>
  <c r="H18" i="19" a="1"/>
  <c r="H18" i="19" s="1"/>
  <c r="A18" i="19"/>
  <c r="H17" i="19" a="1"/>
  <c r="H17" i="19" s="1"/>
  <c r="A17" i="19"/>
  <c r="H16" i="19" a="1"/>
  <c r="H16" i="19" s="1"/>
  <c r="A16" i="19"/>
  <c r="H15" i="19" a="1"/>
  <c r="H15" i="19" s="1"/>
  <c r="A15" i="19"/>
  <c r="H14" i="19" a="1"/>
  <c r="H14" i="19" s="1"/>
  <c r="A14" i="19"/>
  <c r="H13" i="19" a="1"/>
  <c r="H13" i="19" s="1"/>
  <c r="A13" i="19"/>
  <c r="H16" i="18" a="1"/>
  <c r="H16" i="18" s="1"/>
  <c r="A16" i="18"/>
  <c r="H15" i="18" a="1"/>
  <c r="H15" i="18" s="1"/>
  <c r="A15" i="18"/>
  <c r="H14" i="18" a="1"/>
  <c r="H14" i="18" s="1"/>
  <c r="A14" i="18"/>
  <c r="H13" i="18" a="1"/>
  <c r="H13" i="18" s="1"/>
  <c r="A13" i="18"/>
  <c r="H18" i="17" a="1"/>
  <c r="H18" i="17" s="1"/>
  <c r="A18" i="17"/>
  <c r="H17" i="17" a="1"/>
  <c r="H17" i="17" s="1"/>
  <c r="A17" i="17"/>
  <c r="H16" i="17" a="1"/>
  <c r="H16" i="17" s="1"/>
  <c r="A16" i="17"/>
  <c r="H15" i="17" a="1"/>
  <c r="H15" i="17" s="1"/>
  <c r="A15" i="17"/>
  <c r="H14" i="17" a="1"/>
  <c r="H14" i="17" s="1"/>
  <c r="A14" i="17"/>
  <c r="H13" i="17" a="1"/>
  <c r="H13" i="17" s="1"/>
  <c r="A13" i="17"/>
  <c r="H16" i="16" a="1"/>
  <c r="H16" i="16" s="1"/>
  <c r="A16" i="16"/>
  <c r="H15" i="16" a="1"/>
  <c r="H15" i="16" s="1"/>
  <c r="A15" i="16"/>
  <c r="H14" i="16" a="1"/>
  <c r="H14" i="16" s="1"/>
  <c r="A14" i="16"/>
  <c r="H13" i="16" a="1"/>
  <c r="H13" i="16" s="1"/>
  <c r="A13" i="16"/>
  <c r="H17" i="15" a="1"/>
  <c r="H17" i="15" s="1"/>
  <c r="A17" i="15"/>
  <c r="H16" i="15" a="1"/>
  <c r="H16" i="15" s="1"/>
  <c r="A16" i="15"/>
  <c r="H15" i="15" a="1"/>
  <c r="H15" i="15" s="1"/>
  <c r="A15" i="15"/>
  <c r="H14" i="15" a="1"/>
  <c r="H14" i="15" s="1"/>
  <c r="A14" i="15"/>
  <c r="H13" i="15" a="1"/>
  <c r="H13" i="15" s="1"/>
  <c r="A13" i="15"/>
  <c r="H18" i="14" a="1"/>
  <c r="H18" i="14" s="1"/>
  <c r="A18" i="14"/>
  <c r="H17" i="14" a="1"/>
  <c r="H17" i="14" s="1"/>
  <c r="A17" i="14"/>
  <c r="H16" i="14" a="1"/>
  <c r="H16" i="14" s="1"/>
  <c r="A16" i="14"/>
  <c r="H15" i="14" a="1"/>
  <c r="H15" i="14" s="1"/>
  <c r="A15" i="14"/>
  <c r="H14" i="14" a="1"/>
  <c r="H14" i="14" s="1"/>
  <c r="A14" i="14"/>
  <c r="H13" i="14" a="1"/>
  <c r="H13" i="14" s="1"/>
  <c r="A13" i="14"/>
  <c r="A18" i="13"/>
  <c r="H18" i="13" a="1"/>
  <c r="H18" i="13" s="1"/>
  <c r="A17" i="13"/>
  <c r="H17" i="13" a="1"/>
  <c r="H17" i="13" s="1"/>
  <c r="A16" i="13"/>
  <c r="H16" i="13" a="1"/>
  <c r="H16" i="13" s="1"/>
  <c r="A15" i="13"/>
  <c r="H15" i="13" a="1"/>
  <c r="H15" i="13" s="1"/>
  <c r="A14" i="13"/>
  <c r="H14" i="13" a="1"/>
  <c r="H14" i="13" s="1"/>
  <c r="H13" i="13" a="1"/>
  <c r="H13" i="13" s="1"/>
  <c r="A13" i="13"/>
  <c r="DB41" i="11" l="1"/>
  <c r="AQ15" i="11"/>
  <c r="EK53" i="11"/>
  <c r="ED53" i="11"/>
  <c r="EB53" i="11"/>
  <c r="DP53" i="11"/>
  <c r="DN53" i="11"/>
  <c r="DB53" i="11"/>
  <c r="CZ53" i="11"/>
  <c r="CU53" i="11"/>
  <c r="CS53" i="11"/>
  <c r="CG53" i="11"/>
  <c r="BX53" i="11"/>
  <c r="BS53" i="11"/>
  <c r="BG53" i="11"/>
  <c r="BC53" i="11"/>
  <c r="AZ53" i="11"/>
  <c r="V53" i="11"/>
  <c r="EI52" i="11"/>
  <c r="EF52" i="11"/>
  <c r="ED52" i="11"/>
  <c r="EB52" i="11"/>
  <c r="DY52" i="11"/>
  <c r="DW52" i="11"/>
  <c r="DU52" i="11"/>
  <c r="DR52" i="11"/>
  <c r="DP52" i="11"/>
  <c r="DK52" i="11"/>
  <c r="DG52" i="11"/>
  <c r="DD52" i="11"/>
  <c r="DE52" i="11" s="1"/>
  <c r="DB52" i="11"/>
  <c r="CU52" i="11"/>
  <c r="CS52" i="11"/>
  <c r="CP52" i="11"/>
  <c r="CG52" i="11"/>
  <c r="CE52" i="11"/>
  <c r="CB52" i="11"/>
  <c r="BX52" i="11"/>
  <c r="BS52" i="11"/>
  <c r="BE52" i="11"/>
  <c r="BC52" i="11"/>
  <c r="AV52" i="11"/>
  <c r="AQ52" i="11"/>
  <c r="AO52" i="11"/>
  <c r="V52" i="11"/>
  <c r="ED51" i="11"/>
  <c r="EB51" i="11"/>
  <c r="DW51" i="11"/>
  <c r="DU51" i="11"/>
  <c r="DN51" i="11"/>
  <c r="DB51" i="11"/>
  <c r="CZ51" i="11"/>
  <c r="CU51" i="11"/>
  <c r="CS51" i="11"/>
  <c r="CP51" i="11"/>
  <c r="BX51" i="11"/>
  <c r="BS51" i="11"/>
  <c r="BQ51" i="11"/>
  <c r="AH51" i="11"/>
  <c r="V51" i="11"/>
  <c r="EI50" i="11"/>
  <c r="DP50" i="11"/>
  <c r="DN50" i="11"/>
  <c r="DD50" i="11"/>
  <c r="DB50" i="11"/>
  <c r="CU50" i="11"/>
  <c r="CS50" i="11"/>
  <c r="CE50" i="11"/>
  <c r="BX50" i="11"/>
  <c r="BE50" i="11"/>
  <c r="AX50" i="11"/>
  <c r="V50" i="11"/>
  <c r="EI49" i="11"/>
  <c r="ED49" i="11"/>
  <c r="EB49" i="11"/>
  <c r="DW49" i="11"/>
  <c r="DP49" i="11"/>
  <c r="DB49" i="11"/>
  <c r="CZ49" i="11"/>
  <c r="CU49" i="11"/>
  <c r="CS49" i="11"/>
  <c r="CP49" i="11"/>
  <c r="CE49" i="11"/>
  <c r="BX49" i="11"/>
  <c r="AX49" i="11"/>
  <c r="AV49" i="11"/>
  <c r="V49" i="11"/>
  <c r="EK48" i="11"/>
  <c r="EI48" i="11"/>
  <c r="ED48" i="11"/>
  <c r="EB48" i="11"/>
  <c r="DW48" i="11"/>
  <c r="DU48" i="11"/>
  <c r="DP48" i="11"/>
  <c r="DN48" i="11"/>
  <c r="DG48" i="11"/>
  <c r="DE48" i="11"/>
  <c r="DB48" i="11"/>
  <c r="CZ48" i="11"/>
  <c r="CU48" i="11"/>
  <c r="CS48" i="11"/>
  <c r="CP48" i="11"/>
  <c r="CE48" i="11"/>
  <c r="BZ48" i="11"/>
  <c r="AX48" i="11"/>
  <c r="AV48" i="11"/>
  <c r="AQ48" i="11"/>
  <c r="V48" i="11"/>
  <c r="EF47" i="11"/>
  <c r="ED47" i="11"/>
  <c r="EB47" i="11"/>
  <c r="DW47" i="11"/>
  <c r="DU47" i="11"/>
  <c r="DR47" i="11"/>
  <c r="DP47" i="11"/>
  <c r="DD47" i="11"/>
  <c r="DB47" i="11"/>
  <c r="CZ47" i="11"/>
  <c r="CU47" i="11"/>
  <c r="CP47" i="11"/>
  <c r="CG47" i="11"/>
  <c r="CE47" i="11"/>
  <c r="BX47" i="11"/>
  <c r="BE47" i="11"/>
  <c r="BC47" i="11"/>
  <c r="AH47" i="11"/>
  <c r="V47" i="11"/>
  <c r="EI46" i="11"/>
  <c r="ED46" i="11"/>
  <c r="EB46" i="11"/>
  <c r="DP46" i="11"/>
  <c r="DN46" i="11"/>
  <c r="DB46" i="11"/>
  <c r="CZ46" i="11"/>
  <c r="CW46" i="11"/>
  <c r="CS46" i="11"/>
  <c r="CP46" i="11"/>
  <c r="CI46" i="11"/>
  <c r="CE46" i="11"/>
  <c r="CB46" i="11"/>
  <c r="BX46" i="11"/>
  <c r="BU46" i="11"/>
  <c r="BS46" i="11"/>
  <c r="BQ46" i="11"/>
  <c r="BN46" i="11"/>
  <c r="BG46" i="11"/>
  <c r="AZ46" i="11"/>
  <c r="AV46" i="11"/>
  <c r="AS46" i="11"/>
  <c r="AQ46" i="11"/>
  <c r="AL46" i="11"/>
  <c r="V46" i="11"/>
  <c r="EK45" i="11"/>
  <c r="ED45" i="11"/>
  <c r="EB45" i="11"/>
  <c r="DW45" i="11"/>
  <c r="DU45" i="11"/>
  <c r="DP45" i="11"/>
  <c r="DB45" i="11"/>
  <c r="CU45" i="11"/>
  <c r="CS45" i="11"/>
  <c r="CE45" i="11"/>
  <c r="BX45" i="11"/>
  <c r="BS45" i="11"/>
  <c r="BE45" i="11"/>
  <c r="BC45" i="11"/>
  <c r="AS45" i="11"/>
  <c r="AQ45" i="11"/>
  <c r="AH45" i="11"/>
  <c r="V45" i="11"/>
  <c r="EK44" i="11"/>
  <c r="EI44" i="11"/>
  <c r="DU44" i="11"/>
  <c r="DP44" i="11"/>
  <c r="DN44" i="11"/>
  <c r="DB44" i="11"/>
  <c r="CS44" i="11"/>
  <c r="CG44" i="11"/>
  <c r="CE44" i="11"/>
  <c r="BX44" i="11"/>
  <c r="BE44" i="11"/>
  <c r="BC44" i="11"/>
  <c r="AX44" i="11"/>
  <c r="AV44" i="11"/>
  <c r="AS44" i="11"/>
  <c r="AH44" i="11"/>
  <c r="V44" i="11"/>
  <c r="EK43" i="11"/>
  <c r="EI43" i="11"/>
  <c r="EF43" i="11"/>
  <c r="DY43" i="11"/>
  <c r="DR43" i="11"/>
  <c r="DP43" i="11"/>
  <c r="DN43" i="11"/>
  <c r="DK43" i="11"/>
  <c r="DD43" i="11"/>
  <c r="DB43" i="11"/>
  <c r="CZ43" i="11"/>
  <c r="CW43" i="11"/>
  <c r="CU43" i="11"/>
  <c r="CS43" i="11"/>
  <c r="CP43" i="11"/>
  <c r="CI43" i="11"/>
  <c r="CG43" i="11"/>
  <c r="CE43" i="11"/>
  <c r="CB43" i="11"/>
  <c r="BX43" i="11"/>
  <c r="BU43" i="11"/>
  <c r="BN43" i="11"/>
  <c r="BE43" i="11"/>
  <c r="BC43" i="11"/>
  <c r="AV43" i="11"/>
  <c r="AQ43" i="11"/>
  <c r="AO43" i="11"/>
  <c r="AJ43" i="11"/>
  <c r="V43" i="11"/>
  <c r="DW42" i="11"/>
  <c r="DU42" i="11"/>
  <c r="DP42" i="11"/>
  <c r="DG42" i="11"/>
  <c r="DB42" i="11"/>
  <c r="CU42" i="11"/>
  <c r="CS42" i="11"/>
  <c r="CG42" i="11"/>
  <c r="CE42" i="11"/>
  <c r="BZ42" i="11"/>
  <c r="BS42" i="11"/>
  <c r="BC42" i="11"/>
  <c r="AX42" i="11"/>
  <c r="AQ42" i="11"/>
  <c r="AO42" i="11"/>
  <c r="V42" i="11"/>
  <c r="EB41" i="11"/>
  <c r="DW41" i="11"/>
  <c r="DU41" i="11"/>
  <c r="DP41" i="11"/>
  <c r="DN41" i="11"/>
  <c r="CU41" i="11"/>
  <c r="CS41" i="11"/>
  <c r="CG41" i="11"/>
  <c r="CE41" i="11"/>
  <c r="BX41" i="11"/>
  <c r="BS41" i="11"/>
  <c r="BE41" i="11"/>
  <c r="BC41" i="11"/>
  <c r="AH41" i="11"/>
  <c r="V41" i="11"/>
  <c r="EK40" i="11"/>
  <c r="EI40" i="11"/>
  <c r="ED40" i="11"/>
  <c r="DP40" i="11"/>
  <c r="DN40" i="11"/>
  <c r="DK40" i="11"/>
  <c r="DD40" i="11"/>
  <c r="DB40" i="11"/>
  <c r="CZ40" i="11"/>
  <c r="CW40" i="11"/>
  <c r="CU40" i="11"/>
  <c r="CS40" i="11"/>
  <c r="CP40" i="11"/>
  <c r="CN40" i="11"/>
  <c r="CG40" i="11"/>
  <c r="CE40" i="11"/>
  <c r="CB40" i="11"/>
  <c r="BX40" i="11"/>
  <c r="BS40" i="11"/>
  <c r="BN40" i="11"/>
  <c r="BG40" i="11"/>
  <c r="AZ40" i="11"/>
  <c r="AX40" i="11"/>
  <c r="AV40" i="11"/>
  <c r="AS40" i="11"/>
  <c r="AQ40" i="11"/>
  <c r="AH40" i="11"/>
  <c r="V40" i="11"/>
  <c r="ED39" i="11"/>
  <c r="DW39" i="11"/>
  <c r="DU39" i="11"/>
  <c r="DN39" i="11"/>
  <c r="DB39" i="11"/>
  <c r="CU39" i="11"/>
  <c r="CS39" i="11"/>
  <c r="CG39" i="11"/>
  <c r="CE39" i="11"/>
  <c r="BZ39" i="11"/>
  <c r="BE39" i="11"/>
  <c r="BC39" i="11"/>
  <c r="AX39" i="11"/>
  <c r="AQ39" i="11"/>
  <c r="AH39" i="11"/>
  <c r="V39" i="11"/>
  <c r="EB38" i="11"/>
  <c r="DW38" i="11"/>
  <c r="DU38" i="11"/>
  <c r="DP38" i="11"/>
  <c r="DN38" i="11"/>
  <c r="DK38" i="11"/>
  <c r="DD38" i="11"/>
  <c r="DB38" i="11"/>
  <c r="CZ38" i="11"/>
  <c r="CU38" i="11"/>
  <c r="CG38" i="11"/>
  <c r="BZ38" i="11"/>
  <c r="BX38" i="11"/>
  <c r="BS38" i="11"/>
  <c r="AX38" i="11"/>
  <c r="AV38" i="11"/>
  <c r="AQ38" i="11"/>
  <c r="AH38" i="11"/>
  <c r="V38" i="11"/>
  <c r="ED37" i="11"/>
  <c r="EB37" i="11"/>
  <c r="DW37" i="11"/>
  <c r="DU37" i="11"/>
  <c r="DP37" i="11"/>
  <c r="DN37" i="11"/>
  <c r="DB37" i="11"/>
  <c r="CZ37" i="11"/>
  <c r="CU37" i="11"/>
  <c r="CS37" i="11"/>
  <c r="CE37" i="11"/>
  <c r="BX37" i="11"/>
  <c r="BS37" i="11"/>
  <c r="BC37" i="11"/>
  <c r="AX37" i="11"/>
  <c r="AH37" i="11"/>
  <c r="V37" i="11"/>
  <c r="EK36" i="11"/>
  <c r="EI36" i="11"/>
  <c r="ED36" i="11"/>
  <c r="DW36" i="11"/>
  <c r="DP36" i="11"/>
  <c r="DN36" i="11"/>
  <c r="DB36" i="11"/>
  <c r="CZ36" i="11"/>
  <c r="CU36" i="11"/>
  <c r="CS36" i="11"/>
  <c r="CG36" i="11"/>
  <c r="CE36" i="11"/>
  <c r="BZ36" i="11"/>
  <c r="BX36" i="11"/>
  <c r="AX36" i="11"/>
  <c r="AV36" i="11"/>
  <c r="AQ36" i="11"/>
  <c r="AH36" i="11"/>
  <c r="V36" i="11"/>
  <c r="ED35" i="11"/>
  <c r="EB35" i="11"/>
  <c r="DU35" i="11"/>
  <c r="DP35" i="11"/>
  <c r="DB35" i="11"/>
  <c r="CZ35" i="11"/>
  <c r="CU35" i="11"/>
  <c r="CG35" i="11"/>
  <c r="CE35" i="11"/>
  <c r="BX35" i="11"/>
  <c r="BU35" i="11"/>
  <c r="BS35" i="11"/>
  <c r="BE35" i="11"/>
  <c r="BC35" i="11"/>
  <c r="AX35" i="11"/>
  <c r="AV35" i="11"/>
  <c r="AH35" i="11"/>
  <c r="V35" i="11"/>
  <c r="EK34" i="11"/>
  <c r="EI34" i="11"/>
  <c r="ED34" i="11"/>
  <c r="EB34" i="11"/>
  <c r="DN34" i="11"/>
  <c r="DB34" i="11"/>
  <c r="CZ34" i="11"/>
  <c r="CU34" i="11"/>
  <c r="CS34" i="11"/>
  <c r="CG34" i="11"/>
  <c r="CE34" i="11"/>
  <c r="BX34" i="11"/>
  <c r="BS34" i="11"/>
  <c r="BE34" i="11"/>
  <c r="BC34" i="11"/>
  <c r="AX34" i="11"/>
  <c r="AV34" i="11"/>
  <c r="AH34" i="11"/>
  <c r="V34" i="11"/>
  <c r="EK33" i="11"/>
  <c r="EI33" i="11"/>
  <c r="ED33" i="11"/>
  <c r="EB33" i="11"/>
  <c r="DW33" i="11"/>
  <c r="DP33" i="11"/>
  <c r="DN33" i="11"/>
  <c r="DB33" i="11"/>
  <c r="CZ33" i="11"/>
  <c r="CU33" i="11"/>
  <c r="CS33" i="11"/>
  <c r="CE33" i="11"/>
  <c r="BX33" i="11"/>
  <c r="BU33" i="11"/>
  <c r="BS33" i="11"/>
  <c r="AX33" i="11"/>
  <c r="AS33" i="11"/>
  <c r="AH33" i="11"/>
  <c r="V33" i="11"/>
  <c r="EI32" i="11"/>
  <c r="ED32" i="11"/>
  <c r="EB32" i="11"/>
  <c r="DP32" i="11"/>
  <c r="DN32" i="11"/>
  <c r="DB32" i="11"/>
  <c r="CZ32" i="11"/>
  <c r="CU32" i="11"/>
  <c r="CS32" i="11"/>
  <c r="CG32" i="11"/>
  <c r="CE32" i="11"/>
  <c r="BZ32" i="11"/>
  <c r="BX32" i="11"/>
  <c r="BU32" i="11"/>
  <c r="BS32" i="11"/>
  <c r="BQ32" i="11"/>
  <c r="BG32" i="11"/>
  <c r="AZ32" i="11"/>
  <c r="AX32" i="11"/>
  <c r="AV32" i="11"/>
  <c r="AS32" i="11"/>
  <c r="AQ32" i="11"/>
  <c r="V32" i="11"/>
  <c r="EI31" i="11"/>
  <c r="ED31" i="11"/>
  <c r="EB31" i="11"/>
  <c r="DW31" i="11"/>
  <c r="DU31" i="11"/>
  <c r="DP31" i="11"/>
  <c r="DB31" i="11"/>
  <c r="CZ31" i="11"/>
  <c r="CW31" i="11"/>
  <c r="CU31" i="11"/>
  <c r="CS31" i="11"/>
  <c r="CP31" i="11"/>
  <c r="CE31" i="11"/>
  <c r="BX31" i="11"/>
  <c r="BU31" i="11"/>
  <c r="BS31" i="11"/>
  <c r="BN31" i="11"/>
  <c r="AX31" i="11"/>
  <c r="AV31" i="11"/>
  <c r="AS31" i="11"/>
  <c r="AQ31" i="11"/>
  <c r="AH31" i="11"/>
  <c r="V31" i="11"/>
  <c r="ED30" i="11"/>
  <c r="EB30" i="11"/>
  <c r="DU30" i="11"/>
  <c r="DP30" i="11"/>
  <c r="DN30" i="11"/>
  <c r="DG30" i="11"/>
  <c r="DB30" i="11"/>
  <c r="CS30" i="11"/>
  <c r="CG30" i="11"/>
  <c r="CE30" i="11"/>
  <c r="CB30" i="11"/>
  <c r="BZ30" i="11"/>
  <c r="BX30" i="11"/>
  <c r="BS30" i="11"/>
  <c r="BE30" i="11"/>
  <c r="BC30" i="11"/>
  <c r="AX30" i="11"/>
  <c r="AV30" i="11"/>
  <c r="AQ30" i="11"/>
  <c r="AO30" i="11"/>
  <c r="V30" i="11"/>
  <c r="EK29" i="11"/>
  <c r="EI29" i="11"/>
  <c r="ED29" i="11"/>
  <c r="DW29" i="11"/>
  <c r="DU29" i="11"/>
  <c r="DP29" i="11"/>
  <c r="DB29" i="11"/>
  <c r="CU29" i="11"/>
  <c r="CS29" i="11"/>
  <c r="CN29" i="11"/>
  <c r="CE29" i="11"/>
  <c r="BS29" i="11"/>
  <c r="AX29" i="11"/>
  <c r="AH29" i="11"/>
  <c r="V29" i="11"/>
  <c r="EB28" i="11"/>
  <c r="DY28" i="11"/>
  <c r="DW28" i="11"/>
  <c r="DR28" i="11"/>
  <c r="DP28" i="11"/>
  <c r="DN28" i="11"/>
  <c r="DK28" i="11"/>
  <c r="DD28" i="11"/>
  <c r="DB28" i="11"/>
  <c r="CZ28" i="11"/>
  <c r="CW28" i="11"/>
  <c r="CU28" i="11"/>
  <c r="CS28" i="11"/>
  <c r="CP28" i="11"/>
  <c r="CI28" i="11"/>
  <c r="CG28" i="11"/>
  <c r="CE28" i="11"/>
  <c r="CB28" i="11"/>
  <c r="BZ28" i="11"/>
  <c r="BX28" i="11"/>
  <c r="BU28" i="11"/>
  <c r="BN28" i="11"/>
  <c r="BG28" i="11"/>
  <c r="BE28" i="11"/>
  <c r="BC28" i="11"/>
  <c r="AZ28" i="11"/>
  <c r="AH28" i="11"/>
  <c r="V28" i="11"/>
  <c r="EK27" i="11"/>
  <c r="EI27" i="11"/>
  <c r="EF27" i="11"/>
  <c r="ED27" i="11"/>
  <c r="DY27" i="11"/>
  <c r="DR27" i="11"/>
  <c r="DP27" i="11"/>
  <c r="DN27" i="11"/>
  <c r="DK27" i="11"/>
  <c r="DG27" i="11"/>
  <c r="DD27" i="11"/>
  <c r="DB27" i="11"/>
  <c r="CZ27" i="11"/>
  <c r="CW27" i="11"/>
  <c r="CU27" i="11"/>
  <c r="CS27" i="11"/>
  <c r="CP27" i="11"/>
  <c r="CI27" i="11"/>
  <c r="CE27" i="11"/>
  <c r="CB27" i="11"/>
  <c r="BX27" i="11"/>
  <c r="BU27" i="11"/>
  <c r="BS27" i="11"/>
  <c r="BN27" i="11"/>
  <c r="BG27" i="11"/>
  <c r="BE27" i="11"/>
  <c r="BC27" i="11"/>
  <c r="AZ27" i="11"/>
  <c r="AH27" i="11"/>
  <c r="V27" i="11"/>
  <c r="EI26" i="11"/>
  <c r="ED26" i="11"/>
  <c r="EB26" i="11"/>
  <c r="DP26" i="11"/>
  <c r="DN26" i="11"/>
  <c r="DD26" i="11"/>
  <c r="DB26" i="11"/>
  <c r="CZ26" i="11"/>
  <c r="CU26" i="11"/>
  <c r="CS26" i="11"/>
  <c r="CG26" i="11"/>
  <c r="CE26" i="11"/>
  <c r="BZ26" i="11"/>
  <c r="BX26" i="11"/>
  <c r="BS26" i="11"/>
  <c r="AX26" i="11"/>
  <c r="AV26" i="11"/>
  <c r="AJ26" i="11"/>
  <c r="V26" i="11"/>
  <c r="ED25" i="11"/>
  <c r="EB25" i="11"/>
  <c r="DW25" i="11"/>
  <c r="DU25" i="11"/>
  <c r="DG25" i="11"/>
  <c r="DB25" i="11"/>
  <c r="CU25" i="11"/>
  <c r="CS25" i="11"/>
  <c r="CE25" i="11"/>
  <c r="BZ25" i="11"/>
  <c r="BX25" i="11"/>
  <c r="BS25" i="11"/>
  <c r="AZ25" i="11"/>
  <c r="AX25" i="11"/>
  <c r="AV25" i="11"/>
  <c r="AQ25" i="11"/>
  <c r="AH25" i="11"/>
  <c r="V25" i="11"/>
  <c r="EF24" i="11"/>
  <c r="ED24" i="11"/>
  <c r="EB24" i="11"/>
  <c r="DY24" i="11"/>
  <c r="DU24" i="11"/>
  <c r="DR24" i="11"/>
  <c r="DB24" i="11"/>
  <c r="CZ24" i="11"/>
  <c r="CW24" i="11"/>
  <c r="CU24" i="11"/>
  <c r="CS24" i="11"/>
  <c r="CP24" i="11"/>
  <c r="CI24" i="11"/>
  <c r="CG24" i="11"/>
  <c r="CE24" i="11"/>
  <c r="BZ24" i="11"/>
  <c r="BX24" i="11"/>
  <c r="BU24" i="11"/>
  <c r="BS24" i="11"/>
  <c r="BN24" i="11"/>
  <c r="AX24" i="11"/>
  <c r="AV24" i="11"/>
  <c r="AQ24" i="11"/>
  <c r="AH24" i="11"/>
  <c r="V24" i="11"/>
  <c r="EK23" i="11"/>
  <c r="ED23" i="11"/>
  <c r="EB23" i="11"/>
  <c r="DW23" i="11"/>
  <c r="DP23" i="11"/>
  <c r="DN23" i="11"/>
  <c r="DG23" i="11"/>
  <c r="DB23" i="11"/>
  <c r="CU23" i="11"/>
  <c r="CS23" i="11"/>
  <c r="CG23" i="11"/>
  <c r="CE23" i="11"/>
  <c r="BZ23" i="11"/>
  <c r="BX23" i="11"/>
  <c r="BS23" i="11"/>
  <c r="AZ23" i="11"/>
  <c r="AX23" i="11"/>
  <c r="AV23" i="11"/>
  <c r="AQ23" i="11"/>
  <c r="AO23" i="11"/>
  <c r="V23" i="11"/>
  <c r="ED22" i="11"/>
  <c r="EB22" i="11"/>
  <c r="DW22" i="11"/>
  <c r="DU22" i="11"/>
  <c r="DB22" i="11"/>
  <c r="CZ22" i="11"/>
  <c r="CU22" i="11"/>
  <c r="CS22" i="11"/>
  <c r="CL22" i="11"/>
  <c r="CE22" i="11"/>
  <c r="BZ22" i="11"/>
  <c r="BX22" i="11"/>
  <c r="BS22" i="11"/>
  <c r="AX22" i="11"/>
  <c r="AV22" i="11"/>
  <c r="AQ22" i="11"/>
  <c r="AH22" i="11"/>
  <c r="V22" i="11"/>
  <c r="ED21" i="11"/>
  <c r="EB21" i="11"/>
  <c r="DW21" i="11"/>
  <c r="DU21" i="11"/>
  <c r="DP21" i="11"/>
  <c r="DN21" i="11"/>
  <c r="DB21" i="11"/>
  <c r="CZ21" i="11"/>
  <c r="CU21" i="11"/>
  <c r="CS21" i="11"/>
  <c r="CN21" i="11"/>
  <c r="CL21" i="11"/>
  <c r="CI21" i="11"/>
  <c r="CE21" i="11"/>
  <c r="CB21" i="11"/>
  <c r="BX21" i="11"/>
  <c r="BU21" i="11"/>
  <c r="BS21" i="11"/>
  <c r="BN21" i="11"/>
  <c r="BG21" i="11"/>
  <c r="AZ21" i="11"/>
  <c r="AX21" i="11"/>
  <c r="AV21" i="11"/>
  <c r="AS21" i="11"/>
  <c r="AQ21" i="11"/>
  <c r="AL21" i="11"/>
  <c r="AH21" i="11"/>
  <c r="V21" i="11"/>
  <c r="ED20" i="11"/>
  <c r="EB20" i="11"/>
  <c r="DP20" i="11"/>
  <c r="DN20" i="11"/>
  <c r="DB20" i="11"/>
  <c r="CZ20" i="11"/>
  <c r="CU20" i="11"/>
  <c r="CG20" i="11"/>
  <c r="CE20" i="11"/>
  <c r="BZ20" i="11"/>
  <c r="BX20" i="11"/>
  <c r="BS20" i="11"/>
  <c r="BE20" i="11"/>
  <c r="BC20" i="11"/>
  <c r="AX20" i="11"/>
  <c r="AV20" i="11"/>
  <c r="AS20" i="11"/>
  <c r="V20" i="11"/>
  <c r="EK19" i="11"/>
  <c r="EI19" i="11"/>
  <c r="ED19" i="11"/>
  <c r="EB19" i="11"/>
  <c r="DW19" i="11"/>
  <c r="DU19" i="11"/>
  <c r="DB19" i="11"/>
  <c r="CZ19" i="11"/>
  <c r="CU19" i="11"/>
  <c r="CS19" i="11"/>
  <c r="CG19" i="11"/>
  <c r="CE19" i="11"/>
  <c r="BX19" i="11"/>
  <c r="BS19" i="11"/>
  <c r="BC19" i="11"/>
  <c r="AX19" i="11"/>
  <c r="AV19" i="11"/>
  <c r="AH19" i="11"/>
  <c r="V19" i="11"/>
  <c r="EI18" i="11"/>
  <c r="ED18" i="11"/>
  <c r="EB18" i="11"/>
  <c r="DW18" i="11"/>
  <c r="DP18" i="11"/>
  <c r="DN18" i="11"/>
  <c r="DB18" i="11"/>
  <c r="CZ18" i="11"/>
  <c r="CU18" i="11"/>
  <c r="CS18" i="11"/>
  <c r="CG18" i="11"/>
  <c r="CE18" i="11"/>
  <c r="BX18" i="11"/>
  <c r="BS18" i="11"/>
  <c r="BE18" i="11"/>
  <c r="AS18" i="11"/>
  <c r="AL18" i="11"/>
  <c r="AH18" i="11"/>
  <c r="V18" i="11"/>
  <c r="ED17" i="11"/>
  <c r="EB17" i="11"/>
  <c r="DP17" i="11"/>
  <c r="DN17" i="11"/>
  <c r="DB17" i="11"/>
  <c r="CZ17" i="11"/>
  <c r="CW17" i="11"/>
  <c r="CU17" i="11"/>
  <c r="CS17" i="11"/>
  <c r="CP17" i="11"/>
  <c r="CI17" i="11"/>
  <c r="CE17" i="11"/>
  <c r="CB17" i="11"/>
  <c r="BZ17" i="11"/>
  <c r="BX17" i="11"/>
  <c r="BS17" i="11"/>
  <c r="BN17" i="11"/>
  <c r="BC17" i="11"/>
  <c r="AX17" i="11"/>
  <c r="AV17" i="11"/>
  <c r="AQ17" i="11"/>
  <c r="AH17" i="11"/>
  <c r="V17" i="11"/>
  <c r="EI16" i="11"/>
  <c r="ED16" i="11"/>
  <c r="EB16" i="11"/>
  <c r="DW16" i="11"/>
  <c r="DU16" i="11"/>
  <c r="DP16" i="11"/>
  <c r="DN16" i="11"/>
  <c r="DB16" i="11"/>
  <c r="CZ16" i="11"/>
  <c r="CU16" i="11"/>
  <c r="CS16" i="11"/>
  <c r="CN16" i="11"/>
  <c r="CL16" i="11"/>
  <c r="CE16" i="11"/>
  <c r="BX16" i="11"/>
  <c r="BS16" i="11"/>
  <c r="BE16" i="11"/>
  <c r="BC16" i="11"/>
  <c r="AH16" i="11"/>
  <c r="V16" i="11"/>
  <c r="EK15" i="11"/>
  <c r="ED15" i="11"/>
  <c r="EB15" i="11"/>
  <c r="DP15" i="11"/>
  <c r="DB15" i="11"/>
  <c r="CZ15" i="11"/>
  <c r="CU15" i="11"/>
  <c r="CS15" i="11"/>
  <c r="CG15" i="11"/>
  <c r="CE15" i="11"/>
  <c r="BX15" i="11"/>
  <c r="BS15" i="11"/>
  <c r="BQ15" i="11"/>
  <c r="AX15" i="11"/>
  <c r="V15" i="11"/>
  <c r="ED14" i="11"/>
  <c r="DW14" i="11"/>
  <c r="DU14" i="11"/>
  <c r="DN14" i="11"/>
  <c r="DG14" i="11"/>
  <c r="DB14" i="11"/>
  <c r="CU14" i="11"/>
  <c r="CS14" i="11"/>
  <c r="CG14" i="11"/>
  <c r="CE14" i="11"/>
  <c r="BZ14" i="11"/>
  <c r="BX14" i="11"/>
  <c r="BE14" i="11"/>
  <c r="BC14" i="11"/>
  <c r="AX14" i="11"/>
  <c r="AV14" i="11"/>
  <c r="AQ14" i="11"/>
  <c r="AL14" i="11"/>
  <c r="AH14" i="11"/>
  <c r="V14" i="11"/>
  <c r="EK13" i="11"/>
  <c r="EI13" i="11"/>
  <c r="EF13" i="11"/>
  <c r="ED13" i="11"/>
  <c r="DY13" i="11"/>
  <c r="DW13" i="11"/>
  <c r="DU13" i="11"/>
  <c r="DR13" i="11"/>
  <c r="DP13" i="11"/>
  <c r="DN13" i="11"/>
  <c r="DK13" i="11"/>
  <c r="DD13" i="11"/>
  <c r="DB13" i="11"/>
  <c r="CZ13" i="11"/>
  <c r="CW13" i="11"/>
  <c r="CU13" i="11"/>
  <c r="CS13" i="11"/>
  <c r="CP13" i="11"/>
  <c r="CI13" i="11"/>
  <c r="CG13" i="11"/>
  <c r="CE13" i="11"/>
  <c r="CB13" i="11"/>
  <c r="BZ13" i="11"/>
  <c r="BX13" i="11"/>
  <c r="BU13" i="11"/>
  <c r="BS13" i="11"/>
  <c r="BN13" i="11"/>
  <c r="BG13" i="11"/>
  <c r="BE13" i="11"/>
  <c r="BC13" i="11"/>
  <c r="AZ13" i="11"/>
  <c r="AS13" i="11"/>
  <c r="AL13" i="11"/>
  <c r="AH13" i="11"/>
  <c r="V13" i="11"/>
  <c r="EK12" i="11"/>
  <c r="EF12" i="11"/>
  <c r="ED12" i="11"/>
  <c r="EB12" i="11"/>
  <c r="DW12" i="11"/>
  <c r="DU12" i="11"/>
  <c r="DR12" i="11"/>
  <c r="DP12" i="11"/>
  <c r="DN12" i="11"/>
  <c r="DD12" i="11"/>
  <c r="DE12" i="11" s="1"/>
  <c r="DB12" i="11"/>
  <c r="CU12" i="11"/>
  <c r="CS12" i="11"/>
  <c r="CP12" i="11"/>
  <c r="CE12" i="11"/>
  <c r="BZ12" i="11"/>
  <c r="BX12" i="11"/>
  <c r="BS12" i="11"/>
  <c r="AX12" i="11"/>
  <c r="AV12" i="11"/>
  <c r="AQ12" i="11"/>
  <c r="AO12" i="11"/>
  <c r="AH12" i="11"/>
  <c r="V12" i="11"/>
  <c r="EF11" i="11"/>
  <c r="ED11" i="11"/>
  <c r="EB11" i="11"/>
  <c r="DW11" i="11"/>
  <c r="DU11" i="11"/>
  <c r="DR11" i="11"/>
  <c r="DD11" i="11"/>
  <c r="DB11" i="11"/>
  <c r="CZ11" i="11"/>
  <c r="CU11" i="11"/>
  <c r="CP11" i="11"/>
  <c r="CG11" i="11"/>
  <c r="CE11" i="11"/>
  <c r="CB11" i="11"/>
  <c r="BZ11" i="11"/>
  <c r="BX11" i="11"/>
  <c r="BS11" i="11"/>
  <c r="BQ11" i="11"/>
  <c r="AX11" i="11"/>
  <c r="AV11" i="11"/>
  <c r="V11" i="11"/>
  <c r="EK10" i="11"/>
  <c r="EI10" i="11"/>
  <c r="EF10" i="11"/>
  <c r="EB10" i="11"/>
  <c r="DY10" i="11"/>
  <c r="DW10" i="11"/>
  <c r="DR10" i="11"/>
  <c r="DP10" i="11"/>
  <c r="DN10" i="11"/>
  <c r="DK10" i="11"/>
  <c r="DG10" i="11"/>
  <c r="DD10" i="11"/>
  <c r="DB10" i="11"/>
  <c r="CZ10" i="11"/>
  <c r="CW10" i="11"/>
  <c r="CU10" i="11"/>
  <c r="CS10" i="11"/>
  <c r="CP10" i="11"/>
  <c r="CG10" i="11"/>
  <c r="CE10" i="11"/>
  <c r="CB10" i="11"/>
  <c r="BX10" i="11"/>
  <c r="BU10" i="11"/>
  <c r="BS10" i="11"/>
  <c r="BN10" i="11"/>
  <c r="BG10" i="11"/>
  <c r="AZ10" i="11"/>
  <c r="AX10" i="11"/>
  <c r="AS10" i="11"/>
  <c r="AL10" i="11"/>
  <c r="AJ10" i="11"/>
  <c r="AH10" i="11"/>
  <c r="V10" i="11"/>
  <c r="EF9" i="11"/>
  <c r="ED9" i="11"/>
  <c r="EB9" i="11"/>
  <c r="DY9" i="11"/>
  <c r="DW9" i="11"/>
  <c r="DU9" i="11"/>
  <c r="DR9" i="11"/>
  <c r="DP9" i="11"/>
  <c r="DK9" i="11"/>
  <c r="DD9" i="11"/>
  <c r="DB9" i="11"/>
  <c r="CZ9" i="11"/>
  <c r="CW9" i="11"/>
  <c r="CU9" i="11"/>
  <c r="CP9" i="11"/>
  <c r="CI9" i="11"/>
  <c r="CG9" i="11"/>
  <c r="CE9" i="11"/>
  <c r="CB9" i="11"/>
  <c r="BZ9" i="11"/>
  <c r="BU9" i="11"/>
  <c r="BS9" i="11"/>
  <c r="BK9" i="11"/>
  <c r="BL33" i="11" s="1"/>
  <c r="BI9" i="11"/>
  <c r="BG9" i="11"/>
  <c r="AX9" i="11"/>
  <c r="AW9" i="11"/>
  <c r="AU9" i="11"/>
  <c r="AZ9" i="11" s="1"/>
  <c r="AS9" i="11"/>
  <c r="AL9" i="11"/>
  <c r="AH9" i="11"/>
  <c r="V9" i="11"/>
  <c r="EK8" i="11"/>
  <c r="ED8" i="11"/>
  <c r="EB8" i="11"/>
  <c r="DW8" i="11"/>
  <c r="DP8" i="11"/>
  <c r="DN8" i="11"/>
  <c r="DG8" i="11"/>
  <c r="DD8" i="11"/>
  <c r="DB8" i="11"/>
  <c r="CU8" i="11"/>
  <c r="CS8" i="11"/>
  <c r="CP8" i="11"/>
  <c r="CG8" i="11"/>
  <c r="CE8" i="11"/>
  <c r="CB8" i="11"/>
  <c r="BX8" i="11"/>
  <c r="BS8" i="11"/>
  <c r="BL8" i="11"/>
  <c r="BJ8" i="11"/>
  <c r="BE8" i="11"/>
  <c r="AX8" i="11"/>
  <c r="AH8" i="11"/>
  <c r="V8" i="11"/>
  <c r="EK7" i="11"/>
  <c r="EI7" i="11"/>
  <c r="DR7" i="11"/>
  <c r="DP7" i="11"/>
  <c r="DN7" i="11"/>
  <c r="DG7" i="11"/>
  <c r="DD7" i="11"/>
  <c r="DB7" i="11"/>
  <c r="CU7" i="11"/>
  <c r="CS7" i="11"/>
  <c r="CP7" i="11"/>
  <c r="CE7" i="11"/>
  <c r="CB7" i="11"/>
  <c r="BX7" i="11"/>
  <c r="BS7" i="11"/>
  <c r="BC7" i="11"/>
  <c r="AX7" i="11"/>
  <c r="AH7" i="11"/>
  <c r="V7" i="11"/>
  <c r="EK6" i="11"/>
  <c r="EI6" i="11"/>
  <c r="EF6" i="11"/>
  <c r="ED6" i="11"/>
  <c r="EB6" i="11"/>
  <c r="DW6" i="11"/>
  <c r="DU6" i="11"/>
  <c r="DR6" i="11"/>
  <c r="DP6" i="11"/>
  <c r="DN6" i="11"/>
  <c r="DG6" i="11"/>
  <c r="DD6" i="11"/>
  <c r="DB6" i="11"/>
  <c r="CZ6" i="11"/>
  <c r="CU6" i="11"/>
  <c r="CP6" i="11"/>
  <c r="CG6" i="11"/>
  <c r="CE6" i="11"/>
  <c r="CB6" i="11"/>
  <c r="BX6" i="11"/>
  <c r="BE6" i="11"/>
  <c r="BC6" i="11"/>
  <c r="AX6" i="11"/>
  <c r="AH6" i="11"/>
  <c r="V6" i="11"/>
  <c r="CQ40" i="11" l="1"/>
  <c r="CQ31" i="11"/>
  <c r="CX13" i="11"/>
  <c r="AT20" i="11"/>
  <c r="CC27" i="11"/>
  <c r="AM47" i="11"/>
  <c r="AM35" i="11"/>
  <c r="AM50" i="11"/>
  <c r="AM49" i="11"/>
  <c r="AM48" i="11"/>
  <c r="AM31" i="11"/>
  <c r="AM27" i="11"/>
  <c r="AM20" i="11"/>
  <c r="AM44" i="11"/>
  <c r="AM39" i="11"/>
  <c r="AM24" i="11"/>
  <c r="AM14" i="11"/>
  <c r="AM38" i="11"/>
  <c r="AM37" i="11"/>
  <c r="AM30" i="11"/>
  <c r="AM25" i="11"/>
  <c r="AM32" i="11"/>
  <c r="AM22" i="11"/>
  <c r="AM17" i="11"/>
  <c r="AM34" i="11"/>
  <c r="AM29" i="11"/>
  <c r="AM28" i="11"/>
  <c r="AM19" i="11"/>
  <c r="AM6" i="11"/>
  <c r="AM16" i="11"/>
  <c r="AM7" i="11"/>
  <c r="AM53" i="11"/>
  <c r="AM51" i="11"/>
  <c r="AM8" i="11"/>
  <c r="AM33" i="11"/>
  <c r="AM11" i="11"/>
  <c r="AM9" i="11"/>
  <c r="AM15" i="11"/>
  <c r="AM45" i="11"/>
  <c r="AM41" i="11"/>
  <c r="AM40" i="11"/>
  <c r="AM46" i="11"/>
  <c r="AM52" i="11"/>
  <c r="AM42" i="11"/>
  <c r="AM43" i="11"/>
  <c r="AM26" i="11"/>
  <c r="AM36" i="11"/>
  <c r="AM23" i="11"/>
  <c r="AM12" i="11"/>
  <c r="AT32" i="11"/>
  <c r="CC13" i="11"/>
  <c r="CJ50" i="11"/>
  <c r="CJ36" i="11"/>
  <c r="CJ48" i="11"/>
  <c r="CJ42" i="11"/>
  <c r="CJ38" i="11"/>
  <c r="CJ26" i="11"/>
  <c r="CJ23" i="11"/>
  <c r="CJ20" i="11"/>
  <c r="CJ16" i="11"/>
  <c r="CJ12" i="11"/>
  <c r="CJ29" i="11"/>
  <c r="CJ25" i="11"/>
  <c r="CJ22" i="11"/>
  <c r="CJ49" i="11"/>
  <c r="CJ31" i="11"/>
  <c r="CJ19" i="11"/>
  <c r="CJ13" i="11"/>
  <c r="CJ53" i="11"/>
  <c r="CJ47" i="11"/>
  <c r="CJ40" i="11"/>
  <c r="CJ33" i="11"/>
  <c r="CJ18" i="11"/>
  <c r="CJ11" i="11"/>
  <c r="CJ43" i="11"/>
  <c r="CJ15" i="11"/>
  <c r="CJ32" i="11"/>
  <c r="CJ51" i="11"/>
  <c r="CJ52" i="11"/>
  <c r="CJ30" i="11"/>
  <c r="CJ39" i="11"/>
  <c r="CJ17" i="11"/>
  <c r="CJ14" i="11"/>
  <c r="CJ27" i="11"/>
  <c r="CJ34" i="11"/>
  <c r="CJ10" i="11"/>
  <c r="CJ44" i="11"/>
  <c r="CJ8" i="11"/>
  <c r="CJ45" i="11"/>
  <c r="CJ37" i="11"/>
  <c r="CJ6" i="11"/>
  <c r="CJ41" i="11"/>
  <c r="CJ7" i="11"/>
  <c r="CJ35" i="11"/>
  <c r="BJ51" i="11"/>
  <c r="BJ25" i="11"/>
  <c r="BJ15" i="11"/>
  <c r="BJ53" i="11"/>
  <c r="BJ47" i="11"/>
  <c r="BJ46" i="11"/>
  <c r="BJ34" i="11"/>
  <c r="BJ21" i="11"/>
  <c r="BJ17" i="11"/>
  <c r="BJ38" i="11"/>
  <c r="BJ30" i="11"/>
  <c r="BJ27" i="11"/>
  <c r="BJ26" i="11"/>
  <c r="BJ23" i="11"/>
  <c r="BJ52" i="11"/>
  <c r="BJ24" i="11"/>
  <c r="BJ32" i="11"/>
  <c r="BJ14" i="11"/>
  <c r="BJ44" i="11"/>
  <c r="BJ43" i="11"/>
  <c r="BJ42" i="11"/>
  <c r="BJ39" i="11"/>
  <c r="BJ45" i="11"/>
  <c r="BJ20" i="11"/>
  <c r="BJ12" i="11"/>
  <c r="BJ41" i="11"/>
  <c r="BJ36" i="11"/>
  <c r="BJ35" i="11"/>
  <c r="BJ28" i="11"/>
  <c r="BJ22" i="11"/>
  <c r="BJ13" i="11"/>
  <c r="BJ37" i="11"/>
  <c r="BJ29" i="11"/>
  <c r="BJ19" i="11"/>
  <c r="BJ6" i="11"/>
  <c r="BJ10" i="11"/>
  <c r="CQ12" i="11"/>
  <c r="DI50" i="11"/>
  <c r="DI43" i="11"/>
  <c r="DI37" i="11"/>
  <c r="DI53" i="11"/>
  <c r="DI31" i="11"/>
  <c r="DI28" i="11"/>
  <c r="DI26" i="11"/>
  <c r="DI10" i="11"/>
  <c r="DI32" i="11"/>
  <c r="DI18" i="11"/>
  <c r="DI16" i="11"/>
  <c r="DI51" i="11"/>
  <c r="DI41" i="11"/>
  <c r="DI33" i="11"/>
  <c r="DI12" i="11"/>
  <c r="DI44" i="11"/>
  <c r="DI38" i="11"/>
  <c r="DI36" i="11"/>
  <c r="DI35" i="11"/>
  <c r="DI34" i="11"/>
  <c r="DI47" i="11"/>
  <c r="DI40" i="11"/>
  <c r="DI29" i="11"/>
  <c r="DI19" i="11"/>
  <c r="DI49" i="11"/>
  <c r="DI24" i="11"/>
  <c r="DI21" i="11"/>
  <c r="DI11" i="11"/>
  <c r="DI9" i="11"/>
  <c r="DI46" i="11"/>
  <c r="DI15" i="11"/>
  <c r="DI13" i="11"/>
  <c r="DI27" i="11"/>
  <c r="DI48" i="11"/>
  <c r="DE51" i="11"/>
  <c r="DE45" i="11"/>
  <c r="DE37" i="11"/>
  <c r="DE39" i="11"/>
  <c r="DE35" i="11"/>
  <c r="DE15" i="11"/>
  <c r="DE46" i="11"/>
  <c r="DE21" i="11"/>
  <c r="DE17" i="11"/>
  <c r="DE13" i="11"/>
  <c r="DE42" i="11"/>
  <c r="DE41" i="11"/>
  <c r="DE30" i="11"/>
  <c r="DE22" i="11"/>
  <c r="DE20" i="11"/>
  <c r="DE44" i="11"/>
  <c r="DE36" i="11"/>
  <c r="DE34" i="11"/>
  <c r="DE49" i="11"/>
  <c r="DE31" i="11"/>
  <c r="DE29" i="11"/>
  <c r="DE19" i="11"/>
  <c r="DE16" i="11"/>
  <c r="DE33" i="11"/>
  <c r="DE24" i="11"/>
  <c r="DE18" i="11"/>
  <c r="DE53" i="11"/>
  <c r="DE11" i="11"/>
  <c r="DI17" i="11"/>
  <c r="BJ18" i="11"/>
  <c r="DE25" i="11"/>
  <c r="BA27" i="11"/>
  <c r="CL40" i="11"/>
  <c r="CL35" i="11"/>
  <c r="CL39" i="11"/>
  <c r="CL31" i="11"/>
  <c r="CL25" i="11"/>
  <c r="CL15" i="11"/>
  <c r="CL49" i="11"/>
  <c r="CL19" i="11"/>
  <c r="CL13" i="11"/>
  <c r="CL12" i="11"/>
  <c r="CL48" i="11"/>
  <c r="CL36" i="11"/>
  <c r="CL34" i="11"/>
  <c r="CL30" i="11"/>
  <c r="CL28" i="11"/>
  <c r="CL53" i="11"/>
  <c r="CL46" i="11"/>
  <c r="CL24" i="11"/>
  <c r="CL11" i="11"/>
  <c r="CL50" i="11"/>
  <c r="CL43" i="11"/>
  <c r="CL26" i="11"/>
  <c r="CL9" i="11"/>
  <c r="CL32" i="11"/>
  <c r="CL51" i="11"/>
  <c r="CL23" i="11"/>
  <c r="CL52" i="11"/>
  <c r="CL17" i="11"/>
  <c r="CL14" i="11"/>
  <c r="CL27" i="11"/>
  <c r="CL42" i="11"/>
  <c r="CL41" i="11"/>
  <c r="CL20" i="11"/>
  <c r="CL45" i="11"/>
  <c r="CL44" i="11"/>
  <c r="CN49" i="11"/>
  <c r="CN43" i="11"/>
  <c r="CN51" i="11"/>
  <c r="CN34" i="11"/>
  <c r="CN28" i="11"/>
  <c r="CN22" i="11"/>
  <c r="CN19" i="11"/>
  <c r="CN14" i="11"/>
  <c r="CN10" i="11"/>
  <c r="CN48" i="11"/>
  <c r="CN36" i="11"/>
  <c r="CN31" i="11"/>
  <c r="CN30" i="11"/>
  <c r="CN53" i="11"/>
  <c r="CN47" i="11"/>
  <c r="CN26" i="11"/>
  <c r="CN24" i="11"/>
  <c r="CN23" i="11"/>
  <c r="CN11" i="11"/>
  <c r="CN52" i="11"/>
  <c r="CN50" i="11"/>
  <c r="CN9" i="11"/>
  <c r="CN32" i="11"/>
  <c r="CN15" i="11"/>
  <c r="CN17" i="11"/>
  <c r="CN13" i="11"/>
  <c r="CN27" i="11"/>
  <c r="CN45" i="11"/>
  <c r="CN44" i="11"/>
  <c r="CN42" i="11"/>
  <c r="CN41" i="11"/>
  <c r="CN25" i="11"/>
  <c r="CN20" i="11"/>
  <c r="CN38" i="11"/>
  <c r="CN35" i="11"/>
  <c r="CN7" i="11"/>
  <c r="CN39" i="11"/>
  <c r="CN12" i="11"/>
  <c r="CC8" i="11"/>
  <c r="AJ46" i="11"/>
  <c r="AJ35" i="11"/>
  <c r="AJ52" i="11"/>
  <c r="AJ48" i="11"/>
  <c r="AJ40" i="11"/>
  <c r="AJ34" i="11"/>
  <c r="AJ25" i="11"/>
  <c r="AJ22" i="11"/>
  <c r="AJ19" i="11"/>
  <c r="AJ23" i="11"/>
  <c r="AJ11" i="11"/>
  <c r="AJ50" i="11"/>
  <c r="AJ49" i="11"/>
  <c r="AJ31" i="11"/>
  <c r="AJ27" i="11"/>
  <c r="AJ20" i="11"/>
  <c r="AJ9" i="11"/>
  <c r="AJ45" i="11"/>
  <c r="AJ42" i="11"/>
  <c r="AJ41" i="11"/>
  <c r="AJ36" i="11"/>
  <c r="AJ14" i="11"/>
  <c r="AJ12" i="11"/>
  <c r="AJ44" i="11"/>
  <c r="AJ38" i="11"/>
  <c r="AJ37" i="11"/>
  <c r="AJ30" i="11"/>
  <c r="AJ32" i="11"/>
  <c r="AJ17" i="11"/>
  <c r="AJ29" i="11"/>
  <c r="AJ28" i="11"/>
  <c r="AJ47" i="11"/>
  <c r="AJ6" i="11"/>
  <c r="AJ16" i="11"/>
  <c r="AJ7" i="11"/>
  <c r="AJ53" i="11"/>
  <c r="AJ51" i="11"/>
  <c r="AJ33" i="11"/>
  <c r="AJ13" i="11"/>
  <c r="AJ8" i="11"/>
  <c r="AJ18" i="11"/>
  <c r="CJ24" i="11"/>
  <c r="CQ46" i="11"/>
  <c r="BL35" i="11"/>
  <c r="BL43" i="11"/>
  <c r="BL34" i="11"/>
  <c r="BL22" i="11"/>
  <c r="BL19" i="11"/>
  <c r="BL14" i="11"/>
  <c r="BL38" i="11"/>
  <c r="BL30" i="11"/>
  <c r="BL27" i="11"/>
  <c r="BL26" i="11"/>
  <c r="BL23" i="11"/>
  <c r="BL52" i="11"/>
  <c r="BL44" i="11"/>
  <c r="BL42" i="11"/>
  <c r="BL31" i="11"/>
  <c r="BL20" i="11"/>
  <c r="BL11" i="11"/>
  <c r="BL15" i="11"/>
  <c r="BL46" i="11"/>
  <c r="BL32" i="11"/>
  <c r="BL39" i="11"/>
  <c r="BL45" i="11"/>
  <c r="BL25" i="11"/>
  <c r="BL12" i="11"/>
  <c r="BL41" i="11"/>
  <c r="BL36" i="11"/>
  <c r="BL28" i="11"/>
  <c r="BL13" i="11"/>
  <c r="BL37" i="11"/>
  <c r="BL17" i="11"/>
  <c r="BL29" i="11"/>
  <c r="BL6" i="11"/>
  <c r="BL50" i="11"/>
  <c r="BL7" i="11"/>
  <c r="BL10" i="11"/>
  <c r="DI14" i="11"/>
  <c r="CJ21" i="11"/>
  <c r="DS27" i="11"/>
  <c r="BH28" i="11"/>
  <c r="BV31" i="11"/>
  <c r="BH32" i="11"/>
  <c r="DE32" i="11"/>
  <c r="BJ33" i="11"/>
  <c r="DI6" i="11"/>
  <c r="DE8" i="11"/>
  <c r="DE9" i="11"/>
  <c r="BV13" i="11"/>
  <c r="EG13" i="11"/>
  <c r="BL18" i="11"/>
  <c r="BL21" i="11"/>
  <c r="DE47" i="11"/>
  <c r="DE50" i="11"/>
  <c r="BL53" i="11"/>
  <c r="CL7" i="11"/>
  <c r="CC17" i="11"/>
  <c r="DI25" i="11"/>
  <c r="EG27" i="11"/>
  <c r="BV32" i="11"/>
  <c r="BJ40" i="11"/>
  <c r="CQ51" i="11"/>
  <c r="BQ35" i="11"/>
  <c r="BQ33" i="11"/>
  <c r="BQ10" i="11"/>
  <c r="BQ52" i="11"/>
  <c r="BQ28" i="11"/>
  <c r="BQ24" i="11"/>
  <c r="BQ13" i="11"/>
  <c r="BQ50" i="11"/>
  <c r="BQ14" i="11"/>
  <c r="BQ43" i="11"/>
  <c r="BQ39" i="11"/>
  <c r="BQ23" i="11"/>
  <c r="BQ9" i="11"/>
  <c r="BQ25" i="11"/>
  <c r="BQ12" i="11"/>
  <c r="BQ45" i="11"/>
  <c r="BQ44" i="11"/>
  <c r="BQ42" i="11"/>
  <c r="BQ41" i="11"/>
  <c r="BQ36" i="11"/>
  <c r="BQ30" i="11"/>
  <c r="BQ17" i="11"/>
  <c r="BQ38" i="11"/>
  <c r="BQ37" i="11"/>
  <c r="BQ22" i="11"/>
  <c r="BQ20" i="11"/>
  <c r="BQ34" i="11"/>
  <c r="BQ29" i="11"/>
  <c r="BQ27" i="11"/>
  <c r="BQ6" i="11"/>
  <c r="BQ19" i="11"/>
  <c r="BQ7" i="11"/>
  <c r="BQ53" i="11"/>
  <c r="BQ16" i="11"/>
  <c r="BQ40" i="11"/>
  <c r="BQ18" i="11"/>
  <c r="BQ8" i="11"/>
  <c r="BQ47" i="11"/>
  <c r="DI8" i="11"/>
  <c r="CC9" i="11"/>
  <c r="DE10" i="11"/>
  <c r="AJ24" i="11"/>
  <c r="BQ26" i="11"/>
  <c r="DE26" i="11"/>
  <c r="BH27" i="11"/>
  <c r="CX27" i="11"/>
  <c r="AT31" i="11"/>
  <c r="BL40" i="11"/>
  <c r="BL47" i="11"/>
  <c r="AM10" i="11"/>
  <c r="CC10" i="11"/>
  <c r="AM13" i="11"/>
  <c r="BQ21" i="11"/>
  <c r="DE23" i="11"/>
  <c r="DE28" i="11"/>
  <c r="DI30" i="11"/>
  <c r="DI42" i="11"/>
  <c r="CL6" i="11"/>
  <c r="CQ17" i="11"/>
  <c r="AJ21" i="11"/>
  <c r="DI22" i="11"/>
  <c r="CL37" i="11"/>
  <c r="CQ48" i="11"/>
  <c r="AO45" i="11"/>
  <c r="AO47" i="11"/>
  <c r="AO36" i="11"/>
  <c r="AO31" i="11"/>
  <c r="AO18" i="11"/>
  <c r="AO9" i="11"/>
  <c r="AO44" i="11"/>
  <c r="AO39" i="11"/>
  <c r="AO24" i="11"/>
  <c r="AO21" i="11"/>
  <c r="AO14" i="11"/>
  <c r="AO37" i="11"/>
  <c r="AO48" i="11"/>
  <c r="AO35" i="11"/>
  <c r="AO32" i="11"/>
  <c r="AO22" i="11"/>
  <c r="AO17" i="11"/>
  <c r="AO34" i="11"/>
  <c r="AO29" i="11"/>
  <c r="AO28" i="11"/>
  <c r="AO20" i="11"/>
  <c r="AO19" i="11"/>
  <c r="AO6" i="11"/>
  <c r="AO50" i="11"/>
  <c r="AO16" i="11"/>
  <c r="AO13" i="11"/>
  <c r="AO7" i="11"/>
  <c r="AO53" i="11"/>
  <c r="AO51" i="11"/>
  <c r="AO27" i="11"/>
  <c r="AO8" i="11"/>
  <c r="AO33" i="11"/>
  <c r="AO49" i="11"/>
  <c r="AO26" i="11"/>
  <c r="AO10" i="11"/>
  <c r="AO11" i="11"/>
  <c r="AO15" i="11"/>
  <c r="CN6" i="11"/>
  <c r="CL8" i="11"/>
  <c r="CJ9" i="11"/>
  <c r="CL18" i="11"/>
  <c r="AM21" i="11"/>
  <c r="DI23" i="11"/>
  <c r="EG24" i="11"/>
  <c r="DE27" i="11"/>
  <c r="BJ31" i="11"/>
  <c r="CL33" i="11"/>
  <c r="CN37" i="11"/>
  <c r="CL38" i="11"/>
  <c r="AO46" i="11"/>
  <c r="CC46" i="11"/>
  <c r="BJ50" i="11"/>
  <c r="BJ7" i="11"/>
  <c r="DE7" i="11"/>
  <c r="CN8" i="11"/>
  <c r="BA13" i="11"/>
  <c r="EG11" i="11"/>
  <c r="AJ15" i="11"/>
  <c r="BJ16" i="11"/>
  <c r="CN18" i="11"/>
  <c r="BL24" i="11"/>
  <c r="CN33" i="11"/>
  <c r="AO40" i="11"/>
  <c r="DE40" i="11"/>
  <c r="AO41" i="11"/>
  <c r="CL47" i="11"/>
  <c r="CQ8" i="11"/>
  <c r="DZ43" i="11"/>
  <c r="CL10" i="11"/>
  <c r="BL16" i="11"/>
  <c r="AM18" i="11"/>
  <c r="CJ28" i="11"/>
  <c r="DS28" i="11"/>
  <c r="AT33" i="11"/>
  <c r="AO38" i="11"/>
  <c r="AJ39" i="11"/>
  <c r="DI45" i="11"/>
  <c r="CJ46" i="11"/>
  <c r="DI7" i="11"/>
  <c r="CQ10" i="11"/>
  <c r="BJ11" i="11"/>
  <c r="CQ13" i="11"/>
  <c r="DE14" i="11"/>
  <c r="AT18" i="11"/>
  <c r="DI20" i="11"/>
  <c r="AO25" i="11"/>
  <c r="CL29" i="11"/>
  <c r="BQ31" i="11"/>
  <c r="DI39" i="11"/>
  <c r="CN46" i="11"/>
  <c r="BL51" i="11"/>
  <c r="DI52" i="11"/>
  <c r="DG53" i="11"/>
  <c r="DG40" i="11"/>
  <c r="DG49" i="11"/>
  <c r="DG41" i="11"/>
  <c r="DG12" i="11"/>
  <c r="DG46" i="11"/>
  <c r="DG37" i="11"/>
  <c r="DG21" i="11"/>
  <c r="DG17" i="11"/>
  <c r="DG13" i="11"/>
  <c r="DG32" i="11"/>
  <c r="DG18" i="11"/>
  <c r="DG16" i="11"/>
  <c r="DG51" i="11"/>
  <c r="DG45" i="11"/>
  <c r="DG39" i="11"/>
  <c r="DG22" i="11"/>
  <c r="DG20" i="11"/>
  <c r="DG44" i="11"/>
  <c r="DG38" i="11"/>
  <c r="DG36" i="11"/>
  <c r="DG35" i="11"/>
  <c r="DG34" i="11"/>
  <c r="DG47" i="11"/>
  <c r="DG31" i="11"/>
  <c r="DG29" i="11"/>
  <c r="DG19" i="11"/>
  <c r="DG33" i="11"/>
  <c r="DG24" i="11"/>
  <c r="DG11" i="11"/>
  <c r="DG9" i="11"/>
  <c r="DG50" i="11"/>
  <c r="DG43" i="11"/>
  <c r="DG28" i="11"/>
  <c r="DG15" i="11"/>
  <c r="DG26" i="11"/>
  <c r="CX24" i="11"/>
  <c r="CQ7" i="11"/>
  <c r="AQ10" i="11"/>
  <c r="AQ49" i="11"/>
  <c r="AQ33" i="11"/>
  <c r="AQ37" i="11"/>
  <c r="AQ41" i="11"/>
  <c r="AQ35" i="11"/>
  <c r="AQ28" i="11"/>
  <c r="AQ6" i="11"/>
  <c r="AQ26" i="11"/>
  <c r="DE43" i="11"/>
  <c r="AQ9" i="11"/>
  <c r="BJ9" i="11"/>
  <c r="AQ11" i="11"/>
  <c r="BZ52" i="11"/>
  <c r="BZ46" i="11"/>
  <c r="BZ41" i="11"/>
  <c r="BZ45" i="11"/>
  <c r="BZ37" i="11"/>
  <c r="BZ15" i="11"/>
  <c r="BZ10" i="11"/>
  <c r="BZ43" i="11"/>
  <c r="BZ51" i="11"/>
  <c r="DS13" i="11"/>
  <c r="AT46" i="11"/>
  <c r="CX10" i="11"/>
  <c r="AQ18" i="11"/>
  <c r="CQ27" i="11"/>
  <c r="BA40" i="11"/>
  <c r="BZ40" i="11"/>
  <c r="BZ47" i="11"/>
  <c r="BZ50" i="11"/>
  <c r="BC51" i="11"/>
  <c r="BC38" i="11"/>
  <c r="BC50" i="11"/>
  <c r="BC10" i="11"/>
  <c r="BC36" i="11"/>
  <c r="BC33" i="11"/>
  <c r="BC32" i="11"/>
  <c r="BC29" i="11"/>
  <c r="BC25" i="11"/>
  <c r="BC22" i="11"/>
  <c r="BC12" i="11"/>
  <c r="BC9" i="11"/>
  <c r="EI53" i="11"/>
  <c r="DU46" i="11"/>
  <c r="EI45" i="11"/>
  <c r="EI37" i="11"/>
  <c r="EI9" i="11"/>
  <c r="DU36" i="11"/>
  <c r="DU23" i="11"/>
  <c r="EI15" i="11"/>
  <c r="EI12" i="11"/>
  <c r="DU10" i="11"/>
  <c r="DU8" i="11"/>
  <c r="DU53" i="11"/>
  <c r="DU43" i="11"/>
  <c r="DU40" i="11"/>
  <c r="EI39" i="11"/>
  <c r="EI35" i="11"/>
  <c r="DU34" i="11"/>
  <c r="EI28" i="11"/>
  <c r="EI21" i="11"/>
  <c r="DU20" i="11"/>
  <c r="EI17" i="11"/>
  <c r="DU7" i="11"/>
  <c r="AQ8" i="11"/>
  <c r="BZ8" i="11"/>
  <c r="BL9" i="11"/>
  <c r="EI11" i="11"/>
  <c r="BC15" i="11"/>
  <c r="DU17" i="11"/>
  <c r="BZ18" i="11"/>
  <c r="EI20" i="11"/>
  <c r="BZ21" i="11"/>
  <c r="EI22" i="11"/>
  <c r="BC23" i="11"/>
  <c r="EI24" i="11"/>
  <c r="AQ27" i="11"/>
  <c r="BZ31" i="11"/>
  <c r="DU32" i="11"/>
  <c r="BZ33" i="11"/>
  <c r="BC40" i="11"/>
  <c r="CC40" i="11"/>
  <c r="EI41" i="11"/>
  <c r="EI42" i="11"/>
  <c r="BC46" i="11"/>
  <c r="AQ47" i="11"/>
  <c r="EI47" i="11"/>
  <c r="AQ51" i="11"/>
  <c r="AQ53" i="11"/>
  <c r="BE53" i="11"/>
  <c r="BE46" i="11"/>
  <c r="BE37" i="11"/>
  <c r="BE42" i="11"/>
  <c r="BE38" i="11"/>
  <c r="BE24" i="11"/>
  <c r="BE17" i="11"/>
  <c r="BE36" i="11"/>
  <c r="BE33" i="11"/>
  <c r="BE32" i="11"/>
  <c r="BE29" i="11"/>
  <c r="BE25" i="11"/>
  <c r="BE22" i="11"/>
  <c r="BE12" i="11"/>
  <c r="BE9" i="11"/>
  <c r="BE19" i="11"/>
  <c r="BE7" i="11"/>
  <c r="CZ42" i="11"/>
  <c r="CZ39" i="11"/>
  <c r="CZ44" i="11"/>
  <c r="CZ29" i="11"/>
  <c r="CZ50" i="11"/>
  <c r="EK50" i="11"/>
  <c r="EK47" i="11"/>
  <c r="DW44" i="11"/>
  <c r="EK37" i="11"/>
  <c r="EK52" i="11"/>
  <c r="EK49" i="11"/>
  <c r="EK41" i="11"/>
  <c r="DW35" i="11"/>
  <c r="EK31" i="11"/>
  <c r="DW30" i="11"/>
  <c r="EK26" i="11"/>
  <c r="DW24" i="11"/>
  <c r="DW53" i="11"/>
  <c r="DW43" i="11"/>
  <c r="DW40" i="11"/>
  <c r="EK39" i="11"/>
  <c r="EK35" i="11"/>
  <c r="DW34" i="11"/>
  <c r="EK28" i="11"/>
  <c r="EK21" i="11"/>
  <c r="DW20" i="11"/>
  <c r="EK17" i="11"/>
  <c r="EK46" i="11"/>
  <c r="EK32" i="11"/>
  <c r="EK24" i="11"/>
  <c r="EK18" i="11"/>
  <c r="EK16" i="11"/>
  <c r="EK11" i="11"/>
  <c r="BZ6" i="11"/>
  <c r="AQ7" i="11"/>
  <c r="DW7" i="11"/>
  <c r="CZ8" i="11"/>
  <c r="AV42" i="11"/>
  <c r="AV39" i="11"/>
  <c r="AV45" i="11"/>
  <c r="AV41" i="11"/>
  <c r="AV37" i="11"/>
  <c r="AV29" i="11"/>
  <c r="AV10" i="11"/>
  <c r="AV15" i="11"/>
  <c r="AV13" i="11"/>
  <c r="AV8" i="11"/>
  <c r="AV51" i="11"/>
  <c r="BN9" i="11"/>
  <c r="AQ13" i="11"/>
  <c r="BE15" i="11"/>
  <c r="DU15" i="11"/>
  <c r="AQ16" i="11"/>
  <c r="BZ16" i="11"/>
  <c r="DW17" i="11"/>
  <c r="EK20" i="11"/>
  <c r="BC21" i="11"/>
  <c r="CC21" i="11"/>
  <c r="EK22" i="11"/>
  <c r="BE23" i="11"/>
  <c r="BC24" i="11"/>
  <c r="DU26" i="11"/>
  <c r="CZ30" i="11"/>
  <c r="BC31" i="11"/>
  <c r="DW32" i="11"/>
  <c r="AV33" i="11"/>
  <c r="BV35" i="11"/>
  <c r="DE38" i="11"/>
  <c r="EI38" i="11"/>
  <c r="BE40" i="11"/>
  <c r="EK42" i="11"/>
  <c r="CZ45" i="11"/>
  <c r="AQ50" i="11"/>
  <c r="BZ53" i="11"/>
  <c r="AV6" i="11"/>
  <c r="BZ7" i="11"/>
  <c r="CZ7" i="11"/>
  <c r="AV9" i="11"/>
  <c r="EK9" i="11"/>
  <c r="BE10" i="11"/>
  <c r="BC11" i="11"/>
  <c r="CZ14" i="11"/>
  <c r="EI14" i="11"/>
  <c r="DW15" i="11"/>
  <c r="AV18" i="11"/>
  <c r="AQ19" i="11"/>
  <c r="BZ19" i="11"/>
  <c r="BE21" i="11"/>
  <c r="CZ25" i="11"/>
  <c r="EI25" i="11"/>
  <c r="BC26" i="11"/>
  <c r="DW26" i="11"/>
  <c r="AV27" i="11"/>
  <c r="DU27" i="11"/>
  <c r="BZ29" i="11"/>
  <c r="EI30" i="11"/>
  <c r="BE31" i="11"/>
  <c r="EK38" i="11"/>
  <c r="CZ41" i="11"/>
  <c r="AV47" i="11"/>
  <c r="BZ49" i="11"/>
  <c r="DU50" i="11"/>
  <c r="BE51" i="11"/>
  <c r="EI51" i="11"/>
  <c r="CZ52" i="11"/>
  <c r="AV53" i="11"/>
  <c r="CG37" i="11"/>
  <c r="CG50" i="11"/>
  <c r="CG51" i="11"/>
  <c r="CG46" i="11"/>
  <c r="CG45" i="11"/>
  <c r="CG33" i="11"/>
  <c r="CG7" i="11"/>
  <c r="CG29" i="11"/>
  <c r="CG27" i="11"/>
  <c r="CG25" i="11"/>
  <c r="CG22" i="11"/>
  <c r="CG17" i="11"/>
  <c r="CG12" i="11"/>
  <c r="CG49" i="11"/>
  <c r="CG48" i="11"/>
  <c r="DE6" i="11"/>
  <c r="AV7" i="11"/>
  <c r="BC8" i="11"/>
  <c r="EI8" i="11"/>
  <c r="AX52" i="11"/>
  <c r="AX41" i="11"/>
  <c r="AX46" i="11"/>
  <c r="AX28" i="11"/>
  <c r="AX51" i="11"/>
  <c r="AX45" i="11"/>
  <c r="AX43" i="11"/>
  <c r="AX18" i="11"/>
  <c r="AX16" i="11"/>
  <c r="CQ9" i="11"/>
  <c r="BE11" i="11"/>
  <c r="CZ12" i="11"/>
  <c r="AX13" i="11"/>
  <c r="EK14" i="11"/>
  <c r="AV16" i="11"/>
  <c r="CG16" i="11"/>
  <c r="BC18" i="11"/>
  <c r="DU18" i="11"/>
  <c r="AQ20" i="11"/>
  <c r="CG21" i="11"/>
  <c r="CZ23" i="11"/>
  <c r="EI23" i="11"/>
  <c r="EK25" i="11"/>
  <c r="BE26" i="11"/>
  <c r="AX27" i="11"/>
  <c r="BZ27" i="11"/>
  <c r="DW27" i="11"/>
  <c r="AV28" i="11"/>
  <c r="DU28" i="11"/>
  <c r="AQ29" i="11"/>
  <c r="EK30" i="11"/>
  <c r="CG31" i="11"/>
  <c r="DU33" i="11"/>
  <c r="AQ34" i="11"/>
  <c r="BZ34" i="11"/>
  <c r="BZ35" i="11"/>
  <c r="AQ44" i="11"/>
  <c r="BZ44" i="11"/>
  <c r="DW46" i="11"/>
  <c r="AX47" i="11"/>
  <c r="DU49" i="11"/>
  <c r="AV50" i="11"/>
  <c r="DW50" i="11"/>
  <c r="EK51" i="11"/>
  <c r="AX53" i="11"/>
  <c r="AH43" i="11"/>
  <c r="AH23" i="11"/>
  <c r="AH20" i="11"/>
  <c r="AH15" i="11"/>
  <c r="AH53" i="11"/>
  <c r="AH52" i="11"/>
  <c r="AH42" i="11"/>
  <c r="AH32" i="11"/>
  <c r="AH30" i="11"/>
  <c r="AH26" i="11"/>
  <c r="AH48" i="11"/>
  <c r="AH46" i="11"/>
  <c r="AH11" i="11"/>
  <c r="AH50" i="11"/>
  <c r="AH49" i="11"/>
  <c r="BS44" i="11"/>
  <c r="BS43" i="11"/>
  <c r="BS47" i="11"/>
  <c r="BS36" i="11"/>
  <c r="BS28" i="11"/>
  <c r="DN49" i="11"/>
  <c r="DN47" i="11"/>
  <c r="EB42" i="11"/>
  <c r="EB39" i="11"/>
  <c r="DN35" i="11"/>
  <c r="DN52" i="11"/>
  <c r="EB43" i="11"/>
  <c r="DN42" i="11"/>
  <c r="EB40" i="11"/>
  <c r="EB36" i="11"/>
  <c r="EB29" i="11"/>
  <c r="DN25" i="11"/>
  <c r="DN15" i="11"/>
  <c r="DN9" i="11"/>
  <c r="BS6" i="11"/>
  <c r="EB7" i="11"/>
  <c r="DN11" i="11"/>
  <c r="DN19" i="11"/>
  <c r="DN24" i="11"/>
  <c r="BS39" i="11"/>
  <c r="EB44" i="11"/>
  <c r="EB50" i="11"/>
  <c r="CS47" i="11"/>
  <c r="CS35" i="11"/>
  <c r="CS11" i="11"/>
  <c r="CS9" i="11"/>
  <c r="ED43" i="11"/>
  <c r="ED41" i="11"/>
  <c r="ED38" i="11"/>
  <c r="DP51" i="11"/>
  <c r="ED44" i="11"/>
  <c r="DP39" i="11"/>
  <c r="DP34" i="11"/>
  <c r="ED28" i="11"/>
  <c r="DP22" i="11"/>
  <c r="DP19" i="11"/>
  <c r="DP14" i="11"/>
  <c r="ED10" i="11"/>
  <c r="CS6" i="11"/>
  <c r="ED7" i="11"/>
  <c r="BV9" i="11"/>
  <c r="DP11" i="11"/>
  <c r="EB13" i="11"/>
  <c r="BS14" i="11"/>
  <c r="EB14" i="11"/>
  <c r="CS20" i="11"/>
  <c r="DN22" i="11"/>
  <c r="DP24" i="11"/>
  <c r="DP25" i="11"/>
  <c r="EB27" i="11"/>
  <c r="DN29" i="11"/>
  <c r="DN31" i="11"/>
  <c r="CS38" i="11"/>
  <c r="ED42" i="11"/>
  <c r="DN45" i="11"/>
  <c r="DS47" i="11"/>
  <c r="BS50" i="11"/>
  <c r="ED50" i="11"/>
  <c r="BX48" i="11"/>
  <c r="BX42" i="11"/>
  <c r="BX39" i="11"/>
  <c r="BX29" i="11"/>
  <c r="BX9" i="11"/>
  <c r="CU46" i="11"/>
  <c r="CU44" i="11"/>
  <c r="CU30" i="11"/>
  <c r="CE53" i="11"/>
  <c r="CE51" i="11"/>
  <c r="CE38" i="11"/>
  <c r="DL36" i="11" l="1"/>
  <c r="DL50" i="11"/>
  <c r="DL48" i="11"/>
  <c r="DL23" i="11"/>
  <c r="DL20" i="11"/>
  <c r="DL16" i="11"/>
  <c r="DL51" i="11"/>
  <c r="DL41" i="11"/>
  <c r="DL33" i="11"/>
  <c r="DL12" i="11"/>
  <c r="DL45" i="11"/>
  <c r="DL31" i="11"/>
  <c r="DL29" i="11"/>
  <c r="DL25" i="11"/>
  <c r="DL22" i="11"/>
  <c r="DL49" i="11"/>
  <c r="DL47" i="11"/>
  <c r="DL19" i="11"/>
  <c r="DL37" i="11"/>
  <c r="DL24" i="11"/>
  <c r="DL21" i="11"/>
  <c r="DL11" i="11"/>
  <c r="DL46" i="11"/>
  <c r="DL18" i="11"/>
  <c r="DL53" i="11"/>
  <c r="DL26" i="11"/>
  <c r="DL15" i="11"/>
  <c r="DL32" i="11"/>
  <c r="DL17" i="11"/>
  <c r="DL44" i="11"/>
  <c r="DL40" i="11"/>
  <c r="DL42" i="11"/>
  <c r="DL30" i="11"/>
  <c r="DL8" i="11"/>
  <c r="DL35" i="11"/>
  <c r="DL34" i="11"/>
  <c r="DL39" i="11"/>
  <c r="DL6" i="11"/>
  <c r="DL38" i="11"/>
  <c r="DL14" i="11"/>
  <c r="DL7" i="11"/>
  <c r="DL52" i="11"/>
  <c r="BA9" i="11"/>
  <c r="DL10" i="11"/>
  <c r="DL28" i="11"/>
  <c r="BA23" i="11"/>
  <c r="DZ28" i="11"/>
  <c r="BV44" i="11"/>
  <c r="BV30" i="11"/>
  <c r="BV11" i="11"/>
  <c r="BV39" i="11"/>
  <c r="BV6" i="11"/>
  <c r="BV40" i="11"/>
  <c r="BV37" i="11"/>
  <c r="BV8" i="11"/>
  <c r="BV52" i="11"/>
  <c r="BV45" i="11"/>
  <c r="BV42" i="11"/>
  <c r="BV41" i="11"/>
  <c r="BV17" i="11"/>
  <c r="BV14" i="11"/>
  <c r="BV38" i="11"/>
  <c r="BV36" i="11"/>
  <c r="BV22" i="11"/>
  <c r="BV20" i="11"/>
  <c r="BV34" i="11"/>
  <c r="BV29" i="11"/>
  <c r="BV19" i="11"/>
  <c r="BV7" i="11"/>
  <c r="BV53" i="11"/>
  <c r="BV16" i="11"/>
  <c r="BV21" i="11"/>
  <c r="BV18" i="11"/>
  <c r="BV50" i="11"/>
  <c r="BV47" i="11"/>
  <c r="BV51" i="11"/>
  <c r="BV46" i="11"/>
  <c r="BV23" i="11"/>
  <c r="BV26" i="11"/>
  <c r="BV12" i="11"/>
  <c r="BV25" i="11"/>
  <c r="BV15" i="11"/>
  <c r="CX52" i="11"/>
  <c r="CX48" i="11"/>
  <c r="CX36" i="11"/>
  <c r="CX32" i="11"/>
  <c r="CX44" i="11"/>
  <c r="CX14" i="11"/>
  <c r="CX50" i="11"/>
  <c r="CX23" i="11"/>
  <c r="CX12" i="11"/>
  <c r="CX42" i="11"/>
  <c r="CX41" i="11"/>
  <c r="CX39" i="11"/>
  <c r="CX25" i="11"/>
  <c r="CX7" i="11"/>
  <c r="CX45" i="11"/>
  <c r="CX30" i="11"/>
  <c r="CX8" i="11"/>
  <c r="CX37" i="11"/>
  <c r="CX35" i="11"/>
  <c r="CX22" i="11"/>
  <c r="CX20" i="11"/>
  <c r="CX6" i="11"/>
  <c r="CX38" i="11"/>
  <c r="CX34" i="11"/>
  <c r="CX29" i="11"/>
  <c r="CX21" i="11"/>
  <c r="CX49" i="11"/>
  <c r="CX16" i="11"/>
  <c r="CX47" i="11"/>
  <c r="CX33" i="11"/>
  <c r="CX19" i="11"/>
  <c r="CX18" i="11"/>
  <c r="CX11" i="11"/>
  <c r="CX53" i="11"/>
  <c r="CX15" i="11"/>
  <c r="CX51" i="11"/>
  <c r="CX28" i="11"/>
  <c r="CX26" i="11"/>
  <c r="CX9" i="11"/>
  <c r="EG10" i="11"/>
  <c r="BV10" i="11"/>
  <c r="BA28" i="11"/>
  <c r="BH50" i="11"/>
  <c r="BH36" i="11"/>
  <c r="BH39" i="11"/>
  <c r="BH26" i="11"/>
  <c r="BH23" i="11"/>
  <c r="BH20" i="11"/>
  <c r="BH16" i="11"/>
  <c r="BH12" i="11"/>
  <c r="BH19" i="11"/>
  <c r="BH7" i="11"/>
  <c r="BH47" i="11"/>
  <c r="BH34" i="11"/>
  <c r="BH17" i="11"/>
  <c r="BH51" i="11"/>
  <c r="BH40" i="11"/>
  <c r="BH31" i="11"/>
  <c r="BH24" i="11"/>
  <c r="BH15" i="11"/>
  <c r="BH52" i="11"/>
  <c r="BH14" i="11"/>
  <c r="BH44" i="11"/>
  <c r="BH43" i="11"/>
  <c r="BH42" i="11"/>
  <c r="BH30" i="11"/>
  <c r="BH25" i="11"/>
  <c r="BH45" i="11"/>
  <c r="BH38" i="11"/>
  <c r="BH41" i="11"/>
  <c r="BH35" i="11"/>
  <c r="BH37" i="11"/>
  <c r="BH22" i="11"/>
  <c r="BH9" i="11"/>
  <c r="BH10" i="11"/>
  <c r="BH8" i="11"/>
  <c r="BH11" i="11"/>
  <c r="BH29" i="11"/>
  <c r="BH18" i="11"/>
  <c r="BH6" i="11"/>
  <c r="BH33" i="11"/>
  <c r="AT21" i="11"/>
  <c r="DL13" i="11"/>
  <c r="DZ24" i="11"/>
  <c r="DZ52" i="11"/>
  <c r="EG52" i="11"/>
  <c r="BH21" i="11"/>
  <c r="CX40" i="11"/>
  <c r="CX17" i="11"/>
  <c r="CC53" i="11"/>
  <c r="CC41" i="11"/>
  <c r="CC24" i="11"/>
  <c r="CC51" i="11"/>
  <c r="CC32" i="11"/>
  <c r="CC18" i="11"/>
  <c r="CC16" i="11"/>
  <c r="CC49" i="11"/>
  <c r="CC37" i="11"/>
  <c r="CC29" i="11"/>
  <c r="CC19" i="11"/>
  <c r="CC33" i="11"/>
  <c r="CC31" i="11"/>
  <c r="CC50" i="11"/>
  <c r="CC47" i="11"/>
  <c r="CC48" i="11"/>
  <c r="CC26" i="11"/>
  <c r="CC43" i="11"/>
  <c r="CC23" i="11"/>
  <c r="CC15" i="11"/>
  <c r="CC42" i="11"/>
  <c r="CC12" i="11"/>
  <c r="CC35" i="11"/>
  <c r="CC25" i="11"/>
  <c r="CC34" i="11"/>
  <c r="CC36" i="11"/>
  <c r="CC38" i="11"/>
  <c r="CC44" i="11"/>
  <c r="CC39" i="11"/>
  <c r="CC20" i="11"/>
  <c r="CC14" i="11"/>
  <c r="CC45" i="11"/>
  <c r="CC7" i="11"/>
  <c r="CC30" i="11"/>
  <c r="CC22" i="11"/>
  <c r="CC11" i="11"/>
  <c r="DS7" i="11"/>
  <c r="EG9" i="11"/>
  <c r="BA46" i="11"/>
  <c r="BV27" i="11"/>
  <c r="DL27" i="11"/>
  <c r="DZ9" i="11"/>
  <c r="CX43" i="11"/>
  <c r="EG43" i="11"/>
  <c r="CQ43" i="11"/>
  <c r="BH53" i="11"/>
  <c r="BV24" i="11"/>
  <c r="CQ49" i="11"/>
  <c r="DS52" i="11"/>
  <c r="BH46" i="11"/>
  <c r="CQ6" i="11"/>
  <c r="CC6" i="11"/>
  <c r="BV28" i="11"/>
  <c r="CX46" i="11"/>
  <c r="CC28" i="11"/>
  <c r="DZ48" i="11"/>
  <c r="EN36" i="11"/>
  <c r="EN53" i="11"/>
  <c r="EN38" i="11"/>
  <c r="DZ32" i="11"/>
  <c r="EN23" i="11"/>
  <c r="EN20" i="11"/>
  <c r="DZ17" i="11"/>
  <c r="EN16" i="11"/>
  <c r="EN46" i="11"/>
  <c r="EN32" i="11"/>
  <c r="EN24" i="11"/>
  <c r="EN18" i="11"/>
  <c r="EN11" i="11"/>
  <c r="DZ42" i="11"/>
  <c r="EN37" i="11"/>
  <c r="EN33" i="11"/>
  <c r="DZ14" i="11"/>
  <c r="DZ13" i="11"/>
  <c r="EN9" i="11"/>
  <c r="EN6" i="11"/>
  <c r="EN52" i="11"/>
  <c r="EN51" i="11"/>
  <c r="DZ50" i="11"/>
  <c r="DZ26" i="11"/>
  <c r="DZ15" i="11"/>
  <c r="EN42" i="11"/>
  <c r="EN22" i="11"/>
  <c r="DZ7" i="11"/>
  <c r="DZ53" i="11"/>
  <c r="EN47" i="11"/>
  <c r="EN45" i="11"/>
  <c r="EN41" i="11"/>
  <c r="EN39" i="11"/>
  <c r="DZ12" i="11"/>
  <c r="DZ6" i="11"/>
  <c r="EN44" i="11"/>
  <c r="EN40" i="11"/>
  <c r="EN35" i="11"/>
  <c r="EN34" i="11"/>
  <c r="EN29" i="11"/>
  <c r="EN19" i="11"/>
  <c r="EN13" i="11"/>
  <c r="DZ51" i="11"/>
  <c r="EN43" i="11"/>
  <c r="EN31" i="11"/>
  <c r="DZ23" i="11"/>
  <c r="EN21" i="11"/>
  <c r="DZ8" i="11"/>
  <c r="EN49" i="11"/>
  <c r="DZ39" i="11"/>
  <c r="DZ38" i="11"/>
  <c r="DZ30" i="11"/>
  <c r="DZ25" i="11"/>
  <c r="DZ44" i="11"/>
  <c r="DZ41" i="11"/>
  <c r="EN28" i="11"/>
  <c r="EN27" i="11"/>
  <c r="DZ40" i="11"/>
  <c r="DZ37" i="11"/>
  <c r="DZ35" i="11"/>
  <c r="DZ22" i="11"/>
  <c r="DZ20" i="11"/>
  <c r="DZ45" i="11"/>
  <c r="EN26" i="11"/>
  <c r="EN48" i="11"/>
  <c r="EN25" i="11"/>
  <c r="DZ29" i="11"/>
  <c r="EN50" i="11"/>
  <c r="DZ47" i="11"/>
  <c r="DZ46" i="11"/>
  <c r="EN17" i="11"/>
  <c r="EN14" i="11"/>
  <c r="DZ34" i="11"/>
  <c r="DZ11" i="11"/>
  <c r="EN10" i="11"/>
  <c r="EN7" i="11"/>
  <c r="DZ33" i="11"/>
  <c r="DZ18" i="11"/>
  <c r="DZ16" i="11"/>
  <c r="DZ49" i="11"/>
  <c r="DZ31" i="11"/>
  <c r="EN30" i="11"/>
  <c r="DZ36" i="11"/>
  <c r="EN15" i="11"/>
  <c r="EN12" i="11"/>
  <c r="DZ19" i="11"/>
  <c r="EN8" i="11"/>
  <c r="DZ21" i="11"/>
  <c r="BA45" i="11"/>
  <c r="BA43" i="11"/>
  <c r="BA18" i="11"/>
  <c r="BA16" i="11"/>
  <c r="BA33" i="11"/>
  <c r="BA8" i="11"/>
  <c r="BA51" i="11"/>
  <c r="BA26" i="11"/>
  <c r="BA11" i="11"/>
  <c r="BA49" i="11"/>
  <c r="BA31" i="11"/>
  <c r="BA24" i="11"/>
  <c r="BA21" i="11"/>
  <c r="BA15" i="11"/>
  <c r="BA52" i="11"/>
  <c r="BA32" i="11"/>
  <c r="BA12" i="11"/>
  <c r="BA42" i="11"/>
  <c r="BA39" i="11"/>
  <c r="BA38" i="11"/>
  <c r="BA36" i="11"/>
  <c r="BA14" i="11"/>
  <c r="BA48" i="11"/>
  <c r="BA44" i="11"/>
  <c r="BA30" i="11"/>
  <c r="BA22" i="11"/>
  <c r="BA20" i="11"/>
  <c r="BA17" i="11"/>
  <c r="BA41" i="11"/>
  <c r="BA6" i="11"/>
  <c r="BA29" i="11"/>
  <c r="BA7" i="11"/>
  <c r="BA50" i="11"/>
  <c r="BA35" i="11"/>
  <c r="BA34" i="11"/>
  <c r="BA37" i="11"/>
  <c r="BA19" i="11"/>
  <c r="BA47" i="11"/>
  <c r="DL9" i="11"/>
  <c r="AT43" i="11"/>
  <c r="AT30" i="11"/>
  <c r="AT11" i="11"/>
  <c r="AT41" i="11"/>
  <c r="AT35" i="11"/>
  <c r="AT28" i="11"/>
  <c r="AT6" i="11"/>
  <c r="AT15" i="11"/>
  <c r="AT13" i="11"/>
  <c r="AT8" i="11"/>
  <c r="AT51" i="11"/>
  <c r="AT19" i="11"/>
  <c r="AT50" i="11"/>
  <c r="AT16" i="11"/>
  <c r="AT7" i="11"/>
  <c r="AT53" i="11"/>
  <c r="AT47" i="11"/>
  <c r="AT27" i="11"/>
  <c r="AT26" i="11"/>
  <c r="AT49" i="11"/>
  <c r="AT24" i="11"/>
  <c r="AT40" i="11"/>
  <c r="AT52" i="11"/>
  <c r="AT44" i="11"/>
  <c r="AT37" i="11"/>
  <c r="AT14" i="11"/>
  <c r="AT17" i="11"/>
  <c r="AT42" i="11"/>
  <c r="AT22" i="11"/>
  <c r="AT29" i="11"/>
  <c r="AT23" i="11"/>
  <c r="AT12" i="11"/>
  <c r="AT25" i="11"/>
  <c r="AT38" i="11"/>
  <c r="AT48" i="11"/>
  <c r="AT36" i="11"/>
  <c r="AT39" i="11"/>
  <c r="AT34" i="11"/>
  <c r="EG51" i="11"/>
  <c r="DS45" i="11"/>
  <c r="EG40" i="11"/>
  <c r="DS34" i="11"/>
  <c r="DS46" i="11"/>
  <c r="DS33" i="11"/>
  <c r="DS21" i="11"/>
  <c r="DS18" i="11"/>
  <c r="DS49" i="11"/>
  <c r="DS48" i="11"/>
  <c r="EG44" i="11"/>
  <c r="DS38" i="11"/>
  <c r="DS30" i="11"/>
  <c r="DS26" i="11"/>
  <c r="DS19" i="11"/>
  <c r="DS36" i="11"/>
  <c r="DS23" i="11"/>
  <c r="EG15" i="11"/>
  <c r="EG12" i="11"/>
  <c r="DS8" i="11"/>
  <c r="DS53" i="11"/>
  <c r="EG48" i="11"/>
  <c r="DS31" i="11"/>
  <c r="DS16" i="11"/>
  <c r="EG7" i="11"/>
  <c r="EG23" i="11"/>
  <c r="EG8" i="11"/>
  <c r="DS50" i="11"/>
  <c r="EG30" i="11"/>
  <c r="EG25" i="11"/>
  <c r="EG14" i="11"/>
  <c r="EG39" i="11"/>
  <c r="EG38" i="11"/>
  <c r="DS15" i="11"/>
  <c r="EG45" i="11"/>
  <c r="EG42" i="11"/>
  <c r="EG41" i="11"/>
  <c r="EG37" i="11"/>
  <c r="EG35" i="11"/>
  <c r="DS32" i="11"/>
  <c r="EG22" i="11"/>
  <c r="EG20" i="11"/>
  <c r="DS17" i="11"/>
  <c r="EG21" i="11"/>
  <c r="DS6" i="11"/>
  <c r="EG36" i="11"/>
  <c r="EG34" i="11"/>
  <c r="EG31" i="11"/>
  <c r="EG29" i="11"/>
  <c r="EG19" i="11"/>
  <c r="DS14" i="11"/>
  <c r="DS51" i="11"/>
  <c r="EG49" i="11"/>
  <c r="DS42" i="11"/>
  <c r="EG33" i="11"/>
  <c r="EG18" i="11"/>
  <c r="EG16" i="11"/>
  <c r="EG28" i="11"/>
  <c r="EG46" i="11"/>
  <c r="DS41" i="11"/>
  <c r="EG26" i="11"/>
  <c r="DS22" i="11"/>
  <c r="DS9" i="11"/>
  <c r="EG50" i="11"/>
  <c r="DS35" i="11"/>
  <c r="EG32" i="11"/>
  <c r="DS29" i="11"/>
  <c r="EG17" i="11"/>
  <c r="DS25" i="11"/>
  <c r="EG53" i="11"/>
  <c r="DS37" i="11"/>
  <c r="DS11" i="11"/>
  <c r="DS44" i="11"/>
  <c r="DS43" i="11"/>
  <c r="DS40" i="11"/>
  <c r="DS39" i="11"/>
  <c r="DS24" i="11"/>
  <c r="DS20" i="11"/>
  <c r="EG47" i="11"/>
  <c r="BA25" i="11"/>
  <c r="DS12" i="11"/>
  <c r="AT10" i="11"/>
  <c r="EG6" i="11"/>
  <c r="BA53" i="11"/>
  <c r="AT9" i="11"/>
  <c r="BA10" i="11"/>
  <c r="DS10" i="11"/>
  <c r="CQ45" i="11"/>
  <c r="CQ33" i="11"/>
  <c r="CQ21" i="11"/>
  <c r="CQ18" i="11"/>
  <c r="CQ53" i="11"/>
  <c r="CQ52" i="11"/>
  <c r="CQ34" i="11"/>
  <c r="CQ26" i="11"/>
  <c r="CQ23" i="11"/>
  <c r="CQ38" i="11"/>
  <c r="CQ20" i="11"/>
  <c r="CQ32" i="11"/>
  <c r="CQ15" i="11"/>
  <c r="CQ28" i="11"/>
  <c r="CQ14" i="11"/>
  <c r="CQ44" i="11"/>
  <c r="CQ42" i="11"/>
  <c r="CQ41" i="11"/>
  <c r="CQ39" i="11"/>
  <c r="CQ30" i="11"/>
  <c r="CQ25" i="11"/>
  <c r="CQ35" i="11"/>
  <c r="CQ37" i="11"/>
  <c r="CQ36" i="11"/>
  <c r="CQ22" i="11"/>
  <c r="CQ50" i="11"/>
  <c r="CQ47" i="11"/>
  <c r="CQ11" i="11"/>
  <c r="CQ24" i="11"/>
  <c r="CQ19" i="11"/>
  <c r="CQ16" i="11"/>
  <c r="CQ29" i="11"/>
  <c r="DL43" i="11"/>
  <c r="CX31" i="11"/>
  <c r="BV33" i="11"/>
  <c r="DZ10" i="11"/>
  <c r="DZ27" i="11"/>
  <c r="BH13" i="11"/>
  <c r="CC52" i="11"/>
  <c r="BV43" i="11"/>
  <c r="AT45" i="11"/>
  <c r="BO47" i="11" l="1"/>
  <c r="BO45" i="11"/>
  <c r="BO52" i="11"/>
  <c r="BO18" i="11"/>
  <c r="BO44" i="11"/>
  <c r="BO42" i="11"/>
  <c r="BO20" i="11"/>
  <c r="BO11" i="11"/>
  <c r="BO13" i="11"/>
  <c r="BO50" i="11"/>
  <c r="BO32" i="11"/>
  <c r="BO39" i="11"/>
  <c r="BO23" i="11"/>
  <c r="BO14" i="11"/>
  <c r="BO25" i="11"/>
  <c r="BO12" i="11"/>
  <c r="BO41" i="11"/>
  <c r="BO36" i="11"/>
  <c r="BO30" i="11"/>
  <c r="BO38" i="11"/>
  <c r="BO37" i="11"/>
  <c r="BO35" i="11"/>
  <c r="BO22" i="11"/>
  <c r="BO34" i="11"/>
  <c r="BO29" i="11"/>
  <c r="BO6" i="11"/>
  <c r="BO19" i="11"/>
  <c r="BO16" i="11"/>
  <c r="BO8" i="11"/>
  <c r="BO7" i="11"/>
  <c r="BO53" i="11"/>
  <c r="BO31" i="11"/>
  <c r="BO40" i="11"/>
  <c r="BO26" i="11"/>
  <c r="BO46" i="11"/>
  <c r="BO33" i="11"/>
  <c r="BO51" i="11"/>
  <c r="BO15" i="11"/>
  <c r="BO24" i="11"/>
  <c r="BO43" i="11"/>
  <c r="BO17" i="11"/>
  <c r="BO28" i="11"/>
  <c r="BO10" i="11"/>
  <c r="BO21" i="11"/>
  <c r="BO27" i="11"/>
  <c r="BO9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4B07C9-C660-4C36-8FD8-FBCC722B60E5}" keepAlive="1" name="クエリ - シーズンごと" description="ブック内の 'シーズンごと' クエリへの接続です。" type="5" refreshedVersion="8" background="1" saveData="1">
    <dbPr connection="Provider=Microsoft.Mashup.OleDb.1;Data Source=$Workbook$;Location=シーズンごと;Extended Properties=&quot;&quot;" command="SELECT * FROM [シーズンごと]"/>
  </connection>
  <connection id="2" xr16:uid="{EF2D4714-306B-4C31-87CB-D118FB2B9297}" keepAlive="1" name="クエリ - シーズンごと纏め" description="ブック内の 'シーズンごと纏め' クエリへの接続です。" type="5" refreshedVersion="0" background="1" saveData="1">
    <dbPr connection="Provider=Microsoft.Mashup.OleDb.1;Data Source=$Workbook$;Location=シーズンごと纏め;Extended Properties=&quot;&quot;" command="SELECT * FROM [シーズンごと纏め]"/>
  </connection>
  <connection id="3" xr16:uid="{D3AC6CEF-F7D7-48D5-8496-43F323202924}" keepAlive="1" name="クエリ - 纏め" description="ブック内の '纏め' クエリへの接続です。" type="5" refreshedVersion="8" background="1" saveData="1">
    <dbPr connection="Provider=Microsoft.Mashup.OleDb.1;Data Source=$Workbook$;Location=纏め;Extended Properties=&quot;&quot;" command="SELECT * FROM [纏め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<sst xmlns="http://schemas.openxmlformats.org/spreadsheetml/2006/main" count="1904" uniqueCount="165">
  <si>
    <t>APIC 翻訳業務時間</t>
  </si>
  <si>
    <t>TIVN</t>
    <phoneticPr fontId="1"/>
  </si>
  <si>
    <t>　　　　　担当案件
Brand</t>
  </si>
  <si>
    <t>管理</t>
    <rPh sb="0" eb="2">
      <t>カンリ</t>
    </rPh>
    <phoneticPr fontId="1"/>
  </si>
  <si>
    <t>翻訳業務比(%)</t>
    <rPh sb="0" eb="2">
      <t>ホンヤク</t>
    </rPh>
    <phoneticPr fontId="1"/>
  </si>
  <si>
    <t>翻訳(ネット作業時間）(分)　</t>
    <rPh sb="6" eb="8">
      <t>サギョウ</t>
    </rPh>
    <rPh sb="8" eb="10">
      <t>ジカン</t>
    </rPh>
    <phoneticPr fontId="1"/>
  </si>
  <si>
    <t>翻訳資料</t>
  </si>
  <si>
    <t>各ステージにおける翻訳資料</t>
    <rPh sb="0" eb="1">
      <t>カク</t>
    </rPh>
    <rPh sb="9" eb="11">
      <t>ホンヤク</t>
    </rPh>
    <rPh sb="11" eb="13">
      <t>シリョウ</t>
    </rPh>
    <phoneticPr fontId="1"/>
  </si>
  <si>
    <t>23FWサンプル(1st, 2nd, 3rd….)</t>
  </si>
  <si>
    <t>23FWサンプル(SMS)</t>
  </si>
  <si>
    <t>24SS(1st, 2nd, 3rd….)</t>
  </si>
  <si>
    <t>24SS( SMS)</t>
  </si>
  <si>
    <t>24FW(1st, 2nd, 3rd….)</t>
  </si>
  <si>
    <t>24FW(SMS)</t>
  </si>
  <si>
    <t>25SS(1st, 2nd, 3rd….)</t>
  </si>
  <si>
    <t>25SS(SMS)</t>
  </si>
  <si>
    <t>25FW(1st, 2nd, 3rd….)</t>
  </si>
  <si>
    <t>25FW(SMS)</t>
  </si>
  <si>
    <t>26SS(1st, 2nd, 3rd….)</t>
  </si>
  <si>
    <t>26SS(SMS)</t>
  </si>
  <si>
    <t>26FW(1st, 2nd, 3rd….)</t>
  </si>
  <si>
    <t>26FW(SMS)</t>
  </si>
  <si>
    <t>27SS(1st, 2nd, 3rd….)</t>
  </si>
  <si>
    <t>27SS(SMS)</t>
  </si>
  <si>
    <t>列1</t>
  </si>
  <si>
    <t>Huy</t>
  </si>
  <si>
    <t xml:space="preserve">Luan </t>
  </si>
  <si>
    <t xml:space="preserve">Cuong </t>
  </si>
  <si>
    <t>Khanh</t>
  </si>
  <si>
    <t xml:space="preserve">Hien </t>
  </si>
  <si>
    <t>H.Trang</t>
  </si>
  <si>
    <t>B.Trang</t>
  </si>
  <si>
    <t>Nhu</t>
  </si>
  <si>
    <t>翻訳業務</t>
  </si>
  <si>
    <t>他業務</t>
  </si>
  <si>
    <t>仕様書</t>
  </si>
  <si>
    <t>規格書</t>
  </si>
  <si>
    <t>バーツリスト</t>
  </si>
  <si>
    <t>加工指示書</t>
  </si>
  <si>
    <t>寸法表</t>
  </si>
  <si>
    <t>コメント</t>
  </si>
  <si>
    <t>工場コメント</t>
  </si>
  <si>
    <t>用尺表</t>
  </si>
  <si>
    <t xml:space="preserve">BOM </t>
  </si>
  <si>
    <t>合計　時間　　(時間)</t>
    <rPh sb="9" eb="10">
      <t>カン</t>
    </rPh>
    <phoneticPr fontId="1"/>
  </si>
  <si>
    <t>品番毎平均ページ数</t>
  </si>
  <si>
    <t>1st</t>
    <phoneticPr fontId="1"/>
  </si>
  <si>
    <t>2nd</t>
  </si>
  <si>
    <t>3rd</t>
  </si>
  <si>
    <t>SMS</t>
  </si>
  <si>
    <t>SIZE SET</t>
  </si>
  <si>
    <t>Re-SIZESET</t>
  </si>
  <si>
    <t>PPS</t>
  </si>
  <si>
    <t>Re-PPS</t>
  </si>
  <si>
    <t>BULK</t>
  </si>
  <si>
    <t xml:space="preserve">生産数
</t>
  </si>
  <si>
    <t xml:space="preserve">品番数
</t>
  </si>
  <si>
    <t xml:space="preserve">平均秒数
</t>
  </si>
  <si>
    <t xml:space="preserve">稼働日数　　(延べ日数）
</t>
  </si>
  <si>
    <t>生産数</t>
  </si>
  <si>
    <t>品番数</t>
  </si>
  <si>
    <t>平均秒数</t>
  </si>
  <si>
    <t>稼働日数　　(延べ日数）</t>
    <rPh sb="7" eb="8">
      <t>ノ</t>
    </rPh>
    <rPh sb="9" eb="11">
      <t>ニッスウ</t>
    </rPh>
    <phoneticPr fontId="1"/>
  </si>
  <si>
    <t>稼働日数　　(延べ日数）</t>
  </si>
  <si>
    <t>TNF(GTC企画)</t>
  </si>
  <si>
    <t>●</t>
  </si>
  <si>
    <t>TNF</t>
  </si>
  <si>
    <t>TNF(東京企画)</t>
  </si>
  <si>
    <t>TNF(東京企画、GTC企画共通)サンプル</t>
  </si>
  <si>
    <t>Hệ số nhân</t>
  </si>
  <si>
    <t>TNF別注</t>
  </si>
  <si>
    <t>TNF別注 TOYAMA</t>
  </si>
  <si>
    <t>NW</t>
  </si>
  <si>
    <t>5～10</t>
  </si>
  <si>
    <t> RESURRECTION</t>
  </si>
  <si>
    <t>52～60</t>
  </si>
  <si>
    <t xml:space="preserve">MACKINTOSH LONDON </t>
  </si>
  <si>
    <t>4～6</t>
  </si>
  <si>
    <t>FEATHERED FNIENDS</t>
  </si>
  <si>
    <t>HYKE</t>
  </si>
  <si>
    <t>Gymphlex</t>
  </si>
  <si>
    <t>UTMF</t>
  </si>
  <si>
    <t>5～7</t>
  </si>
  <si>
    <t>DANTON</t>
  </si>
  <si>
    <t>ALLTERRAIN</t>
  </si>
  <si>
    <t>BOY</t>
  </si>
  <si>
    <t>MACKINTOSH LONDON</t>
  </si>
  <si>
    <t>CANTERBURY</t>
  </si>
  <si>
    <t>ORCIVAL</t>
  </si>
  <si>
    <t>SHIMANO</t>
  </si>
  <si>
    <t>HH</t>
  </si>
  <si>
    <t>CASE</t>
  </si>
  <si>
    <t>RIDGE MOUNTAIN GEAR</t>
  </si>
  <si>
    <t>CHAMPION</t>
  </si>
  <si>
    <t>SNOWPEAK</t>
  </si>
  <si>
    <t>4～5</t>
  </si>
  <si>
    <t>LECOQ</t>
  </si>
  <si>
    <t>TORAIN</t>
  </si>
  <si>
    <t>B'S</t>
  </si>
  <si>
    <t>8～12</t>
  </si>
  <si>
    <t>DESCENT</t>
  </si>
  <si>
    <t>6～10</t>
  </si>
  <si>
    <t>TOKYO MARATHON</t>
  </si>
  <si>
    <t>MONTBELL</t>
  </si>
  <si>
    <t>15～17</t>
  </si>
  <si>
    <t>UMBRO</t>
  </si>
  <si>
    <t>DESCENTE</t>
  </si>
  <si>
    <t>GOLDWIN</t>
  </si>
  <si>
    <t>GSM</t>
  </si>
  <si>
    <t>LE GLAZIK</t>
  </si>
  <si>
    <t>LL.BEAN</t>
  </si>
  <si>
    <t>NANGA</t>
  </si>
  <si>
    <t>5～8</t>
  </si>
  <si>
    <t>10～15</t>
  </si>
  <si>
    <t>TETON</t>
  </si>
  <si>
    <t>TSUTSU+KOTI</t>
  </si>
  <si>
    <t>5～9</t>
  </si>
  <si>
    <t>HAT+CAP...</t>
  </si>
  <si>
    <t>TORAY SPORT</t>
  </si>
  <si>
    <t>ブランド担当者</t>
  </si>
  <si>
    <t>シーズン</t>
  </si>
  <si>
    <t>Season_Order_Code</t>
  </si>
  <si>
    <t>合計 / 生産数</t>
  </si>
  <si>
    <t>合計 / 品番数</t>
  </si>
  <si>
    <t>23FW</t>
  </si>
  <si>
    <t>Cuong</t>
  </si>
  <si>
    <t>Luan</t>
  </si>
  <si>
    <t>24SS</t>
  </si>
  <si>
    <t>Hien</t>
  </si>
  <si>
    <t>24FW</t>
  </si>
  <si>
    <t>Q.Huy</t>
  </si>
  <si>
    <t>25SS</t>
  </si>
  <si>
    <t>25FW</t>
  </si>
  <si>
    <t>26SS</t>
  </si>
  <si>
    <t>26FW</t>
  </si>
  <si>
    <t>27SS</t>
  </si>
  <si>
    <t>備考</t>
  </si>
  <si>
    <t>ブランド</t>
  </si>
  <si>
    <t>サンプル類</t>
  </si>
  <si>
    <t>生産数率</t>
  </si>
  <si>
    <t>品番数率</t>
  </si>
  <si>
    <t>%稼働日数（延べ日数）</t>
  </si>
  <si>
    <t>1rd/2nd/3rd...etc</t>
  </si>
  <si>
    <t>各シーズンの実績</t>
  </si>
  <si>
    <t>工程秒数</t>
  </si>
  <si>
    <t>1pcs縫製期間</t>
  </si>
  <si>
    <t>&lt;=3000</t>
  </si>
  <si>
    <t>3000-8000</t>
  </si>
  <si>
    <t>8000-10000</t>
  </si>
  <si>
    <t>10000-12000</t>
  </si>
  <si>
    <t>12000-15000</t>
  </si>
  <si>
    <t>&gt;15000</t>
  </si>
  <si>
    <t>Có công thức không cần điền</t>
  </si>
  <si>
    <t>担当</t>
  </si>
  <si>
    <t>稼働日数</t>
  </si>
  <si>
    <t>生産数42→47, 品番数37→42</t>
  </si>
  <si>
    <t>生産数34→45, 品番数28→34</t>
  </si>
  <si>
    <t>総計</t>
  </si>
  <si>
    <t>(すべて)</t>
  </si>
  <si>
    <t>1st anh Cường , 2nd với SMS Như</t>
  </si>
  <si>
    <t>Hien 1st, Q.Huy SMS</t>
  </si>
  <si>
    <t>Hiền 1st, Q.Huy SMS</t>
  </si>
  <si>
    <t>1st Như theo, SMS Q.Huy theo</t>
  </si>
  <si>
    <t>1st Như theo, SMS Hien theo(S25 ko có nên bắt đầu từ 25FW?)</t>
  </si>
  <si>
    <t>Như Theo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</si>
</sst>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#,##0_ "/>
    <numFmt numFmtId="166" formatCode="0.00_);[Red]\(0.00\)"/>
  </numFmts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.5"/>
      <name val="ＭＳ Ｐゴシック"/>
      <family val="3"/>
      <charset val="128"/>
    </font>
    <font>
      <sz val="16"/>
      <name val="Calibri"/>
      <family val="2"/>
      <scheme val="minor"/>
    </font>
    <font>
      <sz val="11"/>
      <name val="ＭＳ Ｐゴシック"/>
      <family val="3"/>
      <charset val="128"/>
    </font>
    <font>
      <sz val="2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Times New Roman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medium">
        <color indexed="64"/>
      </diagonal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 diagonalDown="1">
      <left/>
      <right/>
      <top style="thin">
        <color indexed="64"/>
      </top>
      <bottom style="double">
        <color indexed="64"/>
      </bottom>
      <diagonal style="medium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/>
  </cellStyleXfs>
  <cellXfs count="17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166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>
      <alignment vertical="center"/>
    </xf>
    <xf numFmtId="0" fontId="2" fillId="2" borderId="0" xfId="0" applyFont="1" applyFill="1" applyAlignment="1">
      <alignment horizontal="center" vertical="center" shrinkToFit="1"/>
    </xf>
    <xf numFmtId="164" fontId="2" fillId="2" borderId="15" xfId="0" applyNumberFormat="1" applyFont="1" applyFill="1" applyBorder="1" applyAlignment="1">
      <alignment horizontal="right"/>
    </xf>
    <xf numFmtId="164" fontId="2" fillId="2" borderId="16" xfId="0" applyNumberFormat="1" applyFont="1" applyFill="1" applyBorder="1" applyAlignment="1">
      <alignment horizontal="right"/>
    </xf>
    <xf numFmtId="164" fontId="2" fillId="2" borderId="20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left" vertical="top"/>
    </xf>
    <xf numFmtId="0" fontId="3" fillId="2" borderId="22" xfId="0" applyFont="1" applyFill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22" xfId="0" applyFont="1" applyFill="1" applyBorder="1">
      <alignment vertical="center"/>
    </xf>
    <xf numFmtId="0" fontId="5" fillId="2" borderId="22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6" fillId="2" borderId="6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3" fontId="0" fillId="0" borderId="0" xfId="0" applyNumberFormat="1">
      <alignment vertical="center"/>
    </xf>
    <xf numFmtId="0" fontId="0" fillId="0" borderId="2" xfId="0" applyBorder="1">
      <alignment vertical="center"/>
    </xf>
    <xf numFmtId="0" fontId="9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0" xfId="0" pivotButton="1">
      <alignment vertical="center"/>
    </xf>
    <xf numFmtId="9" fontId="0" fillId="0" borderId="0" xfId="1" applyFont="1" applyAlignment="1">
      <alignment vertical="center"/>
    </xf>
    <xf numFmtId="0" fontId="0" fillId="3" borderId="2" xfId="0" applyFill="1" applyBorder="1">
      <alignment vertical="center"/>
    </xf>
    <xf numFmtId="164" fontId="2" fillId="2" borderId="0" xfId="0" applyNumberFormat="1" applyFont="1" applyFill="1" applyAlignment="1">
      <alignment horizontal="right" vertical="center"/>
    </xf>
    <xf numFmtId="0" fontId="2" fillId="2" borderId="46" xfId="0" applyFont="1" applyFill="1" applyBorder="1" applyAlignment="1">
      <alignment horizontal="right" vertical="top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>
      <alignment vertical="center"/>
    </xf>
    <xf numFmtId="166" fontId="2" fillId="2" borderId="9" xfId="0" applyNumberFormat="1" applyFont="1" applyFill="1" applyBorder="1" applyAlignment="1">
      <alignment horizontal="right"/>
    </xf>
    <xf numFmtId="164" fontId="2" fillId="2" borderId="9" xfId="0" applyNumberFormat="1" applyFont="1" applyFill="1" applyBorder="1">
      <alignment vertical="center"/>
    </xf>
    <xf numFmtId="164" fontId="2" fillId="2" borderId="8" xfId="0" applyNumberFormat="1" applyFont="1" applyFill="1" applyBorder="1">
      <alignment vertical="center"/>
    </xf>
    <xf numFmtId="0" fontId="2" fillId="2" borderId="47" xfId="0" applyFont="1" applyFill="1" applyBorder="1" applyAlignment="1">
      <alignment vertical="top" wrapText="1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vertical="top"/>
    </xf>
    <xf numFmtId="0" fontId="4" fillId="2" borderId="49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 shrinkToFit="1"/>
    </xf>
    <xf numFmtId="0" fontId="2" fillId="2" borderId="14" xfId="0" applyFont="1" applyFill="1" applyBorder="1" applyAlignment="1">
      <alignment horizontal="center" vertical="center" wrapText="1" shrinkToFit="1"/>
    </xf>
    <xf numFmtId="0" fontId="2" fillId="2" borderId="48" xfId="0" applyFont="1" applyFill="1" applyBorder="1" applyAlignment="1">
      <alignment horizontal="center" vertical="center" wrapText="1" shrinkToFit="1"/>
    </xf>
    <xf numFmtId="0" fontId="2" fillId="2" borderId="12" xfId="0" applyFont="1" applyFill="1" applyBorder="1" applyAlignment="1">
      <alignment horizontal="center" vertical="center" wrapText="1" shrinkToFit="1"/>
    </xf>
    <xf numFmtId="0" fontId="2" fillId="2" borderId="13" xfId="0" applyFont="1" applyFill="1" applyBorder="1" applyAlignment="1">
      <alignment horizontal="center" vertical="center" wrapText="1" shrinkToFit="1"/>
    </xf>
    <xf numFmtId="166" fontId="2" fillId="2" borderId="60" xfId="0" applyNumberFormat="1" applyFont="1" applyFill="1" applyBorder="1" applyAlignment="1">
      <alignment horizontal="center" vertical="center" wrapText="1" shrinkToFit="1"/>
    </xf>
    <xf numFmtId="0" fontId="2" fillId="3" borderId="14" xfId="0" applyFont="1" applyFill="1" applyBorder="1" applyAlignment="1">
      <alignment horizontal="left" vertical="top" wrapText="1" shrinkToFit="1"/>
    </xf>
    <xf numFmtId="0" fontId="2" fillId="2" borderId="11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shrinkToFit="1"/>
    </xf>
    <xf numFmtId="0" fontId="2" fillId="2" borderId="43" xfId="0" applyFont="1" applyFill="1" applyBorder="1" applyAlignment="1">
      <alignment horizontal="center" vertical="center" wrapText="1" shrinkToFit="1"/>
    </xf>
    <xf numFmtId="0" fontId="2" fillId="0" borderId="65" xfId="0" applyFont="1" applyBorder="1" applyAlignment="1">
      <alignment horizontal="right" vertical="top"/>
    </xf>
    <xf numFmtId="0" fontId="2" fillId="2" borderId="1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66" fontId="2" fillId="2" borderId="61" xfId="0" applyNumberFormat="1" applyFont="1" applyFill="1" applyBorder="1" applyAlignment="1">
      <alignment horizontal="right"/>
    </xf>
    <xf numFmtId="0" fontId="2" fillId="3" borderId="19" xfId="0" applyFont="1" applyFill="1" applyBorder="1" applyAlignment="1">
      <alignment horizontal="center" vertical="center"/>
    </xf>
    <xf numFmtId="165" fontId="2" fillId="3" borderId="68" xfId="0" applyNumberFormat="1" applyFont="1" applyFill="1" applyBorder="1" applyAlignment="1" applyProtection="1">
      <alignment horizontal="right"/>
      <protection locked="0"/>
    </xf>
    <xf numFmtId="165" fontId="2" fillId="3" borderId="16" xfId="0" applyNumberFormat="1" applyFont="1" applyFill="1" applyBorder="1" applyAlignment="1">
      <alignment horizontal="right"/>
    </xf>
    <xf numFmtId="165" fontId="2" fillId="3" borderId="18" xfId="0" applyNumberFormat="1" applyFont="1" applyFill="1" applyBorder="1" applyAlignment="1">
      <alignment horizontal="right"/>
    </xf>
    <xf numFmtId="164" fontId="2" fillId="2" borderId="41" xfId="0" applyNumberFormat="1" applyFont="1" applyFill="1" applyBorder="1" applyAlignment="1">
      <alignment horizontal="right"/>
    </xf>
    <xf numFmtId="165" fontId="2" fillId="3" borderId="59" xfId="0" applyNumberFormat="1" applyFont="1" applyFill="1" applyBorder="1" applyAlignment="1">
      <alignment horizontal="right"/>
    </xf>
    <xf numFmtId="165" fontId="2" fillId="3" borderId="59" xfId="0" applyNumberFormat="1" applyFont="1" applyFill="1" applyBorder="1" applyAlignment="1" applyProtection="1">
      <alignment horizontal="right"/>
      <protection locked="0"/>
    </xf>
    <xf numFmtId="164" fontId="2" fillId="2" borderId="19" xfId="0" applyNumberFormat="1" applyFont="1" applyFill="1" applyBorder="1" applyAlignment="1">
      <alignment horizontal="right"/>
    </xf>
    <xf numFmtId="165" fontId="2" fillId="3" borderId="17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4" fontId="2" fillId="2" borderId="18" xfId="0" applyNumberFormat="1" applyFont="1" applyFill="1" applyBorder="1" applyAlignment="1">
      <alignment horizontal="right"/>
    </xf>
    <xf numFmtId="165" fontId="2" fillId="3" borderId="41" xfId="0" applyNumberFormat="1" applyFont="1" applyFill="1" applyBorder="1" applyAlignment="1">
      <alignment horizontal="right"/>
    </xf>
    <xf numFmtId="164" fontId="2" fillId="2" borderId="36" xfId="0" applyNumberFormat="1" applyFont="1" applyFill="1" applyBorder="1" applyAlignment="1">
      <alignment horizontal="right"/>
    </xf>
    <xf numFmtId="165" fontId="2" fillId="3" borderId="36" xfId="0" applyNumberFormat="1" applyFont="1" applyFill="1" applyBorder="1" applyAlignment="1">
      <alignment horizontal="right"/>
    </xf>
    <xf numFmtId="0" fontId="2" fillId="0" borderId="30" xfId="0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right"/>
    </xf>
    <xf numFmtId="165" fontId="2" fillId="3" borderId="3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5" fontId="2" fillId="3" borderId="23" xfId="0" applyNumberFormat="1" applyFont="1" applyFill="1" applyBorder="1" applyAlignment="1">
      <alignment horizontal="right"/>
    </xf>
    <xf numFmtId="165" fontId="2" fillId="3" borderId="4" xfId="0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right"/>
    </xf>
    <xf numFmtId="165" fontId="2" fillId="3" borderId="15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0" xfId="0" applyFont="1" applyFill="1" applyBorder="1" applyAlignment="1">
      <alignment horizontal="right" vertical="top"/>
    </xf>
    <xf numFmtId="16" fontId="2" fillId="3" borderId="4" xfId="0" applyNumberFormat="1" applyFont="1" applyFill="1" applyBorder="1" applyAlignment="1">
      <alignment horizontal="center" vertical="center"/>
    </xf>
    <xf numFmtId="0" fontId="2" fillId="0" borderId="66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right"/>
    </xf>
    <xf numFmtId="165" fontId="2" fillId="3" borderId="24" xfId="0" applyNumberFormat="1" applyFont="1" applyFill="1" applyBorder="1" applyAlignment="1">
      <alignment horizontal="right"/>
    </xf>
    <xf numFmtId="0" fontId="2" fillId="2" borderId="66" xfId="0" applyFont="1" applyFill="1" applyBorder="1" applyAlignment="1">
      <alignment horizontal="right" vertical="top"/>
    </xf>
    <xf numFmtId="165" fontId="2" fillId="3" borderId="6" xfId="0" quotePrefix="1" applyNumberFormat="1" applyFont="1" applyFill="1" applyBorder="1" applyAlignment="1">
      <alignment horizontal="right"/>
    </xf>
    <xf numFmtId="0" fontId="2" fillId="2" borderId="24" xfId="0" applyFont="1" applyFill="1" applyBorder="1" applyAlignment="1">
      <alignment horizontal="center" vertical="center"/>
    </xf>
    <xf numFmtId="165" fontId="2" fillId="3" borderId="25" xfId="0" applyNumberFormat="1" applyFont="1" applyFill="1" applyBorder="1" applyAlignment="1">
      <alignment horizontal="right"/>
    </xf>
    <xf numFmtId="0" fontId="2" fillId="2" borderId="27" xfId="0" applyFont="1" applyFill="1" applyBorder="1" applyAlignment="1">
      <alignment horizontal="right" vertical="top"/>
    </xf>
    <xf numFmtId="0" fontId="2" fillId="2" borderId="37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166" fontId="2" fillId="2" borderId="62" xfId="0" applyNumberFormat="1" applyFont="1" applyFill="1" applyBorder="1" applyAlignment="1">
      <alignment horizontal="right"/>
    </xf>
    <xf numFmtId="0" fontId="2" fillId="3" borderId="4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165" fontId="2" fillId="3" borderId="40" xfId="0" applyNumberFormat="1" applyFont="1" applyFill="1" applyBorder="1" applyAlignment="1">
      <alignment horizontal="right"/>
    </xf>
    <xf numFmtId="164" fontId="2" fillId="2" borderId="56" xfId="0" applyNumberFormat="1" applyFont="1" applyFill="1" applyBorder="1" applyAlignment="1">
      <alignment horizontal="right"/>
    </xf>
    <xf numFmtId="165" fontId="2" fillId="3" borderId="38" xfId="0" applyNumberFormat="1" applyFont="1" applyFill="1" applyBorder="1" applyAlignment="1">
      <alignment horizontal="right"/>
    </xf>
    <xf numFmtId="164" fontId="2" fillId="2" borderId="53" xfId="0" applyNumberFormat="1" applyFont="1" applyFill="1" applyBorder="1" applyAlignment="1">
      <alignment horizontal="right"/>
    </xf>
    <xf numFmtId="164" fontId="2" fillId="2" borderId="51" xfId="0" applyNumberFormat="1" applyFont="1" applyFill="1" applyBorder="1" applyAlignment="1">
      <alignment horizontal="right"/>
    </xf>
    <xf numFmtId="165" fontId="2" fillId="3" borderId="37" xfId="0" applyNumberFormat="1" applyFont="1" applyFill="1" applyBorder="1" applyAlignment="1">
      <alignment horizontal="right"/>
    </xf>
    <xf numFmtId="164" fontId="2" fillId="2" borderId="57" xfId="0" applyNumberFormat="1" applyFont="1" applyFill="1" applyBorder="1" applyAlignment="1">
      <alignment horizontal="right"/>
    </xf>
    <xf numFmtId="164" fontId="2" fillId="2" borderId="58" xfId="0" applyNumberFormat="1" applyFont="1" applyFill="1" applyBorder="1" applyAlignment="1">
      <alignment horizontal="right"/>
    </xf>
    <xf numFmtId="165" fontId="2" fillId="3" borderId="42" xfId="0" applyNumberFormat="1" applyFont="1" applyFill="1" applyBorder="1" applyAlignment="1">
      <alignment horizontal="right"/>
    </xf>
    <xf numFmtId="165" fontId="2" fillId="3" borderId="53" xfId="0" applyNumberFormat="1" applyFont="1" applyFill="1" applyBorder="1" applyAlignment="1">
      <alignment horizontal="right"/>
    </xf>
    <xf numFmtId="0" fontId="11" fillId="0" borderId="0" xfId="0" applyFont="1">
      <alignment vertical="center"/>
    </xf>
    <xf numFmtId="3" fontId="11" fillId="0" borderId="0" xfId="0" applyNumberFormat="1" applyFont="1">
      <alignment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2" fillId="2" borderId="32" xfId="0" applyFont="1" applyFill="1" applyBorder="1" applyAlignment="1">
      <alignment horizontal="center" vertical="center" wrapText="1" shrinkToFit="1"/>
    </xf>
    <xf numFmtId="0" fontId="2" fillId="2" borderId="35" xfId="0" applyFont="1" applyFill="1" applyBorder="1" applyAlignment="1">
      <alignment horizontal="center" vertical="center" wrapText="1" shrinkToFit="1"/>
    </xf>
    <xf numFmtId="0" fontId="2" fillId="2" borderId="52" xfId="0" applyFont="1" applyFill="1" applyBorder="1" applyAlignment="1">
      <alignment horizontal="center" vertical="center" wrapText="1" shrinkToFit="1"/>
    </xf>
    <xf numFmtId="0" fontId="2" fillId="2" borderId="33" xfId="0" applyFont="1" applyFill="1" applyBorder="1" applyAlignment="1">
      <alignment horizontal="center" vertical="center" wrapText="1" shrinkToFit="1"/>
    </xf>
    <xf numFmtId="0" fontId="2" fillId="2" borderId="34" xfId="0" applyFont="1" applyFill="1" applyBorder="1" applyAlignment="1">
      <alignment horizontal="center" vertical="center" wrapText="1" shrinkToFit="1"/>
    </xf>
    <xf numFmtId="0" fontId="2" fillId="2" borderId="55" xfId="0" applyFont="1" applyFill="1" applyBorder="1" applyAlignment="1">
      <alignment horizontal="center" vertical="center" wrapText="1" shrinkToFit="1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 wrapText="1" shrinkToFit="1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61"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66" formatCode="0.00_);[Red]\(0.00\)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スライサー スタイル 1" pivot="0" table="0" count="6" xr9:uid="{E81377DB-BD2E-4469-8A1D-8E918DCBADFA}">
      <tableStyleElement type="wholeTable" dxfId="60"/>
      <tableStyleElement type="headerRow" dxfId="59"/>
    </tableStyle>
  </tableStyles>
  <extLst>
    <ext xmlns:x14="http://schemas.microsoft.com/office/spreadsheetml/2009/9/main" uri="{46F421CA-312F-682f-3DD2-61675219B42D}">
      <x14:dxfs count="4">
        <dxf>
          <font>
            <sz val="14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sz val="14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sz val="14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sz val="14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スライサー スタイル 1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[スタッフ翻訳業務時間 23FW-25FW SPL 20261012 NEW.xlsx]Pivot!ピボットテーブル1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各シーズン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Pivot!$C$3</c:f>
              <c:strCache>
                <c:ptCount val="1"/>
                <c:pt idx="0">
                  <c:v>合計 / 生産数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Pivot!$A$4:$B$6</c:f>
              <c:multiLvlStrCache>
                <c:ptCount val="1"/>
                <c:lvl>
                  <c:pt idx="0">
                    <c:v>27SS</c:v>
                  </c:pt>
                </c:lvl>
                <c:lvl>
                  <c:pt idx="0">
                    <c:v>271</c:v>
                  </c:pt>
                </c:lvl>
              </c:multiLvlStrCache>
            </c:multiLvlStrRef>
          </c:cat>
          <c:val>
            <c:numRef>
              <c:f>Pivot!$C$4:$C$6</c:f>
              <c:numCache>
                <c:formatCode>General</c:formatCode>
                <c:ptCount val="1"/>
                <c:pt idx="0">
                  <c:v>1166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9-4A68-ACDD-E16D7F7E0C2C}"/>
            </c:ext>
          </c:extLst>
        </c:ser>
        <c:ser>
          <c:idx val="1"/>
          <c:order val="1"/>
          <c:tx>
            <c:strRef>
              <c:f>Pivot!$D$3</c:f>
              <c:strCache>
                <c:ptCount val="1"/>
                <c:pt idx="0">
                  <c:v>合計 / 品番数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Pivot!$A$4:$B$6</c:f>
              <c:multiLvlStrCache>
                <c:ptCount val="1"/>
                <c:lvl>
                  <c:pt idx="0">
                    <c:v>27SS</c:v>
                  </c:pt>
                </c:lvl>
                <c:lvl>
                  <c:pt idx="0">
                    <c:v>271</c:v>
                  </c:pt>
                </c:lvl>
              </c:multiLvlStrCache>
            </c:multiLvlStrRef>
          </c:cat>
          <c:val>
            <c:numRef>
              <c:f>Pivot!$D$4:$D$6</c:f>
              <c:numCache>
                <c:formatCode>General</c:formatCode>
                <c:ptCount val="1"/>
                <c:pt idx="0">
                  <c:v>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69-4A68-ACDD-E16D7F7E0C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3424607"/>
        <c:axId val="2070009872"/>
      </c:lineChart>
      <c:catAx>
        <c:axId val="4342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09872"/>
        <c:crosses val="autoZero"/>
        <c:auto val="1"/>
        <c:lblAlgn val="ctr"/>
        <c:lblOffset val="100"/>
        <c:noMultiLvlLbl val="0"/>
      </c:catAx>
      <c:valAx>
        <c:axId val="2070009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42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[スタッフ翻訳業務時間 23FW-25FW SPL 20261012 NEW.xlsx]Pivot!ピボットテーブル2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各担当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Pivot!$G$3</c:f>
              <c:strCache>
                <c:ptCount val="1"/>
                <c:pt idx="0">
                  <c:v>合計 / 生産数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Pivot!$F$4:$F$12</c:f>
              <c:strCache>
                <c:ptCount val="8"/>
                <c:pt idx="0">
                  <c:v>B.Trang</c:v>
                </c:pt>
                <c:pt idx="1">
                  <c:v>Cuong</c:v>
                </c:pt>
                <c:pt idx="2">
                  <c:v>Luan</c:v>
                </c:pt>
                <c:pt idx="3">
                  <c:v>Hien</c:v>
                </c:pt>
                <c:pt idx="4">
                  <c:v>Nhu</c:v>
                </c:pt>
                <c:pt idx="5">
                  <c:v>Khanh</c:v>
                </c:pt>
                <c:pt idx="6">
                  <c:v>Q.Huy</c:v>
                </c:pt>
                <c:pt idx="7">
                  <c:v>H.Trang</c:v>
                </c:pt>
              </c:strCache>
            </c:strRef>
          </c:cat>
          <c:val>
            <c:numRef>
              <c:f>Pivot!$G$4:$G$12</c:f>
              <c:numCache>
                <c:formatCode>General</c:formatCode>
                <c:ptCount val="8"/>
                <c:pt idx="0">
                  <c:v>340</c:v>
                </c:pt>
                <c:pt idx="1">
                  <c:v>181</c:v>
                </c:pt>
                <c:pt idx="2">
                  <c:v>52</c:v>
                </c:pt>
                <c:pt idx="3">
                  <c:v>282</c:v>
                </c:pt>
                <c:pt idx="4">
                  <c:v>151</c:v>
                </c:pt>
                <c:pt idx="5">
                  <c:v>11</c:v>
                </c:pt>
                <c:pt idx="6">
                  <c:v>146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2-4558-B86F-C002955B9C71}"/>
            </c:ext>
          </c:extLst>
        </c:ser>
        <c:ser>
          <c:idx val="1"/>
          <c:order val="1"/>
          <c:tx>
            <c:strRef>
              <c:f>Pivot!$H$3</c:f>
              <c:strCache>
                <c:ptCount val="1"/>
                <c:pt idx="0">
                  <c:v>合計 / 品番数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Pivot!$F$4:$F$12</c:f>
              <c:strCache>
                <c:ptCount val="8"/>
                <c:pt idx="0">
                  <c:v>B.Trang</c:v>
                </c:pt>
                <c:pt idx="1">
                  <c:v>Cuong</c:v>
                </c:pt>
                <c:pt idx="2">
                  <c:v>Luan</c:v>
                </c:pt>
                <c:pt idx="3">
                  <c:v>Hien</c:v>
                </c:pt>
                <c:pt idx="4">
                  <c:v>Nhu</c:v>
                </c:pt>
                <c:pt idx="5">
                  <c:v>Khanh</c:v>
                </c:pt>
                <c:pt idx="6">
                  <c:v>Q.Huy</c:v>
                </c:pt>
                <c:pt idx="7">
                  <c:v>H.Trang</c:v>
                </c:pt>
              </c:strCache>
            </c:strRef>
          </c:cat>
          <c:val>
            <c:numRef>
              <c:f>Pivot!$H$4:$H$12</c:f>
              <c:numCache>
                <c:formatCode>General</c:formatCode>
                <c:ptCount val="8"/>
                <c:pt idx="0">
                  <c:v>104</c:v>
                </c:pt>
                <c:pt idx="1">
                  <c:v>83</c:v>
                </c:pt>
                <c:pt idx="2">
                  <c:v>25</c:v>
                </c:pt>
                <c:pt idx="3">
                  <c:v>96</c:v>
                </c:pt>
                <c:pt idx="4">
                  <c:v>72</c:v>
                </c:pt>
                <c:pt idx="5">
                  <c:v>6</c:v>
                </c:pt>
                <c:pt idx="6">
                  <c:v>78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02-4558-B86F-C002955B9C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73626624"/>
        <c:axId val="1870427728"/>
      </c:lineChart>
      <c:catAx>
        <c:axId val="18736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427728"/>
        <c:crosses val="autoZero"/>
        <c:auto val="1"/>
        <c:lblAlgn val="ctr"/>
        <c:lblOffset val="100"/>
        <c:noMultiLvlLbl val="0"/>
      </c:catAx>
      <c:valAx>
        <c:axId val="1870427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36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145</xdr:col>
      <xdr:colOff>0</xdr:colOff>
      <xdr:row>10</xdr:row>
      <xdr:rowOff>86473</xdr:rowOff>
    </xdr:from>
    <xdr:to>
      <xdr:col>149</xdr:col>
      <xdr:colOff>506759</xdr:colOff>
      <xdr:row>18</xdr:row>
      <xdr:rowOff>14465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381D6442-0BBC-42C8-8C7F-8098C1D8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6300" y="2267698"/>
          <a:ext cx="3249959" cy="160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0</xdr:row>
      <xdr:rowOff>0</xdr:rowOff>
    </xdr:from>
    <xdr:to>
      <xdr:col>19</xdr:col>
      <xdr:colOff>342900</xdr:colOff>
      <xdr:row>69</xdr:row>
      <xdr:rowOff>62753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A09E4C3-D53A-EE28-03FC-67B4C07AD8A1}"/>
            </a:ext>
          </a:extLst>
        </xdr:cNvPr>
        <xdr:cNvSpPr/>
      </xdr:nvSpPr>
      <xdr:spPr>
        <a:xfrm>
          <a:off x="33618" y="0"/>
          <a:ext cx="13296900" cy="11660841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32</xdr:row>
      <xdr:rowOff>151280</xdr:rowOff>
    </xdr:from>
    <xdr:to>
      <xdr:col>16</xdr:col>
      <xdr:colOff>179294</xdr:colOff>
      <xdr:row>69</xdr:row>
      <xdr:rowOff>11206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E724812-ABC8-4563-AB8D-95CB9C0EF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22411</xdr:colOff>
      <xdr:row>0</xdr:row>
      <xdr:rowOff>0</xdr:rowOff>
    </xdr:from>
    <xdr:to>
      <xdr:col>16</xdr:col>
      <xdr:colOff>179294</xdr:colOff>
      <xdr:row>32</xdr:row>
      <xdr:rowOff>89647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F87B648-A4D4-4CC5-9C64-AFE0A29D9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212914</xdr:colOff>
      <xdr:row>33</xdr:row>
      <xdr:rowOff>0</xdr:rowOff>
    </xdr:from>
    <xdr:to>
      <xdr:col>18</xdr:col>
      <xdr:colOff>626971</xdr:colOff>
      <xdr:row>41</xdr:row>
      <xdr:rowOff>40822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シーズン">
              <a:extLst>
                <a:ext uri="{FF2B5EF4-FFF2-40B4-BE49-F238E27FC236}">
                  <a16:creationId xmlns:a16="http://schemas.microsoft.com/office/drawing/2014/main" id="{20127CE0-DC8D-4078-9302-BF63A8EC9D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シーズン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8628" y="5837464"/>
              <a:ext cx="1774772" cy="1455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>
    <xdr:from>
      <xdr:col>16</xdr:col>
      <xdr:colOff>228040</xdr:colOff>
      <xdr:row>23</xdr:row>
      <xdr:rowOff>33620</xdr:rowOff>
    </xdr:from>
    <xdr:to>
      <xdr:col>19</xdr:col>
      <xdr:colOff>0</xdr:colOff>
      <xdr:row>32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ブランド担当者">
              <a:extLst>
                <a:ext uri="{FF2B5EF4-FFF2-40B4-BE49-F238E27FC236}">
                  <a16:creationId xmlns:a16="http://schemas.microsoft.com/office/drawing/2014/main" id="{28DDD64C-49AD-482A-882F-4EB948089F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ブランド担当者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3754" y="4102156"/>
              <a:ext cx="1708097" cy="1669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n, Vanluan/TIVN(VN)" refreshedDate="46312.394406018517" createdVersion="8" refreshedVersion="8" minRefreshableVersion="3" recordCount="51" xr:uid="{96460920-8846-4AF2-8E8B-243B4C2799E6}">
  <cacheSource type="worksheet">
    <worksheetSource name="シーズンごと"/>
  </cacheSource>
  <cacheFields count="6">
    <cacheField name="ブランド担当者" numFmtId="0">
      <sharedItems count="8">
        <s v="Luan"/>
        <s v="Cuong"/>
        <s v="Hien"/>
        <s v="Nhu"/>
        <s v="Khanh"/>
        <s v="Q.Huy"/>
        <s v="H.Trang"/>
        <s v="B.Trang"/>
      </sharedItems>
    </cacheField>
    <cacheField name="シーズン" numFmtId="0">
      <sharedItems count="8">
        <s v="23FW"/>
        <s v="25SS"/>
        <s v="25FW"/>
        <s v="26SS"/>
        <s v="26FW"/>
        <s v="27SS"/>
        <s v="24SS"/>
        <s v="24FW"/>
      </sharedItems>
    </cacheField>
    <cacheField name="Season_Order_Code" numFmtId="0">
      <sharedItems containsSemiMixedTypes="0" containsString="0" containsNumber="1" containsInteger="1" minValue="232" maxValue="271" count="8">
        <n v="232"/>
        <n v="251"/>
        <n v="252"/>
        <n v="261"/>
        <n v="262"/>
        <n v="271"/>
        <n v="241"/>
        <n v="242"/>
      </sharedItems>
    </cacheField>
    <cacheField name="生産数" numFmtId="0">
      <sharedItems containsSemiMixedTypes="0" containsString="0" containsNumber="1" containsInteger="1" minValue="1" maxValue="660"/>
    </cacheField>
    <cacheField name="品番数" numFmtId="0">
      <sharedItems containsSemiMixedTypes="0" containsString="0" containsNumber="1" containsInteger="1" minValue="1" maxValue="183"/>
    </cacheField>
    <cacheField name="備考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50440926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x v="0"/>
    <n v="18"/>
    <n v="3"/>
    <m/>
  </r>
  <r>
    <x v="0"/>
    <x v="1"/>
    <x v="1"/>
    <n v="55"/>
    <n v="39"/>
    <m/>
  </r>
  <r>
    <x v="0"/>
    <x v="2"/>
    <x v="2"/>
    <n v="109"/>
    <n v="61"/>
    <m/>
  </r>
  <r>
    <x v="0"/>
    <x v="3"/>
    <x v="3"/>
    <n v="16"/>
    <n v="14"/>
    <m/>
  </r>
  <r>
    <x v="0"/>
    <x v="4"/>
    <x v="4"/>
    <n v="18"/>
    <n v="15"/>
    <m/>
  </r>
  <r>
    <x v="0"/>
    <x v="5"/>
    <x v="5"/>
    <n v="52"/>
    <n v="25"/>
    <m/>
  </r>
  <r>
    <x v="1"/>
    <x v="0"/>
    <x v="0"/>
    <n v="97"/>
    <n v="56"/>
    <m/>
  </r>
  <r>
    <x v="1"/>
    <x v="6"/>
    <x v="6"/>
    <n v="159"/>
    <n v="62"/>
    <m/>
  </r>
  <r>
    <x v="1"/>
    <x v="7"/>
    <x v="7"/>
    <n v="175"/>
    <n v="66"/>
    <m/>
  </r>
  <r>
    <x v="1"/>
    <x v="1"/>
    <x v="1"/>
    <n v="181"/>
    <n v="93"/>
    <m/>
  </r>
  <r>
    <x v="1"/>
    <x v="2"/>
    <x v="2"/>
    <n v="358"/>
    <n v="136"/>
    <m/>
  </r>
  <r>
    <x v="1"/>
    <x v="3"/>
    <x v="3"/>
    <n v="123"/>
    <n v="56"/>
    <m/>
  </r>
  <r>
    <x v="1"/>
    <x v="4"/>
    <x v="4"/>
    <n v="224"/>
    <n v="108"/>
    <m/>
  </r>
  <r>
    <x v="1"/>
    <x v="5"/>
    <x v="5"/>
    <n v="181"/>
    <n v="83"/>
    <m/>
  </r>
  <r>
    <x v="2"/>
    <x v="0"/>
    <x v="0"/>
    <n v="298"/>
    <n v="75"/>
    <m/>
  </r>
  <r>
    <x v="2"/>
    <x v="6"/>
    <x v="6"/>
    <n v="247"/>
    <n v="64"/>
    <m/>
  </r>
  <r>
    <x v="2"/>
    <x v="7"/>
    <x v="7"/>
    <n v="273"/>
    <n v="90"/>
    <m/>
  </r>
  <r>
    <x v="2"/>
    <x v="1"/>
    <x v="1"/>
    <n v="196"/>
    <n v="51"/>
    <m/>
  </r>
  <r>
    <x v="2"/>
    <x v="2"/>
    <x v="2"/>
    <n v="63"/>
    <n v="14"/>
    <m/>
  </r>
  <r>
    <x v="2"/>
    <x v="3"/>
    <x v="3"/>
    <n v="116"/>
    <n v="51"/>
    <m/>
  </r>
  <r>
    <x v="2"/>
    <x v="4"/>
    <x v="4"/>
    <n v="36"/>
    <n v="8"/>
    <m/>
  </r>
  <r>
    <x v="2"/>
    <x v="5"/>
    <x v="5"/>
    <n v="282"/>
    <n v="96"/>
    <m/>
  </r>
  <r>
    <x v="3"/>
    <x v="0"/>
    <x v="0"/>
    <n v="41"/>
    <n v="27"/>
    <m/>
  </r>
  <r>
    <x v="3"/>
    <x v="6"/>
    <x v="6"/>
    <n v="64"/>
    <n v="43"/>
    <m/>
  </r>
  <r>
    <x v="3"/>
    <x v="7"/>
    <x v="7"/>
    <n v="336"/>
    <n v="96"/>
    <m/>
  </r>
  <r>
    <x v="3"/>
    <x v="1"/>
    <x v="1"/>
    <n v="287"/>
    <n v="51"/>
    <m/>
  </r>
  <r>
    <x v="3"/>
    <x v="2"/>
    <x v="2"/>
    <n v="357"/>
    <n v="85"/>
    <m/>
  </r>
  <r>
    <x v="3"/>
    <x v="3"/>
    <x v="3"/>
    <n v="346"/>
    <n v="112"/>
    <m/>
  </r>
  <r>
    <x v="3"/>
    <x v="4"/>
    <x v="4"/>
    <n v="335"/>
    <n v="116"/>
    <m/>
  </r>
  <r>
    <x v="3"/>
    <x v="5"/>
    <x v="5"/>
    <n v="151"/>
    <n v="72"/>
    <m/>
  </r>
  <r>
    <x v="4"/>
    <x v="0"/>
    <x v="0"/>
    <n v="161"/>
    <n v="46"/>
    <m/>
  </r>
  <r>
    <x v="4"/>
    <x v="6"/>
    <x v="6"/>
    <n v="374"/>
    <n v="123"/>
    <m/>
  </r>
  <r>
    <x v="4"/>
    <x v="7"/>
    <x v="7"/>
    <n v="331"/>
    <n v="108"/>
    <m/>
  </r>
  <r>
    <x v="4"/>
    <x v="1"/>
    <x v="1"/>
    <n v="318"/>
    <n v="77"/>
    <m/>
  </r>
  <r>
    <x v="4"/>
    <x v="2"/>
    <x v="2"/>
    <n v="660"/>
    <n v="183"/>
    <m/>
  </r>
  <r>
    <x v="4"/>
    <x v="3"/>
    <x v="3"/>
    <n v="319"/>
    <n v="112"/>
    <m/>
  </r>
  <r>
    <x v="4"/>
    <x v="4"/>
    <x v="4"/>
    <n v="566"/>
    <n v="145"/>
    <m/>
  </r>
  <r>
    <x v="4"/>
    <x v="5"/>
    <x v="5"/>
    <n v="11"/>
    <n v="6"/>
    <m/>
  </r>
  <r>
    <x v="5"/>
    <x v="0"/>
    <x v="0"/>
    <n v="1"/>
    <n v="1"/>
    <m/>
  </r>
  <r>
    <x v="5"/>
    <x v="7"/>
    <x v="7"/>
    <n v="414"/>
    <n v="110"/>
    <m/>
  </r>
  <r>
    <x v="5"/>
    <x v="1"/>
    <x v="1"/>
    <n v="350"/>
    <n v="76"/>
    <m/>
  </r>
  <r>
    <x v="5"/>
    <x v="2"/>
    <x v="2"/>
    <n v="372"/>
    <n v="101"/>
    <m/>
  </r>
  <r>
    <x v="5"/>
    <x v="3"/>
    <x v="3"/>
    <n v="317"/>
    <n v="103"/>
    <m/>
  </r>
  <r>
    <x v="5"/>
    <x v="4"/>
    <x v="4"/>
    <n v="374"/>
    <n v="127"/>
    <m/>
  </r>
  <r>
    <x v="5"/>
    <x v="5"/>
    <x v="5"/>
    <n v="146"/>
    <n v="78"/>
    <m/>
  </r>
  <r>
    <x v="6"/>
    <x v="1"/>
    <x v="1"/>
    <n v="8"/>
    <n v="8"/>
    <m/>
  </r>
  <r>
    <x v="6"/>
    <x v="2"/>
    <x v="2"/>
    <n v="31"/>
    <n v="14"/>
    <m/>
  </r>
  <r>
    <x v="6"/>
    <x v="3"/>
    <x v="3"/>
    <n v="98"/>
    <n v="39"/>
    <m/>
  </r>
  <r>
    <x v="6"/>
    <x v="4"/>
    <x v="4"/>
    <n v="8"/>
    <n v="2"/>
    <m/>
  </r>
  <r>
    <x v="6"/>
    <x v="5"/>
    <x v="5"/>
    <n v="3"/>
    <n v="1"/>
    <m/>
  </r>
  <r>
    <x v="7"/>
    <x v="5"/>
    <x v="5"/>
    <n v="340"/>
    <n v="10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68107-18A0-4E57-B9D4-A45CD8C6F44B}" name="ピボットテーブル1" cacheId="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outline="1" outlineData="1" compactData="0" multipleFieldFilters="0" chartFormat="6">
  <location ref="A3:D6" firstHeaderRow="0" firstDataRow="1" firstDataCol="2" rowPageCount="1" colPageCount="1"/>
  <pivotFields count="6">
    <pivotField axis="axisPage" compact="0" multipleItemSelectionAllowed="1" showAll="0">
      <items count="9">
        <item x="7"/>
        <item x="1"/>
        <item x="0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9">
        <item h="1" x="0"/>
        <item h="1" x="2"/>
        <item h="1" x="1"/>
        <item h="1" x="4"/>
        <item h="1" x="3"/>
        <item x="5"/>
        <item h="1" x="6"/>
        <item h="1"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sortType="ascending">
      <items count="9">
        <item x="0"/>
        <item x="6"/>
        <item x="7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3">
    <i>
      <x v="7"/>
    </i>
    <i r="1"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合計 / 生産数" fld="3" baseField="0" baseItem="0"/>
    <dataField name="合計 / 品番数" fld="4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8BD7E-97F9-4CD3-BBBD-9F048988821F}" name="ピボットテーブル2" cacheId="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outline="1" outlineData="1" compactData="0" multipleFieldFilters="0" chartFormat="10">
  <location ref="F3:H12" firstHeaderRow="0" firstDataRow="1" firstDataCol="1" rowPageCount="1" colPageCount="1"/>
  <pivotFields count="6">
    <pivotField axis="axisRow" compact="0" multipleItemSelectionAllowed="1" showAll="0">
      <items count="9">
        <item x="7"/>
        <item x="1"/>
        <item x="0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multipleItemSelectionAllowed="1" showAll="0">
      <items count="9">
        <item h="1" x="0"/>
        <item h="1" x="2"/>
        <item h="1" x="1"/>
        <item h="1" x="4"/>
        <item h="1" x="3"/>
        <item x="5"/>
        <item h="1" x="6"/>
        <item h="1"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sortType="ascending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合計 / 生産数" fld="3" baseField="0" baseItem="0"/>
    <dataField name="合計 / 品番数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8B1F8D9-C028-4B50-AA4D-2B00278FECFE}" autoFormatId="16" applyNumberFormats="0" applyBorderFormats="0" applyFontFormats="0" applyPatternFormats="0" applyAlignmentFormats="0" applyWidthHeightFormats="0">
  <queryTableRefresh nextId="11">
    <queryTableFields count="6">
      <queryTableField id="1" name="ブランド担当者" tableColumnId="1"/>
      <queryTableField id="2" name="シーズン" tableColumnId="2"/>
      <queryTableField id="3" name="Season_Order_Code" tableColumnId="3"/>
      <queryTableField id="5" name="生産数" tableColumnId="5"/>
      <queryTableField id="6" name="品番数" tableColumnId="6"/>
      <queryTableField id="4" name="備考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E25E644-B47B-4272-8EDE-082768AA6EA5}" autoFormatId="16" applyNumberFormats="0" applyBorderFormats="0" applyFontFormats="0" applyPatternFormats="0" applyAlignmentFormats="0" applyWidthHeightFormats="0">
  <queryTableRefresh nextId="23">
    <queryTableFields count="13">
      <queryTableField id="1" name="ブランド担当者" tableColumnId="1"/>
      <queryTableField id="2" name="シーズン" tableColumnId="2"/>
      <queryTableField id="3" name="Season_Order_Code" tableColumnId="3"/>
      <queryTableField id="4" name="ブランド" tableColumnId="4"/>
      <queryTableField id="5" name="サンプル類" tableColumnId="5"/>
      <queryTableField id="6" name="生産数" tableColumnId="6"/>
      <queryTableField id="14" name="生産数率" tableColumnId="14"/>
      <queryTableField id="7" name="品番数" tableColumnId="7"/>
      <queryTableField id="15" name="品番数率" tableColumnId="15"/>
      <queryTableField id="8" name="平均秒数" tableColumnId="8"/>
      <queryTableField id="16" name="稼働日数　　(延べ日数）" tableColumnId="16"/>
      <queryTableField id="17" name="%稼働日数（延べ日数）" tableColumnId="17"/>
      <queryTableField id="10" name="備考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シーズン" xr10:uid="{417E7BF4-6F1B-4737-BA4B-C4344DDB3D14}" sourceName="シーズン">
  <pivotTables>
    <pivotTable tabId="23" name="ピボットテーブル1"/>
    <pivotTable tabId="23" name="ピボットテーブル2"/>
  </pivotTables>
  <data>
    <tabular pivotCacheId="50440926">
      <items count="8">
        <i x="0"/>
        <i x="7"/>
        <i x="6"/>
        <i x="2"/>
        <i x="1"/>
        <i x="4"/>
        <i x="3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ブランド担当者" xr10:uid="{22CF5082-AF42-4D2C-8A4B-24017EE14ACA}" sourceName="ブランド担当者">
  <pivotTables>
    <pivotTable tabId="23" name="ピボットテーブル2"/>
    <pivotTable tabId="23" name="ピボットテーブル1"/>
  </pivotTables>
  <data>
    <tabular pivotCacheId="50440926">
      <items count="8">
        <i x="7" s="1"/>
        <i x="1" s="1"/>
        <i x="6" s="1"/>
        <i x="2" s="1"/>
        <i x="4" s="1"/>
        <i x="0" s="1"/>
        <i x="3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シーズン" xr10:uid="{BC6D1B0E-F5B0-45EB-ADA0-C436EF6D6D37}" cache="スライサー_シーズン" caption="シーズン" columnCount="2" rowHeight="225425"/>
  <slicer name="ブランド担当者" xr10:uid="{570D3A7F-A4E7-4365-9AA1-D2FFB5B034C5}" cache="スライサー_ブランド担当者" caption="ブランド担当者" columnCount="2" rowHeight="225425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E11A9E-BC9B-4D21-8A8A-EDE3A30B5D48}" name="テーブル3" displayName="テーブル3" ref="B5:AF53" totalsRowShown="0" dataDxfId="58" tableBorderDxfId="57">
  <autoFilter ref="B5:AF53" xr:uid="{F2E11A9E-BC9B-4D21-8A8A-EDE3A30B5D48}"/>
  <tableColumns count="31">
    <tableColumn id="1" xr3:uid="{47B04347-9BF2-47E2-9C39-8E4E38C915B3}" name="列1" dataDxfId="56"/>
    <tableColumn id="2" xr3:uid="{74985C0D-0073-4C15-93E2-A7A74F37B2CA}" name="Huy" dataDxfId="55"/>
    <tableColumn id="3" xr3:uid="{1EE0F2E3-1169-4F48-8DDA-6F4069EEC191}" name="Luan " dataDxfId="54"/>
    <tableColumn id="4" xr3:uid="{B9956CDC-0115-4DFB-8BCD-158BB3B1F635}" name="Cuong " dataDxfId="53"/>
    <tableColumn id="5" xr3:uid="{3D133A01-CBB7-40CE-8B17-737FD6387D5D}" name="Khanh" dataDxfId="52"/>
    <tableColumn id="6" xr3:uid="{A4F0E5FB-CAFD-4EBE-8935-6DC2A7134F1F}" name="Hien " dataDxfId="51"/>
    <tableColumn id="7" xr3:uid="{D9C956D3-8358-4FBC-B20D-3A3708F0C685}" name="H.Trang" dataDxfId="50"/>
    <tableColumn id="8" xr3:uid="{E0FBFC1F-5DEF-4B85-AFB9-7389B8D25357}" name="B.Trang" dataDxfId="49"/>
    <tableColumn id="9" xr3:uid="{88233308-87A7-471F-A46E-848FEBC3F4C9}" name="Nhu" dataDxfId="48"/>
    <tableColumn id="10" xr3:uid="{5991CDE4-8E04-4266-B279-653F6B3264B9}" name="翻訳業務" dataDxfId="47"/>
    <tableColumn id="11" xr3:uid="{6A8D1137-3876-470C-B21F-C60FD980722F}" name="他業務" dataDxfId="46"/>
    <tableColumn id="12" xr3:uid="{7DDA953C-1657-48C4-9FA2-761C220C2E7D}" name="仕様書" dataDxfId="45"/>
    <tableColumn id="13" xr3:uid="{4BEA57B7-4B49-442C-8934-E5CBEE4DEEE7}" name="規格書" dataDxfId="44"/>
    <tableColumn id="14" xr3:uid="{C149D65A-0BC4-4704-ABF2-68F75DA64FDD}" name="バーツリスト" dataDxfId="43"/>
    <tableColumn id="15" xr3:uid="{5F323548-0316-4C04-9A31-419BEFA89B98}" name="加工指示書" dataDxfId="42"/>
    <tableColumn id="16" xr3:uid="{8FA31A4C-102B-40EA-BA09-75680623AE43}" name="寸法表" dataDxfId="41"/>
    <tableColumn id="17" xr3:uid="{0181A84F-EF4B-44C7-8FF4-8B46A055D4F6}" name="コメント" dataDxfId="40"/>
    <tableColumn id="18" xr3:uid="{E260DD65-35B8-49B2-A5EC-3B4614B8DDF2}" name="工場コメント" dataDxfId="39"/>
    <tableColumn id="19" xr3:uid="{5753EB62-5454-4EBE-AE85-80C225DF3994}" name="用尺表" dataDxfId="38"/>
    <tableColumn id="20" xr3:uid="{2953F4CD-5A1E-41CB-81CC-30224D4E3E33}" name="BOM " dataDxfId="37"/>
    <tableColumn id="21" xr3:uid="{C515D90E-EDA8-4F32-8D89-16240BE4555F}" name="合計　時間　　(時間)" dataDxfId="36">
      <calculatedColumnFormula>SUM(M6:U6)/60</calculatedColumnFormula>
    </tableColumn>
    <tableColumn id="22" xr3:uid="{4B978445-947A-4327-9958-F3CBF9CD463F}" name="品番毎平均ページ数" dataDxfId="35"/>
    <tableColumn id="23" xr3:uid="{51733A1F-200C-4E10-BA9B-B6F0CD187C0B}" name="1st" dataDxfId="34"/>
    <tableColumn id="24" xr3:uid="{B6D1E54B-3BCF-447E-95FD-DF0C8E7D2E36}" name="2nd" dataDxfId="33"/>
    <tableColumn id="25" xr3:uid="{FA997867-9D2E-4A99-BA4C-02FFED279F62}" name="3rd" dataDxfId="32"/>
    <tableColumn id="26" xr3:uid="{1E9DB232-C4CC-4FD5-82B0-D7B7D2172AA3}" name="SMS" dataDxfId="31"/>
    <tableColumn id="27" xr3:uid="{9EDA467A-B334-4988-9B73-E398464419B7}" name="SIZE SET" dataDxfId="30"/>
    <tableColumn id="28" xr3:uid="{9BDD5653-193F-4382-A2BE-8FB65163F1FD}" name="Re-SIZESET" dataDxfId="29"/>
    <tableColumn id="29" xr3:uid="{685867A7-D177-4335-B43B-8FCDB8C51C50}" name="PPS" dataDxfId="28"/>
    <tableColumn id="30" xr3:uid="{0AA16B28-CA02-4CF0-AE76-396E0E2345DF}" name="Re-PPS" dataDxfId="27"/>
    <tableColumn id="31" xr3:uid="{AC0980A1-6531-47C3-BB04-764E8AEE984E}" name="BULK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8E89C46-B053-4FE8-B784-0647415C8A97}" name="シーズンごと" displayName="シーズンごと" ref="A1:F52" tableType="queryTable" totalsRowShown="0">
  <autoFilter ref="A1:F52" xr:uid="{C8E89C46-B053-4FE8-B784-0647415C8A97}">
    <filterColumn colId="1">
      <filters>
        <filter val="27SS"/>
      </filters>
    </filterColumn>
  </autoFilter>
  <tableColumns count="6">
    <tableColumn id="1" xr3:uid="{361A5541-DF93-40FF-BFAE-60C8953E095C}" uniqueName="1" name="ブランド担当者" queryTableFieldId="1"/>
    <tableColumn id="2" xr3:uid="{7FD75877-108F-4C07-82ED-65D06E824124}" uniqueName="2" name="シーズン" queryTableFieldId="2"/>
    <tableColumn id="3" xr3:uid="{A3C46236-805D-426D-A6F9-BBCBE3635295}" uniqueName="3" name="Season_Order_Code" queryTableFieldId="3"/>
    <tableColumn id="5" xr3:uid="{6ED2FAD2-14B6-45DA-9EE9-02573FB342B6}" uniqueName="5" name="生産数" queryTableFieldId="5"/>
    <tableColumn id="6" xr3:uid="{411BFF25-DCC5-4F11-BE0A-16EAC20DF9FD}" uniqueName="6" name="品番数" queryTableFieldId="6"/>
    <tableColumn id="4" xr3:uid="{1C5A59BA-645D-41EA-8AF4-C1A3928A0121}" uniqueName="4" name="備考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0CA16E2-F573-4666-A1BE-D56199785468}" name="纏め" displayName="纏め" ref="A2:M165" tableType="queryTable" totalsRowShown="0">
  <autoFilter ref="A2:M165" xr:uid="{90CA16E2-F573-4666-A1BE-D56199785468}"/>
  <sortState xmlns:xlrd2="http://schemas.microsoft.com/office/spreadsheetml/2017/richdata2" ref="A3:M165">
    <sortCondition ref="E2:E165"/>
  </sortState>
  <tableColumns count="13">
    <tableColumn id="1" xr3:uid="{8EF93683-18BF-47AC-8FA1-CB07171B0275}" uniqueName="1" name="ブランド担当者" queryTableFieldId="1"/>
    <tableColumn id="2" xr3:uid="{7EA62A8A-6C1C-4FC3-A52B-C2346FFA3100}" uniqueName="2" name="シーズン" queryTableFieldId="2"/>
    <tableColumn id="3" xr3:uid="{AE8216B6-D8BA-4362-A46F-115C90E76C09}" uniqueName="3" name="Season_Order_Code" queryTableFieldId="3"/>
    <tableColumn id="4" xr3:uid="{9C26040E-C9B2-4931-A70B-89D8482C55FB}" uniqueName="4" name="ブランド" queryTableFieldId="4"/>
    <tableColumn id="5" xr3:uid="{3494F32F-356E-4900-97F6-677E1D423896}" uniqueName="5" name="サンプル類" queryTableFieldId="5"/>
    <tableColumn id="6" xr3:uid="{219D7174-00F7-4E2F-98F0-E06CAA3524B4}" uniqueName="6" name="生産数" queryTableFieldId="6" dataDxfId="25"/>
    <tableColumn id="14" xr3:uid="{3216054F-0FBF-4634-A326-8ED6EC947596}" uniqueName="14" name="生産数率" queryTableFieldId="14" dataDxfId="24"/>
    <tableColumn id="7" xr3:uid="{0E4CE3E2-547B-44A4-9B33-5C6C8560728F}" uniqueName="7" name="品番数" queryTableFieldId="7" dataDxfId="23"/>
    <tableColumn id="15" xr3:uid="{B7891CD7-A7DD-4A0C-8229-33D638CB0C81}" uniqueName="15" name="品番数率" queryTableFieldId="15" dataDxfId="22"/>
    <tableColumn id="8" xr3:uid="{5B95FA22-C467-4C83-AFA5-598C18D325AC}" uniqueName="8" name="平均秒数" queryTableFieldId="8" dataDxfId="21"/>
    <tableColumn id="16" xr3:uid="{532C720F-8F95-4CBA-BF0B-D31CE2806F09}" uniqueName="16" name="稼働日数　　(延べ日数）" queryTableFieldId="16"/>
    <tableColumn id="17" xr3:uid="{88C34350-88C3-4214-B756-6D0974BF5343}" uniqueName="17" name="%稼働日数（延べ日数）" queryTableFieldId="17" dataDxfId="20"/>
    <tableColumn id="10" xr3:uid="{594A8BF0-559B-45C1-A9EB-FD4566414CFF}" uniqueName="10" name="備考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2D58E-D243-4D9C-A0D9-7E4AF7842137}" name="担当" displayName="担当" ref="A12:I18" totalsRowShown="0">
  <autoFilter ref="A12:I18" xr:uid="{CAD2D58E-D243-4D9C-A0D9-7E4AF7842137}"/>
  <tableColumns count="9">
    <tableColumn id="1" xr3:uid="{D07E3331-889A-4D3B-BAD8-05B0D93DD4F5}" name="ブランド担当者">
      <calculatedColumnFormula>$B$11</calculatedColumnFormula>
    </tableColumn>
    <tableColumn id="2" xr3:uid="{BD3078BD-A4F3-4082-9CC8-C323599C70BA}" name="シーズン"/>
    <tableColumn id="3" xr3:uid="{55BAF6D9-DB6C-4243-BE44-2942B54AC5BF}" name="ブランド"/>
    <tableColumn id="4" xr3:uid="{78FF090E-6423-4C31-8EED-923FF1126B9A}" name="サンプル類"/>
    <tableColumn id="5" xr3:uid="{AFADCB2F-19F3-483C-BBC3-56B7A51ED12F}" name="生産数"/>
    <tableColumn id="6" xr3:uid="{82A0FA73-EF21-49A9-907A-5438EC4BAA08}" name="品番数"/>
    <tableColumn id="7" xr3:uid="{FEE0A89E-4A48-4F8F-B6EE-F4BB0C341609}" name="平均秒数"/>
    <tableColumn id="8" xr3:uid="{2BD1FB0D-B243-4C79-A59C-B67E43DE2766}" name="稼働日数">
      <calculatedColumnFormula array="1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calculatedColumnFormula>
    </tableColumn>
    <tableColumn id="9" xr3:uid="{98875296-8AB6-48F4-B979-04639963EDC3}" name="備考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A27A0B-D1E0-406F-819D-9729A1B3DA82}" name="稼働日数計算" displayName="稼働日数計算" ref="A3:B9" totalsRowShown="0">
  <autoFilter ref="A3:B9" xr:uid="{15A27A0B-D1E0-406F-819D-9729A1B3DA82}"/>
  <tableColumns count="2">
    <tableColumn id="1" xr3:uid="{21159F6A-3B77-4A67-8911-6310984B2D3E}" name="工程秒数"/>
    <tableColumn id="2" xr3:uid="{6C458A11-707B-4605-8C49-5BFC831D049A}" name="1pcs縫製期間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707E14-074E-4C5B-872A-AF6910040826}" name="担当_5" displayName="担当_5" ref="A12:I54" totalsRowShown="0">
  <autoFilter ref="A12:I54" xr:uid="{CAD2D58E-D243-4D9C-A0D9-7E4AF7842137}"/>
  <tableColumns count="9">
    <tableColumn id="1" xr3:uid="{EED7044A-0480-4A67-ABB5-B2FC28EEE34A}" name="ブランド担当者">
      <calculatedColumnFormula>$B$11</calculatedColumnFormula>
    </tableColumn>
    <tableColumn id="2" xr3:uid="{5EC85D3D-476F-46D7-8655-C136EBECE8E0}" name="シーズン"/>
    <tableColumn id="3" xr3:uid="{6B68D751-27E4-45B8-AA62-29C9AED3391F}" name="ブランド"/>
    <tableColumn id="4" xr3:uid="{D4CB1746-E904-4A93-9FD5-20279C5AC03A}" name="サンプル類"/>
    <tableColumn id="5" xr3:uid="{5912C51F-1042-481E-B68C-5398C53D8DD5}" name="生産数"/>
    <tableColumn id="6" xr3:uid="{CD9604C5-31E1-45F2-A50C-0C26D6456341}" name="品番数"/>
    <tableColumn id="7" xr3:uid="{2F262678-E437-45D4-9A00-E4DBF31F0459}" name="平均秒数"/>
    <tableColumn id="8" xr3:uid="{307256D7-CEE5-4D65-BA22-F83B1CF0BB7E}" name="稼働日数">
      <calculatedColumnFormula array="1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calculatedColumnFormula>
    </tableColumn>
    <tableColumn id="9" xr3:uid="{1D78C608-9B48-4494-B96C-7C40C4ABB192}" name="備考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EF22BE-6BCE-4787-86DF-00CFEB3AFAF0}" name="稼働日数計算6" displayName="稼働日数計算6" ref="A3:B9" totalsRowShown="0">
  <autoFilter ref="A3:B9" xr:uid="{15A27A0B-D1E0-406F-819D-9729A1B3DA82}"/>
  <tableColumns count="2">
    <tableColumn id="1" xr3:uid="{2B7B57AD-7006-4569-B5F8-856C572034F7}" name="工程秒数"/>
    <tableColumn id="2" xr3:uid="{86004055-A03E-4486-ACA0-A6674EEC45B3}" name="1pcs縫製期間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7520B6-9916-45F7-9028-BF6E6233BD2C}" name="担当_57" displayName="担当_57" ref="A12:I49" totalsRowShown="0" dataDxfId="19">
  <autoFilter ref="A12:I49" xr:uid="{CAD2D58E-D243-4D9C-A0D9-7E4AF7842137}">
    <filterColumn colId="2">
      <filters>
        <filter val="MONTBELL"/>
      </filters>
    </filterColumn>
  </autoFilter>
  <tableColumns count="9">
    <tableColumn id="1" xr3:uid="{9DD6F697-11FF-412C-BEF1-6563A87B7F30}" name="ブランド担当者" dataDxfId="18">
      <calculatedColumnFormula>$B$11</calculatedColumnFormula>
    </tableColumn>
    <tableColumn id="2" xr3:uid="{E95A6436-44EA-4AAE-A0FB-1A50F85BFAAA}" name="シーズン" dataDxfId="17"/>
    <tableColumn id="3" xr3:uid="{8124C7F2-063A-438D-9A7B-4FA9994069DE}" name="ブランド" dataDxfId="16"/>
    <tableColumn id="4" xr3:uid="{45D30C45-B608-482E-B163-1A4CCA7D0C9C}" name="サンプル類" dataDxfId="15"/>
    <tableColumn id="5" xr3:uid="{6F942CBC-6DA9-46FD-B553-E36BBBD7F88F}" name="生産数" dataDxfId="14"/>
    <tableColumn id="6" xr3:uid="{09DD1465-62C9-4991-A24E-94702662DADE}" name="品番数" dataDxfId="13"/>
    <tableColumn id="7" xr3:uid="{D503EC90-4370-4247-B135-2B69922D912E}" name="平均秒数" dataDxfId="12"/>
    <tableColumn id="8" xr3:uid="{FBBF8AAA-1A6D-4C18-80CD-344E19AFBCFE}" name="稼働日数" dataDxfId="11">
      <calculatedColumnFormula array="1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calculatedColumnFormula>
    </tableColumn>
    <tableColumn id="9" xr3:uid="{4D7145AA-B6E3-433D-8FD1-6ECAECCF666F}" name="備考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09A6A3-410A-475D-98BD-5A673B055DF2}" name="稼働日数計算68" displayName="稼働日数計算68" ref="A3:B9" totalsRowShown="0">
  <autoFilter ref="A3:B9" xr:uid="{15A27A0B-D1E0-406F-819D-9729A1B3DA82}"/>
  <tableColumns count="2">
    <tableColumn id="1" xr3:uid="{F622D004-E9DB-4D6C-96EB-C6C413C4D969}" name="工程秒数"/>
    <tableColumn id="2" xr3:uid="{25252B1F-203C-448F-AD04-BE943A6D9E0B}" name="1pcs縫製期間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7BAB59-D97E-4E7E-B37E-7FAEBE5462C8}" name="担当_579" displayName="担当_579" ref="A12:I34" totalsRowShown="0">
  <autoFilter ref="A12:I34" xr:uid="{CAD2D58E-D243-4D9C-A0D9-7E4AF7842137}"/>
  <tableColumns count="9">
    <tableColumn id="1" xr3:uid="{CE147F13-125F-4AC0-8D16-E9F8C0211DE1}" name="ブランド担当者">
      <calculatedColumnFormula>$B$11</calculatedColumnFormula>
    </tableColumn>
    <tableColumn id="2" xr3:uid="{95FD4792-CDAC-4A2F-B2A2-30A54A48B564}" name="シーズン"/>
    <tableColumn id="3" xr3:uid="{12AE3A1F-C815-42F9-9939-051A580270D7}" name="ブランド"/>
    <tableColumn id="4" xr3:uid="{140A9D89-8120-4BD9-819A-0DD4FBA5F0F3}" name="サンプル類"/>
    <tableColumn id="5" xr3:uid="{B01A761F-2F29-4520-9D88-5C9492A5EA65}" name="生産数"/>
    <tableColumn id="6" xr3:uid="{662F704B-BF4B-4D19-8B93-C0457F8622DC}" name="品番数"/>
    <tableColumn id="7" xr3:uid="{1D55DB09-ED19-4328-8D40-AA72598C1B63}" name="平均秒数"/>
    <tableColumn id="8" xr3:uid="{FDCF3CF1-BC60-4E57-A518-6CF9CD7A9FBA}" name="稼働日数">
      <calculatedColumnFormula array="1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calculatedColumnFormula>
    </tableColumn>
    <tableColumn id="9" xr3:uid="{9C21FBC7-6C04-4067-AA3D-40B76B5937F7}" name="備考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DC5F12-DDF4-4635-8688-A7B6FCD90433}" name="稼働日数計算6810" displayName="稼働日数計算6810" ref="A3:B9" totalsRowShown="0">
  <autoFilter ref="A3:B9" xr:uid="{15A27A0B-D1E0-406F-819D-9729A1B3DA82}"/>
  <tableColumns count="2">
    <tableColumn id="1" xr3:uid="{DA8DB1A1-2620-41A1-9509-AD0DEC670E3D}" name="工程秒数"/>
    <tableColumn id="2" xr3:uid="{A32F5CA3-71DB-4CC9-BDFC-82B24F90D997}" name="1pcs縫製期間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32FE37F-96C0-4255-BB5A-6932F37B0DB1}" name="担当_57911" displayName="担当_57911" ref="A12:I27" totalsRowShown="0">
  <autoFilter ref="A12:I27" xr:uid="{CAD2D58E-D243-4D9C-A0D9-7E4AF7842137}"/>
  <tableColumns count="9">
    <tableColumn id="1" xr3:uid="{5289F9DB-862A-4A67-9976-DDC371FC265D}" name="ブランド担当者">
      <calculatedColumnFormula>$B$11</calculatedColumnFormula>
    </tableColumn>
    <tableColumn id="2" xr3:uid="{D12ABB4F-669F-415C-96C3-714BAE0DF924}" name="シーズン"/>
    <tableColumn id="3" xr3:uid="{88815407-70B8-4418-8F7B-EFFBBF2F233B}" name="ブランド"/>
    <tableColumn id="4" xr3:uid="{17E2BBFE-B609-423D-A150-6F5FEA6BA690}" name="サンプル類"/>
    <tableColumn id="5" xr3:uid="{05307E45-DCB8-4A5C-8C8B-0C50244C833C}" name="生産数"/>
    <tableColumn id="6" xr3:uid="{A906D1EA-5C1C-4DBE-8A70-ED0E37B95789}" name="品番数"/>
    <tableColumn id="7" xr3:uid="{4D0698A8-424D-4E91-A984-E4B997B11DE6}" name="平均秒数"/>
    <tableColumn id="8" xr3:uid="{65D6E671-E71F-46C6-8994-2A908C94AAAC}" name="稼働日数">
      <calculatedColumnFormula array="1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calculatedColumnFormula>
    </tableColumn>
    <tableColumn id="9" xr3:uid="{06F3514E-443D-4885-B669-80FB80B43185}" name="備考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410175-278E-468B-84CF-927D233C4050}" name="稼働日数計算681012" displayName="稼働日数計算681012" ref="A3:B9" totalsRowShown="0">
  <autoFilter ref="A3:B9" xr:uid="{15A27A0B-D1E0-406F-819D-9729A1B3DA82}"/>
  <tableColumns count="2">
    <tableColumn id="1" xr3:uid="{3EF723C3-18A9-4DAA-A98B-B0918D99E5A3}" name="工程秒数"/>
    <tableColumn id="2" xr3:uid="{307B05F6-2FBE-4EA1-AB55-6988AFAFFC42}" name="1pcs縫製期間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89760E-8075-4691-93D3-D8DB6AD9A303}" name="担当_5791113" displayName="担当_5791113" ref="A12:I45" totalsRowShown="0" dataDxfId="9">
  <autoFilter ref="A12:I45" xr:uid="{CAD2D58E-D243-4D9C-A0D9-7E4AF7842137}">
    <filterColumn colId="1">
      <filters>
        <filter val="25SS"/>
      </filters>
    </filterColumn>
    <filterColumn colId="2">
      <filters>
        <filter val="GOLDWIN"/>
      </filters>
    </filterColumn>
  </autoFilter>
  <tableColumns count="9">
    <tableColumn id="1" xr3:uid="{C1AEE03A-BD2B-4ACA-B1C2-52BBEE18E30E}" name="ブランド担当者" dataDxfId="8">
      <calculatedColumnFormula>$B$11</calculatedColumnFormula>
    </tableColumn>
    <tableColumn id="2" xr3:uid="{4D013BFA-E9D4-4446-8F2E-0D63BBD52B80}" name="シーズン" dataDxfId="7"/>
    <tableColumn id="3" xr3:uid="{C5A5DA4E-D558-4002-B10F-AB836D1D1066}" name="ブランド" dataDxfId="6"/>
    <tableColumn id="4" xr3:uid="{5C3D01C6-7CD6-4E37-8E6B-29D08CDC148A}" name="サンプル類" dataDxfId="5"/>
    <tableColumn id="5" xr3:uid="{1893F080-0072-4A6F-81E9-1430BB6F22EF}" name="生産数" dataDxfId="4"/>
    <tableColumn id="6" xr3:uid="{F82D9571-235E-4402-A308-BEED09D938CC}" name="品番数" dataDxfId="3"/>
    <tableColumn id="7" xr3:uid="{B7817B91-6A23-4FA5-9275-3A4E27802CE3}" name="平均秒数" dataDxfId="2"/>
    <tableColumn id="8" xr3:uid="{1D472FFB-C235-4438-814F-01C2F2A7DBEE}" name="稼働日数" dataDxfId="1">
      <calculatedColumnFormula array="1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calculatedColumnFormula>
    </tableColumn>
    <tableColumn id="9" xr3:uid="{F5B0C929-05A2-43B5-889C-336D5094DEAF}" name="備考" dataDxfId="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FCBEAED-AA31-49E4-9026-B70B12B329BC}" name="稼働日数計算68101214" displayName="稼働日数計算68101214" ref="A3:B9" totalsRowShown="0">
  <autoFilter ref="A3:B9" xr:uid="{15A27A0B-D1E0-406F-819D-9729A1B3DA82}"/>
  <tableColumns count="2">
    <tableColumn id="1" xr3:uid="{A763113B-8226-40F4-BB84-B1EA79CA1394}" name="工程秒数"/>
    <tableColumn id="2" xr3:uid="{24669BB3-B219-4B16-BB37-1DCA5DBAA80A}" name="1pcs縫製期間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138BFD4-520B-467C-A59C-6D098A563849}" name="担当_579111315" displayName="担当_579111315" ref="A12:I18" totalsRowShown="0">
  <autoFilter ref="A12:I18" xr:uid="{CAD2D58E-D243-4D9C-A0D9-7E4AF7842137}"/>
  <tableColumns count="9">
    <tableColumn id="1" xr3:uid="{4B4618F2-49CD-42F8-9A3E-746CFFED4971}" name="ブランド担当者">
      <calculatedColumnFormula>$B$11</calculatedColumnFormula>
    </tableColumn>
    <tableColumn id="2" xr3:uid="{DD964835-E42F-4006-BA01-6FF728F68065}" name="シーズン"/>
    <tableColumn id="3" xr3:uid="{D36E2B7E-9608-4228-B014-D15B786C6904}" name="ブランド"/>
    <tableColumn id="4" xr3:uid="{9F816D75-69FF-4F67-A12E-C6F684409D1D}" name="サンプル類"/>
    <tableColumn id="5" xr3:uid="{0BCDABC7-B216-47C2-BA3E-8D59AA0A25AF}" name="生産数"/>
    <tableColumn id="6" xr3:uid="{8B388179-9176-4A9C-A4A5-E59B8A35DDEC}" name="品番数"/>
    <tableColumn id="7" xr3:uid="{A84A3206-BC91-4D1B-B839-670DD4FFCAFB}" name="平均秒数"/>
    <tableColumn id="8" xr3:uid="{BDEA3F43-5455-4D05-884D-3E3D477F2093}" name="稼働日数">
      <calculatedColumnFormula array="1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calculatedColumnFormula>
    </tableColumn>
    <tableColumn id="9" xr3:uid="{627A2F15-4519-48D8-9251-F40847D79428}" name="備考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BA14390-AAF7-4368-9312-89775DDEEEA8}" name="稼働日数計算6810121416" displayName="稼働日数計算6810121416" ref="A3:B9" totalsRowShown="0">
  <autoFilter ref="A3:B9" xr:uid="{15A27A0B-D1E0-406F-819D-9729A1B3DA82}"/>
  <tableColumns count="2">
    <tableColumn id="1" xr3:uid="{9E046EA8-5823-476A-92D8-52E609F8EA24}" name="工程秒数"/>
    <tableColumn id="2" xr3:uid="{AB3A1E5D-5A59-4C1C-860F-2DD0C2FD1A20}" name="1pcs縫製期間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8571EE6-217F-4483-AA46-A858CA667EA5}" name="担当_57911131517" displayName="担当_57911131517" ref="A12:I14" totalsRowShown="0">
  <autoFilter ref="A12:I14" xr:uid="{CAD2D58E-D243-4D9C-A0D9-7E4AF7842137}"/>
  <tableColumns count="9">
    <tableColumn id="1" xr3:uid="{9691EE10-08E1-44A7-A7DA-1F85C158C13E}" name="ブランド担当者">
      <calculatedColumnFormula>$B$11</calculatedColumnFormula>
    </tableColumn>
    <tableColumn id="2" xr3:uid="{C70EF571-C8D9-406A-8F08-2B8B5DEBC8C2}" name="シーズン"/>
    <tableColumn id="3" xr3:uid="{6FA96686-2FA5-47FA-A8E9-CC9F68B99E30}" name="ブランド"/>
    <tableColumn id="4" xr3:uid="{A8B65326-A48D-40B8-8F9E-214ACFD1C2FD}" name="サンプル類"/>
    <tableColumn id="5" xr3:uid="{2FB67C8A-1E4A-4386-9C28-B5A4A1099F67}" name="生産数"/>
    <tableColumn id="6" xr3:uid="{4BF0B445-1A85-4AC2-B245-7747ECF64BD9}" name="品番数"/>
    <tableColumn id="7" xr3:uid="{FE54204F-BA86-4932-8426-57062988B696}" name="平均秒数"/>
    <tableColumn id="8" xr3:uid="{BB1D0F7E-4F0B-4038-88E1-772FADD23A68}" name="稼働日数">
      <calculatedColumnFormula array="1">_xlfn.IFS(
担当_57911131517[[#This Row],[平均秒数]]&lt;=3000,1,
担当_57911131517[[#This Row],[平均秒数]]&lt;=8000,2,
担当_57911131517[[#This Row],[平均秒数]]&lt;=10000,3,
担当_57911131517[[#This Row],[平均秒数]]&lt;=12000,4,
担当_57911131517[[#This Row],[平均秒数]]&lt;=15000,5,
TRUE,6
)*担当_57911131517[[#This Row],[生産数]]</calculatedColumnFormula>
    </tableColumn>
    <tableColumn id="9" xr3:uid="{86E4A27D-AACA-4D77-8617-7B4CA09E396A}" name="備考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3FACD25-F9A7-4F7D-A5BA-D609718B8689}" name="稼働日数計算681012141618" displayName="稼働日数計算681012141618" ref="A3:B9" totalsRowShown="0">
  <autoFilter ref="A3:B9" xr:uid="{15A27A0B-D1E0-406F-819D-9729A1B3DA82}"/>
  <tableColumns count="2">
    <tableColumn id="1" xr3:uid="{F2B2F5AF-B00E-459B-BFD5-D4C46015B2AE}" name="工程秒数"/>
    <tableColumn id="2" xr3:uid="{1EDD7299-1E84-4647-956F-BD780FE2A60E}" name="1pcs縫製期間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26C1-D7A6-4960-8794-DCF88274845A}">
  <sheetPr>
    <pageSetUpPr fitToPage="1"/>
  </sheetPr>
  <dimension ref="A2:FM53"/>
  <sheetViews>
    <sheetView zoomScale="70" zoomScaleNormal="70" zoomScaleSheetLayoutView="40" workbookViewId="0">
      <pane xSplit="22" topLeftCell="W1" activePane="topRight" state="frozen"/>
      <selection activeCell="A134" sqref="A134"/>
      <selection pane="topRight" activeCell="B6" sqref="B6:B53"/>
    </sheetView>
  </sheetViews>
  <sheetFormatPr defaultColWidth="9" defaultRowHeight="12" outlineLevelCol="1"/>
  <cols>
    <col min="1" max="1" width="0.44140625" style="2" customWidth="1"/>
    <col min="2" max="2" width="33" style="9" bestFit="1" customWidth="1" collapsed="1"/>
    <col min="3" max="3" width="9" style="2" bestFit="1" customWidth="1"/>
    <col min="4" max="4" width="10.33203125" style="2" bestFit="1" customWidth="1"/>
    <col min="5" max="5" width="11.33203125" style="2" bestFit="1" customWidth="1"/>
    <col min="6" max="6" width="10.6640625" style="2" bestFit="1" customWidth="1"/>
    <col min="7" max="7" width="9.6640625" style="2" bestFit="1" customWidth="1"/>
    <col min="8" max="9" width="9.6640625" style="2" customWidth="1"/>
    <col min="10" max="10" width="9.33203125" style="2" bestFit="1" customWidth="1"/>
    <col min="11" max="11" width="10" style="2" customWidth="1" outlineLevel="1"/>
    <col min="12" max="14" width="11.6640625" style="2" customWidth="1" outlineLevel="1"/>
    <col min="15" max="15" width="12.109375" style="2" customWidth="1" outlineLevel="1"/>
    <col min="16" max="17" width="11.6640625" style="2" customWidth="1" outlineLevel="1"/>
    <col min="18" max="18" width="8.44140625" style="2" customWidth="1" outlineLevel="1"/>
    <col min="19" max="19" width="12" style="2" customWidth="1" outlineLevel="1"/>
    <col min="20" max="20" width="11.6640625" style="2" customWidth="1" outlineLevel="1"/>
    <col min="21" max="21" width="10.33203125" style="2" customWidth="1" outlineLevel="1"/>
    <col min="22" max="22" width="18.6640625" style="3" customWidth="1" outlineLevel="1"/>
    <col min="23" max="23" width="18.44140625" style="2" customWidth="1"/>
    <col min="24" max="24" width="9" style="2" customWidth="1"/>
    <col min="25" max="25" width="9.33203125" style="2" customWidth="1"/>
    <col min="26" max="26" width="9" style="2" customWidth="1"/>
    <col min="27" max="27" width="10.33203125" style="2" customWidth="1"/>
    <col min="28" max="28" width="10.44140625" style="2" customWidth="1"/>
    <col min="29" max="29" width="13.33203125" style="2" customWidth="1"/>
    <col min="30" max="30" width="9.6640625" style="2" customWidth="1"/>
    <col min="31" max="31" width="9.88671875" style="2" customWidth="1"/>
    <col min="32" max="32" width="10.6640625" style="2" customWidth="1"/>
    <col min="33" max="33" width="7.33203125" style="2" customWidth="1"/>
    <col min="34" max="34" width="7.33203125" style="4" customWidth="1"/>
    <col min="35" max="35" width="7.33203125" style="2" customWidth="1"/>
    <col min="36" max="36" width="7.33203125" style="4" customWidth="1"/>
    <col min="37" max="38" width="7.33203125" style="2" customWidth="1"/>
    <col min="39" max="39" width="7.33203125" style="4" customWidth="1"/>
    <col min="40" max="40" width="7.33203125" style="2" customWidth="1"/>
    <col min="41" max="41" width="7.33203125" style="4" customWidth="1"/>
    <col min="42" max="42" width="7.33203125" style="2" customWidth="1"/>
    <col min="43" max="43" width="7.33203125" style="4" customWidth="1"/>
    <col min="44" max="45" width="7.33203125" style="2" customWidth="1"/>
    <col min="46" max="46" width="7.33203125" style="4" customWidth="1"/>
    <col min="47" max="47" width="7.33203125" style="2" customWidth="1"/>
    <col min="48" max="48" width="7.33203125" style="4" customWidth="1"/>
    <col min="49" max="49" width="7.33203125" style="2" customWidth="1"/>
    <col min="50" max="50" width="7.33203125" style="4" customWidth="1"/>
    <col min="51" max="52" width="7.33203125" style="2" customWidth="1"/>
    <col min="53" max="53" width="7.33203125" style="4" customWidth="1"/>
    <col min="54" max="54" width="7.6640625" style="2" customWidth="1"/>
    <col min="55" max="55" width="5.44140625" style="4" customWidth="1"/>
    <col min="56" max="56" width="6.6640625" style="2" customWidth="1"/>
    <col min="57" max="57" width="5.44140625" style="4" customWidth="1"/>
    <col min="58" max="58" width="8.33203125" style="2" customWidth="1"/>
    <col min="59" max="59" width="6.44140625" style="2" customWidth="1"/>
    <col min="60" max="60" width="7.33203125" style="4" customWidth="1"/>
    <col min="61" max="116" width="9" style="2" customWidth="1"/>
    <col min="117" max="16384" width="9" style="2"/>
  </cols>
  <sheetData>
    <row r="2" spans="2:149" ht="15" thickBot="1">
      <c r="B2" s="10" t="s">
        <v>0</v>
      </c>
      <c r="C2" s="14"/>
      <c r="D2" s="15"/>
      <c r="E2" s="15"/>
      <c r="F2" s="15"/>
      <c r="G2" s="15"/>
      <c r="H2" s="15"/>
      <c r="I2" s="15"/>
      <c r="J2" s="15"/>
      <c r="K2" s="15"/>
      <c r="M2" s="15"/>
      <c r="AT2" s="54"/>
      <c r="BH2" s="54"/>
    </row>
    <row r="3" spans="2:149" ht="13.5" customHeight="1">
      <c r="B3" s="55"/>
      <c r="C3" s="164" t="s">
        <v>1</v>
      </c>
      <c r="D3" s="165"/>
      <c r="E3" s="165"/>
      <c r="F3" s="165"/>
      <c r="G3" s="165"/>
      <c r="H3" s="165"/>
      <c r="I3" s="165"/>
      <c r="J3" s="166"/>
      <c r="K3" s="56"/>
      <c r="L3" s="57"/>
      <c r="M3" s="58"/>
      <c r="N3" s="58"/>
      <c r="O3" s="58"/>
      <c r="P3" s="58"/>
      <c r="Q3" s="58"/>
      <c r="R3" s="58"/>
      <c r="S3" s="58"/>
      <c r="T3" s="58"/>
      <c r="U3" s="58"/>
      <c r="V3" s="59"/>
      <c r="W3" s="57"/>
      <c r="X3" s="56"/>
      <c r="Y3" s="58"/>
      <c r="Z3" s="58"/>
      <c r="AA3" s="58"/>
      <c r="AB3" s="58"/>
      <c r="AC3" s="58"/>
      <c r="AD3" s="58"/>
      <c r="AE3" s="58"/>
      <c r="AF3" s="58"/>
      <c r="AG3" s="56"/>
      <c r="AH3" s="60"/>
      <c r="AI3" s="58"/>
      <c r="AJ3" s="60"/>
      <c r="AK3" s="58"/>
      <c r="AL3" s="58"/>
      <c r="AM3" s="61"/>
      <c r="AN3" s="56"/>
      <c r="AO3" s="60"/>
      <c r="AP3" s="58"/>
      <c r="AQ3" s="60"/>
      <c r="AR3" s="58"/>
      <c r="AS3" s="58"/>
      <c r="AT3" s="61"/>
      <c r="AU3" s="56"/>
      <c r="AV3" s="60"/>
      <c r="AW3" s="58"/>
      <c r="AX3" s="60"/>
      <c r="AY3" s="58"/>
      <c r="AZ3" s="58"/>
      <c r="BA3" s="61"/>
      <c r="BB3" s="56"/>
      <c r="BC3" s="60"/>
      <c r="BD3" s="58"/>
      <c r="BE3" s="60"/>
      <c r="BF3" s="58"/>
      <c r="BG3" s="58"/>
      <c r="BH3" s="61"/>
      <c r="BI3" s="56"/>
      <c r="BJ3" s="60"/>
      <c r="BK3" s="58"/>
      <c r="BL3" s="60"/>
      <c r="BM3" s="58"/>
      <c r="BN3" s="58"/>
      <c r="BO3" s="61"/>
      <c r="BP3" s="56"/>
      <c r="BQ3" s="60"/>
      <c r="BR3" s="58"/>
      <c r="BS3" s="60"/>
      <c r="BT3" s="58"/>
      <c r="BU3" s="58"/>
      <c r="BV3" s="61"/>
      <c r="BW3" s="56"/>
      <c r="BX3" s="60"/>
      <c r="BY3" s="58"/>
      <c r="BZ3" s="60"/>
      <c r="CA3" s="58"/>
      <c r="CB3" s="58"/>
      <c r="CC3" s="61"/>
      <c r="CD3" s="56"/>
      <c r="CE3" s="60"/>
      <c r="CF3" s="58"/>
      <c r="CG3" s="60"/>
      <c r="CH3" s="58"/>
      <c r="CI3" s="58"/>
      <c r="CJ3" s="61"/>
      <c r="CK3" s="56"/>
      <c r="CL3" s="60"/>
      <c r="CM3" s="58"/>
      <c r="CN3" s="60"/>
      <c r="CO3" s="58"/>
      <c r="CP3" s="58"/>
      <c r="CQ3" s="61"/>
      <c r="CR3" s="56"/>
      <c r="CS3" s="60"/>
      <c r="CT3" s="58"/>
      <c r="CU3" s="60"/>
      <c r="CV3" s="58"/>
      <c r="CW3" s="58"/>
      <c r="CX3" s="61"/>
      <c r="CY3" s="56"/>
      <c r="CZ3" s="60"/>
      <c r="DA3" s="58"/>
      <c r="DB3" s="60"/>
      <c r="DC3" s="58"/>
      <c r="DD3" s="58"/>
      <c r="DE3" s="61"/>
      <c r="DF3" s="56"/>
      <c r="DG3" s="60"/>
      <c r="DH3" s="58"/>
      <c r="DI3" s="60"/>
      <c r="DJ3" s="58"/>
      <c r="DK3" s="58"/>
      <c r="DL3" s="61"/>
      <c r="DM3" s="56"/>
      <c r="DN3" s="60"/>
      <c r="DO3" s="58"/>
      <c r="DP3" s="60"/>
      <c r="DQ3" s="58"/>
      <c r="DR3" s="58"/>
      <c r="DS3" s="61"/>
      <c r="DT3" s="56"/>
      <c r="DU3" s="60"/>
      <c r="DV3" s="58"/>
      <c r="DW3" s="60"/>
      <c r="DX3" s="58"/>
      <c r="DY3" s="58"/>
      <c r="DZ3" s="61"/>
      <c r="EA3" s="56"/>
      <c r="EB3" s="60"/>
      <c r="EC3" s="58"/>
      <c r="ED3" s="60"/>
      <c r="EE3" s="58"/>
      <c r="EF3" s="58"/>
      <c r="EG3" s="61"/>
      <c r="EH3" s="56"/>
      <c r="EI3" s="60"/>
      <c r="EJ3" s="58"/>
      <c r="EK3" s="60"/>
      <c r="EL3" s="58"/>
      <c r="EM3" s="58"/>
      <c r="EN3" s="61"/>
    </row>
    <row r="4" spans="2:149" s="1" customFormat="1" ht="13.5" customHeight="1" thickBot="1">
      <c r="B4" s="62" t="s">
        <v>2</v>
      </c>
      <c r="C4" s="167" t="s">
        <v>3</v>
      </c>
      <c r="D4" s="168"/>
      <c r="E4" s="168"/>
      <c r="F4" s="168"/>
      <c r="G4" s="168"/>
      <c r="H4" s="168"/>
      <c r="I4" s="168"/>
      <c r="J4" s="169"/>
      <c r="K4" s="160" t="s">
        <v>4</v>
      </c>
      <c r="L4" s="162"/>
      <c r="M4" s="161" t="s">
        <v>5</v>
      </c>
      <c r="N4" s="161" t="s">
        <v>6</v>
      </c>
      <c r="O4" s="161" t="s">
        <v>6</v>
      </c>
      <c r="P4" s="161" t="s">
        <v>6</v>
      </c>
      <c r="Q4" s="161" t="s">
        <v>6</v>
      </c>
      <c r="R4" s="161" t="s">
        <v>6</v>
      </c>
      <c r="S4" s="161" t="s">
        <v>6</v>
      </c>
      <c r="T4" s="161" t="s">
        <v>6</v>
      </c>
      <c r="U4" s="161"/>
      <c r="V4" s="161"/>
      <c r="W4" s="162" t="s">
        <v>6</v>
      </c>
      <c r="X4" s="160" t="s">
        <v>7</v>
      </c>
      <c r="Y4" s="161"/>
      <c r="Z4" s="161"/>
      <c r="AA4" s="161"/>
      <c r="AB4" s="161"/>
      <c r="AC4" s="161"/>
      <c r="AD4" s="161"/>
      <c r="AE4" s="161"/>
      <c r="AF4" s="161"/>
      <c r="AG4" s="160" t="s">
        <v>8</v>
      </c>
      <c r="AH4" s="161"/>
      <c r="AI4" s="161"/>
      <c r="AJ4" s="161"/>
      <c r="AK4" s="161"/>
      <c r="AL4" s="161"/>
      <c r="AM4" s="162"/>
      <c r="AN4" s="160" t="s">
        <v>9</v>
      </c>
      <c r="AO4" s="161"/>
      <c r="AP4" s="161"/>
      <c r="AQ4" s="161"/>
      <c r="AR4" s="161"/>
      <c r="AS4" s="161"/>
      <c r="AT4" s="162"/>
      <c r="AU4" s="160" t="s">
        <v>10</v>
      </c>
      <c r="AV4" s="161"/>
      <c r="AW4" s="161"/>
      <c r="AX4" s="161"/>
      <c r="AY4" s="161"/>
      <c r="AZ4" s="161"/>
      <c r="BA4" s="162"/>
      <c r="BB4" s="160" t="s">
        <v>11</v>
      </c>
      <c r="BC4" s="161"/>
      <c r="BD4" s="161"/>
      <c r="BE4" s="161"/>
      <c r="BF4" s="161"/>
      <c r="BG4" s="161"/>
      <c r="BH4" s="162"/>
      <c r="BI4" s="160" t="s">
        <v>12</v>
      </c>
      <c r="BJ4" s="161"/>
      <c r="BK4" s="161"/>
      <c r="BL4" s="161"/>
      <c r="BM4" s="161"/>
      <c r="BN4" s="161"/>
      <c r="BO4" s="162"/>
      <c r="BP4" s="160" t="s">
        <v>13</v>
      </c>
      <c r="BQ4" s="161"/>
      <c r="BR4" s="161"/>
      <c r="BS4" s="161"/>
      <c r="BT4" s="161"/>
      <c r="BU4" s="161"/>
      <c r="BV4" s="162"/>
      <c r="BW4" s="160" t="s">
        <v>14</v>
      </c>
      <c r="BX4" s="161"/>
      <c r="BY4" s="161"/>
      <c r="BZ4" s="161"/>
      <c r="CA4" s="161"/>
      <c r="CB4" s="161"/>
      <c r="CC4" s="162"/>
      <c r="CD4" s="160" t="s">
        <v>15</v>
      </c>
      <c r="CE4" s="161"/>
      <c r="CF4" s="161"/>
      <c r="CG4" s="161"/>
      <c r="CH4" s="161"/>
      <c r="CI4" s="161"/>
      <c r="CJ4" s="162"/>
      <c r="CK4" s="160" t="s">
        <v>16</v>
      </c>
      <c r="CL4" s="161"/>
      <c r="CM4" s="161"/>
      <c r="CN4" s="161"/>
      <c r="CO4" s="161"/>
      <c r="CP4" s="161"/>
      <c r="CQ4" s="162"/>
      <c r="CR4" s="160" t="s">
        <v>17</v>
      </c>
      <c r="CS4" s="161"/>
      <c r="CT4" s="161"/>
      <c r="CU4" s="161"/>
      <c r="CV4" s="161"/>
      <c r="CW4" s="161"/>
      <c r="CX4" s="162"/>
      <c r="CY4" s="160" t="s">
        <v>18</v>
      </c>
      <c r="CZ4" s="161"/>
      <c r="DA4" s="161"/>
      <c r="DB4" s="161"/>
      <c r="DC4" s="161"/>
      <c r="DD4" s="161"/>
      <c r="DE4" s="162"/>
      <c r="DF4" s="160" t="s">
        <v>19</v>
      </c>
      <c r="DG4" s="161"/>
      <c r="DH4" s="161"/>
      <c r="DI4" s="161"/>
      <c r="DJ4" s="161"/>
      <c r="DK4" s="161"/>
      <c r="DL4" s="162"/>
      <c r="DM4" s="160" t="s">
        <v>20</v>
      </c>
      <c r="DN4" s="161"/>
      <c r="DO4" s="161"/>
      <c r="DP4" s="161"/>
      <c r="DQ4" s="161"/>
      <c r="DR4" s="161"/>
      <c r="DS4" s="162"/>
      <c r="DT4" s="160" t="s">
        <v>21</v>
      </c>
      <c r="DU4" s="161"/>
      <c r="DV4" s="161"/>
      <c r="DW4" s="161"/>
      <c r="DX4" s="161"/>
      <c r="DY4" s="161"/>
      <c r="DZ4" s="162"/>
      <c r="EA4" s="160" t="s">
        <v>22</v>
      </c>
      <c r="EB4" s="161"/>
      <c r="EC4" s="161"/>
      <c r="ED4" s="161"/>
      <c r="EE4" s="161"/>
      <c r="EF4" s="161"/>
      <c r="EG4" s="162"/>
      <c r="EH4" s="160" t="s">
        <v>23</v>
      </c>
      <c r="EI4" s="161"/>
      <c r="EJ4" s="161"/>
      <c r="EK4" s="161"/>
      <c r="EL4" s="161"/>
      <c r="EM4" s="161"/>
      <c r="EN4" s="162"/>
    </row>
    <row r="5" spans="2:149" s="5" customFormat="1" ht="36.6" thickBot="1">
      <c r="B5" s="65" t="s">
        <v>24</v>
      </c>
      <c r="C5" s="66" t="s">
        <v>25</v>
      </c>
      <c r="D5" s="67" t="s">
        <v>26</v>
      </c>
      <c r="E5" s="67" t="s">
        <v>27</v>
      </c>
      <c r="F5" s="67" t="s">
        <v>28</v>
      </c>
      <c r="G5" s="67" t="s">
        <v>29</v>
      </c>
      <c r="H5" s="68" t="s">
        <v>30</v>
      </c>
      <c r="I5" s="69" t="s">
        <v>31</v>
      </c>
      <c r="J5" s="70" t="s">
        <v>32</v>
      </c>
      <c r="K5" s="71" t="s">
        <v>33</v>
      </c>
      <c r="L5" s="72" t="s">
        <v>34</v>
      </c>
      <c r="M5" s="73" t="s">
        <v>35</v>
      </c>
      <c r="N5" s="74" t="s">
        <v>36</v>
      </c>
      <c r="O5" s="74" t="s">
        <v>37</v>
      </c>
      <c r="P5" s="74" t="s">
        <v>38</v>
      </c>
      <c r="Q5" s="74" t="s">
        <v>39</v>
      </c>
      <c r="R5" s="74" t="s">
        <v>40</v>
      </c>
      <c r="S5" s="74" t="s">
        <v>41</v>
      </c>
      <c r="T5" s="75" t="s">
        <v>42</v>
      </c>
      <c r="U5" s="75" t="s">
        <v>43</v>
      </c>
      <c r="V5" s="76" t="s">
        <v>44</v>
      </c>
      <c r="W5" s="77" t="s">
        <v>45</v>
      </c>
      <c r="X5" s="78" t="s">
        <v>46</v>
      </c>
      <c r="Y5" s="79" t="s">
        <v>47</v>
      </c>
      <c r="Z5" s="79" t="s">
        <v>48</v>
      </c>
      <c r="AA5" s="79" t="s">
        <v>49</v>
      </c>
      <c r="AB5" s="74" t="s">
        <v>50</v>
      </c>
      <c r="AC5" s="80" t="s">
        <v>51</v>
      </c>
      <c r="AD5" s="79" t="s">
        <v>52</v>
      </c>
      <c r="AE5" s="74" t="s">
        <v>53</v>
      </c>
      <c r="AF5" s="81" t="s">
        <v>54</v>
      </c>
      <c r="AG5" s="163" t="s">
        <v>55</v>
      </c>
      <c r="AH5" s="155"/>
      <c r="AI5" s="154" t="s">
        <v>56</v>
      </c>
      <c r="AJ5" s="155"/>
      <c r="AK5" s="74" t="s">
        <v>57</v>
      </c>
      <c r="AL5" s="154" t="s">
        <v>58</v>
      </c>
      <c r="AM5" s="157"/>
      <c r="AN5" s="158" t="s">
        <v>55</v>
      </c>
      <c r="AO5" s="155"/>
      <c r="AP5" s="154" t="s">
        <v>56</v>
      </c>
      <c r="AQ5" s="155"/>
      <c r="AR5" s="74" t="s">
        <v>57</v>
      </c>
      <c r="AS5" s="154" t="s">
        <v>58</v>
      </c>
      <c r="AT5" s="157"/>
      <c r="AU5" s="158" t="s">
        <v>55</v>
      </c>
      <c r="AV5" s="155"/>
      <c r="AW5" s="154" t="s">
        <v>56</v>
      </c>
      <c r="AX5" s="155"/>
      <c r="AY5" s="74" t="s">
        <v>57</v>
      </c>
      <c r="AZ5" s="154" t="s">
        <v>58</v>
      </c>
      <c r="BA5" s="157"/>
      <c r="BB5" s="158" t="s">
        <v>59</v>
      </c>
      <c r="BC5" s="155"/>
      <c r="BD5" s="154" t="s">
        <v>60</v>
      </c>
      <c r="BE5" s="155"/>
      <c r="BF5" s="74" t="s">
        <v>61</v>
      </c>
      <c r="BG5" s="154" t="s">
        <v>62</v>
      </c>
      <c r="BH5" s="157"/>
      <c r="BI5" s="158" t="s">
        <v>59</v>
      </c>
      <c r="BJ5" s="155"/>
      <c r="BK5" s="154" t="s">
        <v>60</v>
      </c>
      <c r="BL5" s="155"/>
      <c r="BM5" s="74" t="s">
        <v>61</v>
      </c>
      <c r="BN5" s="154" t="s">
        <v>62</v>
      </c>
      <c r="BO5" s="157"/>
      <c r="BP5" s="158" t="s">
        <v>59</v>
      </c>
      <c r="BQ5" s="155"/>
      <c r="BR5" s="154" t="s">
        <v>60</v>
      </c>
      <c r="BS5" s="155"/>
      <c r="BT5" s="74" t="s">
        <v>61</v>
      </c>
      <c r="BU5" s="154" t="s">
        <v>62</v>
      </c>
      <c r="BV5" s="157"/>
      <c r="BW5" s="158" t="s">
        <v>59</v>
      </c>
      <c r="BX5" s="155"/>
      <c r="BY5" s="154" t="s">
        <v>60</v>
      </c>
      <c r="BZ5" s="155"/>
      <c r="CA5" s="74" t="s">
        <v>61</v>
      </c>
      <c r="CB5" s="154" t="s">
        <v>62</v>
      </c>
      <c r="CC5" s="157"/>
      <c r="CD5" s="158" t="s">
        <v>59</v>
      </c>
      <c r="CE5" s="155"/>
      <c r="CF5" s="154" t="s">
        <v>60</v>
      </c>
      <c r="CG5" s="155"/>
      <c r="CH5" s="74" t="s">
        <v>61</v>
      </c>
      <c r="CI5" s="154" t="s">
        <v>62</v>
      </c>
      <c r="CJ5" s="157"/>
      <c r="CK5" s="158" t="s">
        <v>59</v>
      </c>
      <c r="CL5" s="155"/>
      <c r="CM5" s="154" t="s">
        <v>60</v>
      </c>
      <c r="CN5" s="155"/>
      <c r="CO5" s="82" t="s">
        <v>61</v>
      </c>
      <c r="CP5" s="156" t="s">
        <v>62</v>
      </c>
      <c r="CQ5" s="157"/>
      <c r="CR5" s="158" t="s">
        <v>59</v>
      </c>
      <c r="CS5" s="155"/>
      <c r="CT5" s="154" t="s">
        <v>60</v>
      </c>
      <c r="CU5" s="155"/>
      <c r="CV5" s="74" t="s">
        <v>61</v>
      </c>
      <c r="CW5" s="154" t="s">
        <v>63</v>
      </c>
      <c r="CX5" s="157"/>
      <c r="CY5" s="158" t="s">
        <v>59</v>
      </c>
      <c r="CZ5" s="155"/>
      <c r="DA5" s="154" t="s">
        <v>60</v>
      </c>
      <c r="DB5" s="155"/>
      <c r="DC5" s="82" t="s">
        <v>61</v>
      </c>
      <c r="DD5" s="156" t="s">
        <v>62</v>
      </c>
      <c r="DE5" s="159"/>
      <c r="DF5" s="158" t="s">
        <v>59</v>
      </c>
      <c r="DG5" s="155"/>
      <c r="DH5" s="154" t="s">
        <v>60</v>
      </c>
      <c r="DI5" s="155"/>
      <c r="DJ5" s="74" t="s">
        <v>61</v>
      </c>
      <c r="DK5" s="154" t="s">
        <v>63</v>
      </c>
      <c r="DL5" s="157"/>
      <c r="DM5" s="158" t="s">
        <v>59</v>
      </c>
      <c r="DN5" s="155"/>
      <c r="DO5" s="154" t="s">
        <v>60</v>
      </c>
      <c r="DP5" s="155"/>
      <c r="DQ5" s="82" t="s">
        <v>61</v>
      </c>
      <c r="DR5" s="156" t="s">
        <v>63</v>
      </c>
      <c r="DS5" s="157"/>
      <c r="DT5" s="158" t="s">
        <v>59</v>
      </c>
      <c r="DU5" s="155"/>
      <c r="DV5" s="154" t="s">
        <v>60</v>
      </c>
      <c r="DW5" s="155"/>
      <c r="DX5" s="74" t="s">
        <v>61</v>
      </c>
      <c r="DY5" s="154" t="s">
        <v>63</v>
      </c>
      <c r="DZ5" s="157"/>
      <c r="EA5" s="158" t="s">
        <v>59</v>
      </c>
      <c r="EB5" s="155"/>
      <c r="EC5" s="154" t="s">
        <v>60</v>
      </c>
      <c r="ED5" s="155"/>
      <c r="EE5" s="82" t="s">
        <v>61</v>
      </c>
      <c r="EF5" s="156" t="s">
        <v>63</v>
      </c>
      <c r="EG5" s="157"/>
      <c r="EH5" s="158" t="s">
        <v>59</v>
      </c>
      <c r="EI5" s="155"/>
      <c r="EJ5" s="154" t="s">
        <v>60</v>
      </c>
      <c r="EK5" s="155"/>
      <c r="EL5" s="74" t="s">
        <v>61</v>
      </c>
      <c r="EM5" s="154" t="s">
        <v>63</v>
      </c>
      <c r="EN5" s="157"/>
    </row>
    <row r="6" spans="2:149" s="1" customFormat="1" ht="16.95" customHeight="1" thickTop="1" thickBot="1">
      <c r="B6" s="83" t="s">
        <v>64</v>
      </c>
      <c r="C6" s="40"/>
      <c r="D6" s="21" t="s">
        <v>65</v>
      </c>
      <c r="E6" s="21"/>
      <c r="F6" s="16"/>
      <c r="G6" s="16"/>
      <c r="H6" s="17"/>
      <c r="I6" s="45"/>
      <c r="J6" s="42"/>
      <c r="K6" s="84">
        <v>30</v>
      </c>
      <c r="L6" s="85">
        <v>70</v>
      </c>
      <c r="M6" s="86">
        <v>40</v>
      </c>
      <c r="N6" s="87">
        <v>40</v>
      </c>
      <c r="O6" s="87">
        <v>30</v>
      </c>
      <c r="P6" s="87">
        <v>20</v>
      </c>
      <c r="Q6" s="87">
        <v>20</v>
      </c>
      <c r="R6" s="87">
        <v>30</v>
      </c>
      <c r="S6" s="87">
        <v>50</v>
      </c>
      <c r="T6" s="88"/>
      <c r="U6" s="88"/>
      <c r="V6" s="89">
        <f>SUM(M6:U6)/60</f>
        <v>3.8333333333333335</v>
      </c>
      <c r="W6" s="90">
        <v>9</v>
      </c>
      <c r="X6" s="84"/>
      <c r="Y6" s="87"/>
      <c r="Z6" s="87"/>
      <c r="AA6" s="87"/>
      <c r="AB6" s="87"/>
      <c r="AC6" s="87"/>
      <c r="AD6" s="87" t="s">
        <v>65</v>
      </c>
      <c r="AE6" s="87" t="s">
        <v>65</v>
      </c>
      <c r="AF6" s="88" t="s">
        <v>65</v>
      </c>
      <c r="AG6" s="91"/>
      <c r="AH6" s="6" t="e">
        <f>+AG6/#REF!</f>
        <v>#REF!</v>
      </c>
      <c r="AI6" s="92"/>
      <c r="AJ6" s="7" t="e">
        <f>+AI6/#REF!</f>
        <v>#REF!</v>
      </c>
      <c r="AK6" s="92"/>
      <c r="AL6" s="93"/>
      <c r="AM6" s="94" t="e">
        <f>+AL6/#REF!</f>
        <v>#REF!</v>
      </c>
      <c r="AN6" s="95"/>
      <c r="AO6" s="6" t="e">
        <f>+AN6/#REF!</f>
        <v>#REF!</v>
      </c>
      <c r="AP6" s="92"/>
      <c r="AQ6" s="7" t="e">
        <f>+AP6/#REF!</f>
        <v>#REF!</v>
      </c>
      <c r="AR6" s="92"/>
      <c r="AS6" s="92"/>
      <c r="AT6" s="94" t="e">
        <f>+AS6/#REF!</f>
        <v>#REF!</v>
      </c>
      <c r="AU6" s="96"/>
      <c r="AV6" s="6" t="e">
        <f>+AU6/#REF!</f>
        <v>#REF!</v>
      </c>
      <c r="AW6" s="92"/>
      <c r="AX6" s="7" t="e">
        <f>+AW6/#REF!</f>
        <v>#REF!</v>
      </c>
      <c r="AY6" s="92"/>
      <c r="AZ6" s="93"/>
      <c r="BA6" s="97" t="e">
        <f>+AZ6/#REF!</f>
        <v>#REF!</v>
      </c>
      <c r="BB6" s="98"/>
      <c r="BC6" s="6" t="e">
        <f>+BB6/#REF!</f>
        <v>#REF!</v>
      </c>
      <c r="BD6" s="92"/>
      <c r="BE6" s="7" t="e">
        <f>+BD6/#REF!</f>
        <v>#REF!</v>
      </c>
      <c r="BF6" s="92"/>
      <c r="BG6" s="92"/>
      <c r="BH6" s="8" t="e">
        <f>+BG6/#REF!</f>
        <v>#REF!</v>
      </c>
      <c r="BI6" s="98"/>
      <c r="BJ6" s="6" t="e">
        <f>+BI6/#REF!</f>
        <v>#REF!</v>
      </c>
      <c r="BK6" s="92"/>
      <c r="BL6" s="7" t="e">
        <f>+BK6/#REF!</f>
        <v>#REF!</v>
      </c>
      <c r="BM6" s="92"/>
      <c r="BN6" s="92"/>
      <c r="BO6" s="8" t="e">
        <f>+BN6/#REF!</f>
        <v>#REF!</v>
      </c>
      <c r="BP6" s="98"/>
      <c r="BQ6" s="6" t="e">
        <f>+BP6/#REF!</f>
        <v>#REF!</v>
      </c>
      <c r="BR6" s="92"/>
      <c r="BS6" s="7" t="e">
        <f>+BR6/#REF!</f>
        <v>#REF!</v>
      </c>
      <c r="BT6" s="92"/>
      <c r="BU6" s="92"/>
      <c r="BV6" s="8" t="e">
        <f>+BU6/#REF!</f>
        <v>#REF!</v>
      </c>
      <c r="BW6" s="98">
        <v>55</v>
      </c>
      <c r="BX6" s="6" t="e">
        <f>+BW6/#REF!</f>
        <v>#REF!</v>
      </c>
      <c r="BY6" s="92">
        <v>39</v>
      </c>
      <c r="BZ6" s="7" t="e">
        <f>+BY6/#REF!</f>
        <v>#REF!</v>
      </c>
      <c r="CA6" s="99">
        <v>6690</v>
      </c>
      <c r="CB6" s="92">
        <f>BW6*2</f>
        <v>110</v>
      </c>
      <c r="CC6" s="8" t="e">
        <f>+CB6/#REF!</f>
        <v>#REF!</v>
      </c>
      <c r="CD6" s="98"/>
      <c r="CE6" s="6" t="e">
        <f>+CD6/#REF!</f>
        <v>#REF!</v>
      </c>
      <c r="CF6" s="92"/>
      <c r="CG6" s="7" t="e">
        <f>+CF6/#REF!</f>
        <v>#REF!</v>
      </c>
      <c r="CH6" s="92"/>
      <c r="CI6" s="92"/>
      <c r="CJ6" s="8" t="e">
        <f>+CI6/#REF!</f>
        <v>#REF!</v>
      </c>
      <c r="CK6" s="98">
        <v>109</v>
      </c>
      <c r="CL6" s="6" t="e">
        <f>+CK6/#REF!</f>
        <v>#REF!</v>
      </c>
      <c r="CM6" s="92">
        <v>61</v>
      </c>
      <c r="CN6" s="100" t="e">
        <f>+CM6/#REF!</f>
        <v>#REF!</v>
      </c>
      <c r="CO6" s="95">
        <v>10990</v>
      </c>
      <c r="CP6" s="101">
        <f t="shared" ref="CP6:CP12" si="0">CK6*4</f>
        <v>436</v>
      </c>
      <c r="CQ6" s="8" t="e">
        <f>+CP6/#REF!</f>
        <v>#REF!</v>
      </c>
      <c r="CR6" s="98"/>
      <c r="CS6" s="6" t="e">
        <f>+CR6/#REF!</f>
        <v>#REF!</v>
      </c>
      <c r="CT6" s="92"/>
      <c r="CU6" s="7" t="e">
        <f>+CT6/#REF!</f>
        <v>#REF!</v>
      </c>
      <c r="CV6" s="92"/>
      <c r="CW6" s="92"/>
      <c r="CX6" s="8" t="e">
        <f>+CW6/#REF!</f>
        <v>#REF!</v>
      </c>
      <c r="CY6" s="98">
        <v>16</v>
      </c>
      <c r="CZ6" s="6" t="e">
        <f>+CY6/#REF!</f>
        <v>#REF!</v>
      </c>
      <c r="DA6" s="92">
        <v>14</v>
      </c>
      <c r="DB6" s="102" t="e">
        <f>+DA6/#REF!</f>
        <v>#REF!</v>
      </c>
      <c r="DC6" s="103">
        <v>7482</v>
      </c>
      <c r="DD6" s="103">
        <f>CY6*2</f>
        <v>32</v>
      </c>
      <c r="DE6" s="94" t="e">
        <f>+DD6/#REF!</f>
        <v>#REF!</v>
      </c>
      <c r="DF6" s="98"/>
      <c r="DG6" s="6" t="e">
        <f>+DF6/#REF!</f>
        <v>#REF!</v>
      </c>
      <c r="DH6" s="92"/>
      <c r="DI6" s="7" t="e">
        <f>+DH6/#REF!</f>
        <v>#REF!</v>
      </c>
      <c r="DJ6" s="92"/>
      <c r="DK6" s="92"/>
      <c r="DL6" s="8" t="e">
        <f>+DK6/#REF!</f>
        <v>#REF!</v>
      </c>
      <c r="DM6" s="98">
        <v>18</v>
      </c>
      <c r="DN6" s="6" t="e">
        <f>+DM6/#REF!</f>
        <v>#REF!</v>
      </c>
      <c r="DO6" s="92">
        <v>15</v>
      </c>
      <c r="DP6" s="100" t="e">
        <f>+DO6/#REF!</f>
        <v>#REF!</v>
      </c>
      <c r="DQ6" s="95">
        <v>14987</v>
      </c>
      <c r="DR6" s="101">
        <f>DM6*5</f>
        <v>90</v>
      </c>
      <c r="DS6" s="8" t="e">
        <f>+DR6/#REF!</f>
        <v>#REF!</v>
      </c>
      <c r="DT6" s="98"/>
      <c r="DU6" s="6" t="e">
        <f>+DT6/#REF!</f>
        <v>#REF!</v>
      </c>
      <c r="DV6" s="92"/>
      <c r="DW6" s="7" t="e">
        <f>+DV6/#REF!</f>
        <v>#REF!</v>
      </c>
      <c r="DX6" s="92"/>
      <c r="DY6" s="92"/>
      <c r="DZ6" s="8" t="e">
        <f>+DY6/#REF!</f>
        <v>#REF!</v>
      </c>
      <c r="EA6" s="98">
        <v>52</v>
      </c>
      <c r="EB6" s="6" t="e">
        <f>+EA6/#REF!</f>
        <v>#REF!</v>
      </c>
      <c r="EC6" s="92">
        <v>25</v>
      </c>
      <c r="ED6" s="100" t="e">
        <f>+EC6/#REF!</f>
        <v>#REF!</v>
      </c>
      <c r="EE6" s="95"/>
      <c r="EF6" s="101">
        <f>EA6*5</f>
        <v>260</v>
      </c>
      <c r="EG6" s="8" t="e">
        <f>+EF6/#REF!</f>
        <v>#REF!</v>
      </c>
      <c r="EH6" s="98"/>
      <c r="EI6" s="6" t="e">
        <f>+EH6/#REF!</f>
        <v>#REF!</v>
      </c>
      <c r="EJ6" s="92"/>
      <c r="EK6" s="7" t="e">
        <f>+EJ6/#REF!</f>
        <v>#REF!</v>
      </c>
      <c r="EL6" s="92"/>
      <c r="EM6" s="92"/>
      <c r="EN6" s="8" t="e">
        <f>+EM6/#REF!</f>
        <v>#REF!</v>
      </c>
    </row>
    <row r="7" spans="2:149" s="1" customFormat="1" ht="16.95" customHeight="1" thickTop="1">
      <c r="B7" s="83" t="s">
        <v>66</v>
      </c>
      <c r="C7" s="40"/>
      <c r="D7" s="21"/>
      <c r="E7" s="21"/>
      <c r="F7" s="16"/>
      <c r="G7" s="16"/>
      <c r="H7" s="17" t="s">
        <v>65</v>
      </c>
      <c r="I7" s="45"/>
      <c r="J7" s="42"/>
      <c r="K7" s="84">
        <v>30</v>
      </c>
      <c r="L7" s="85">
        <v>70</v>
      </c>
      <c r="M7" s="86">
        <v>40</v>
      </c>
      <c r="N7" s="87">
        <v>40</v>
      </c>
      <c r="O7" s="87">
        <v>30</v>
      </c>
      <c r="P7" s="87">
        <v>20</v>
      </c>
      <c r="Q7" s="87">
        <v>20</v>
      </c>
      <c r="R7" s="87">
        <v>30</v>
      </c>
      <c r="S7" s="87">
        <v>50</v>
      </c>
      <c r="T7" s="88"/>
      <c r="U7" s="88"/>
      <c r="V7" s="89">
        <f>SUM(M7:U7)/60</f>
        <v>3.8333333333333335</v>
      </c>
      <c r="W7" s="90">
        <v>9</v>
      </c>
      <c r="X7" s="84"/>
      <c r="Y7" s="87"/>
      <c r="Z7" s="87"/>
      <c r="AA7" s="87"/>
      <c r="AB7" s="87"/>
      <c r="AC7" s="87"/>
      <c r="AD7" s="87" t="s">
        <v>65</v>
      </c>
      <c r="AE7" s="87" t="s">
        <v>65</v>
      </c>
      <c r="AF7" s="88" t="s">
        <v>65</v>
      </c>
      <c r="AG7" s="91"/>
      <c r="AH7" s="6" t="e">
        <f>+AG7/#REF!</f>
        <v>#REF!</v>
      </c>
      <c r="AI7" s="92"/>
      <c r="AJ7" s="7" t="e">
        <f>+AI7/#REF!</f>
        <v>#REF!</v>
      </c>
      <c r="AK7" s="92"/>
      <c r="AL7" s="93"/>
      <c r="AM7" s="94" t="e">
        <f>+AL7/#REF!</f>
        <v>#REF!</v>
      </c>
      <c r="AN7" s="95"/>
      <c r="AO7" s="6" t="e">
        <f>+AN7/#REF!</f>
        <v>#REF!</v>
      </c>
      <c r="AP7" s="92"/>
      <c r="AQ7" s="7" t="e">
        <f>+AP7/#REF!</f>
        <v>#REF!</v>
      </c>
      <c r="AR7" s="92"/>
      <c r="AS7" s="92"/>
      <c r="AT7" s="94" t="e">
        <f>+AS7/#REF!</f>
        <v>#REF!</v>
      </c>
      <c r="AU7" s="96"/>
      <c r="AV7" s="6" t="e">
        <f>+AU7/#REF!</f>
        <v>#REF!</v>
      </c>
      <c r="AW7" s="92"/>
      <c r="AX7" s="7" t="e">
        <f>+AW7/#REF!</f>
        <v>#REF!</v>
      </c>
      <c r="AY7" s="92"/>
      <c r="AZ7" s="93"/>
      <c r="BA7" s="97" t="e">
        <f>+AZ7/#REF!</f>
        <v>#REF!</v>
      </c>
      <c r="BB7" s="98"/>
      <c r="BC7" s="6" t="e">
        <f>+BB7/#REF!</f>
        <v>#REF!</v>
      </c>
      <c r="BD7" s="92"/>
      <c r="BE7" s="7" t="e">
        <f>+BD7/#REF!</f>
        <v>#REF!</v>
      </c>
      <c r="BF7" s="92"/>
      <c r="BG7" s="92"/>
      <c r="BH7" s="8" t="e">
        <f>+BG7/#REF!</f>
        <v>#REF!</v>
      </c>
      <c r="BI7" s="98"/>
      <c r="BJ7" s="6" t="e">
        <f>+BI7/#REF!</f>
        <v>#REF!</v>
      </c>
      <c r="BK7" s="92"/>
      <c r="BL7" s="7" t="e">
        <f>+BK7/#REF!</f>
        <v>#REF!</v>
      </c>
      <c r="BM7" s="92"/>
      <c r="BN7" s="92"/>
      <c r="BO7" s="8" t="e">
        <f>+BN7/#REF!</f>
        <v>#REF!</v>
      </c>
      <c r="BP7" s="98"/>
      <c r="BQ7" s="6" t="e">
        <f>+BP7/#REF!</f>
        <v>#REF!</v>
      </c>
      <c r="BR7" s="92"/>
      <c r="BS7" s="7" t="e">
        <f>+BR7/#REF!</f>
        <v>#REF!</v>
      </c>
      <c r="BT7" s="92"/>
      <c r="BU7" s="92"/>
      <c r="BV7" s="8" t="e">
        <f>+BU7/#REF!</f>
        <v>#REF!</v>
      </c>
      <c r="BW7" s="98">
        <v>55</v>
      </c>
      <c r="BX7" s="6" t="e">
        <f>+BW7/#REF!</f>
        <v>#REF!</v>
      </c>
      <c r="BY7" s="92">
        <v>39</v>
      </c>
      <c r="BZ7" s="7" t="e">
        <f>+BY7/#REF!</f>
        <v>#REF!</v>
      </c>
      <c r="CA7" s="99">
        <v>6690</v>
      </c>
      <c r="CB7" s="92">
        <f>BW7*2</f>
        <v>110</v>
      </c>
      <c r="CC7" s="8" t="e">
        <f>+CB7/#REF!</f>
        <v>#REF!</v>
      </c>
      <c r="CD7" s="98"/>
      <c r="CE7" s="6" t="e">
        <f>+CD7/#REF!</f>
        <v>#REF!</v>
      </c>
      <c r="CF7" s="92"/>
      <c r="CG7" s="7" t="e">
        <f>+CF7/#REF!</f>
        <v>#REF!</v>
      </c>
      <c r="CH7" s="92"/>
      <c r="CI7" s="92"/>
      <c r="CJ7" s="8" t="e">
        <f>+CI7/#REF!</f>
        <v>#REF!</v>
      </c>
      <c r="CK7" s="98">
        <v>109</v>
      </c>
      <c r="CL7" s="6" t="e">
        <f>+CK7/#REF!</f>
        <v>#REF!</v>
      </c>
      <c r="CM7" s="92">
        <v>61</v>
      </c>
      <c r="CN7" s="100" t="e">
        <f>+CM7/#REF!</f>
        <v>#REF!</v>
      </c>
      <c r="CO7" s="95">
        <v>10990</v>
      </c>
      <c r="CP7" s="101">
        <f t="shared" si="0"/>
        <v>436</v>
      </c>
      <c r="CQ7" s="8" t="e">
        <f>+CP7/#REF!</f>
        <v>#REF!</v>
      </c>
      <c r="CR7" s="98"/>
      <c r="CS7" s="6" t="e">
        <f>+CR7/#REF!</f>
        <v>#REF!</v>
      </c>
      <c r="CT7" s="92"/>
      <c r="CU7" s="7" t="e">
        <f>+CT7/#REF!</f>
        <v>#REF!</v>
      </c>
      <c r="CV7" s="92"/>
      <c r="CW7" s="92"/>
      <c r="CX7" s="8" t="e">
        <f>+CW7/#REF!</f>
        <v>#REF!</v>
      </c>
      <c r="CY7" s="98">
        <v>16</v>
      </c>
      <c r="CZ7" s="6" t="e">
        <f>+CY7/#REF!</f>
        <v>#REF!</v>
      </c>
      <c r="DA7" s="92">
        <v>14</v>
      </c>
      <c r="DB7" s="102" t="e">
        <f>+DA7/#REF!</f>
        <v>#REF!</v>
      </c>
      <c r="DC7" s="103">
        <v>7482</v>
      </c>
      <c r="DD7" s="103">
        <f>CY7*2</f>
        <v>32</v>
      </c>
      <c r="DE7" s="94" t="e">
        <f>+DD7/#REF!</f>
        <v>#REF!</v>
      </c>
      <c r="DF7" s="98"/>
      <c r="DG7" s="6" t="e">
        <f>+DF7/#REF!</f>
        <v>#REF!</v>
      </c>
      <c r="DH7" s="92"/>
      <c r="DI7" s="7" t="e">
        <f>+DH7/#REF!</f>
        <v>#REF!</v>
      </c>
      <c r="DJ7" s="92"/>
      <c r="DK7" s="92"/>
      <c r="DL7" s="8" t="e">
        <f>+DK7/#REF!</f>
        <v>#REF!</v>
      </c>
      <c r="DM7" s="98">
        <v>18</v>
      </c>
      <c r="DN7" s="6" t="e">
        <f>+DM7/#REF!</f>
        <v>#REF!</v>
      </c>
      <c r="DO7" s="92">
        <v>15</v>
      </c>
      <c r="DP7" s="100" t="e">
        <f>+DO7/#REF!</f>
        <v>#REF!</v>
      </c>
      <c r="DQ7" s="95">
        <v>14987</v>
      </c>
      <c r="DR7" s="101">
        <f>DM7*5</f>
        <v>90</v>
      </c>
      <c r="DS7" s="8" t="e">
        <f>+DR7/#REF!</f>
        <v>#REF!</v>
      </c>
      <c r="DT7" s="98"/>
      <c r="DU7" s="6" t="e">
        <f>+DT7/#REF!</f>
        <v>#REF!</v>
      </c>
      <c r="DV7" s="92"/>
      <c r="DW7" s="7" t="e">
        <f>+DV7/#REF!</f>
        <v>#REF!</v>
      </c>
      <c r="DX7" s="92"/>
      <c r="DY7" s="92"/>
      <c r="DZ7" s="8" t="e">
        <f>+DY7/#REF!</f>
        <v>#REF!</v>
      </c>
      <c r="EA7" s="98">
        <v>22</v>
      </c>
      <c r="EB7" s="6" t="e">
        <f>+EA7/#REF!</f>
        <v>#REF!</v>
      </c>
      <c r="EC7" s="92">
        <v>9</v>
      </c>
      <c r="ED7" s="100" t="e">
        <f>+EC7/#REF!</f>
        <v>#REF!</v>
      </c>
      <c r="EE7" s="95"/>
      <c r="EF7" s="101"/>
      <c r="EG7" s="8" t="e">
        <f>+EF7/#REF!</f>
        <v>#REF!</v>
      </c>
      <c r="EH7" s="98"/>
      <c r="EI7" s="6" t="e">
        <f>+EH7/#REF!</f>
        <v>#REF!</v>
      </c>
      <c r="EJ7" s="92"/>
      <c r="EK7" s="7" t="e">
        <f>+EJ7/#REF!</f>
        <v>#REF!</v>
      </c>
      <c r="EL7" s="92"/>
      <c r="EM7" s="92"/>
      <c r="EN7" s="8" t="e">
        <f>+EM7/#REF!</f>
        <v>#REF!</v>
      </c>
    </row>
    <row r="8" spans="2:149" s="1" customFormat="1" ht="16.95" customHeight="1">
      <c r="B8" s="104" t="s">
        <v>67</v>
      </c>
      <c r="C8" s="18"/>
      <c r="D8" s="19"/>
      <c r="E8" s="19" t="s">
        <v>65</v>
      </c>
      <c r="F8" s="19"/>
      <c r="G8" s="19"/>
      <c r="H8" s="20"/>
      <c r="I8" s="19"/>
      <c r="J8" s="25"/>
      <c r="K8" s="105">
        <v>30</v>
      </c>
      <c r="L8" s="106">
        <v>70</v>
      </c>
      <c r="M8" s="107">
        <v>40</v>
      </c>
      <c r="N8" s="108">
        <v>40</v>
      </c>
      <c r="O8" s="108">
        <v>30</v>
      </c>
      <c r="P8" s="108">
        <v>20</v>
      </c>
      <c r="Q8" s="108">
        <v>20</v>
      </c>
      <c r="R8" s="108">
        <v>20</v>
      </c>
      <c r="S8" s="108">
        <v>30</v>
      </c>
      <c r="T8" s="109"/>
      <c r="U8" s="109"/>
      <c r="V8" s="89">
        <f t="shared" ref="V8:V53" si="1">SUM(M8:U8)/60</f>
        <v>3.3333333333333335</v>
      </c>
      <c r="W8" s="110">
        <v>6</v>
      </c>
      <c r="X8" s="105"/>
      <c r="Y8" s="108"/>
      <c r="Z8" s="108"/>
      <c r="AA8" s="108"/>
      <c r="AB8" s="108"/>
      <c r="AC8" s="108"/>
      <c r="AD8" s="108" t="s">
        <v>65</v>
      </c>
      <c r="AE8" s="108" t="s">
        <v>65</v>
      </c>
      <c r="AF8" s="109" t="s">
        <v>65</v>
      </c>
      <c r="AG8" s="111"/>
      <c r="AH8" s="6" t="e">
        <f>+AG8/#REF!</f>
        <v>#REF!</v>
      </c>
      <c r="AI8" s="99"/>
      <c r="AJ8" s="7" t="e">
        <f>+AI8/#REF!</f>
        <v>#REF!</v>
      </c>
      <c r="AK8" s="99"/>
      <c r="AL8" s="112"/>
      <c r="AM8" s="97" t="e">
        <f>+AL8/#REF!</f>
        <v>#REF!</v>
      </c>
      <c r="AN8" s="113"/>
      <c r="AO8" s="6" t="e">
        <f>+AN8/#REF!</f>
        <v>#REF!</v>
      </c>
      <c r="AP8" s="99"/>
      <c r="AQ8" s="7" t="e">
        <f>+AP8/#REF!</f>
        <v>#REF!</v>
      </c>
      <c r="AR8" s="99"/>
      <c r="AS8" s="99"/>
      <c r="AT8" s="97" t="e">
        <f>+AS8/#REF!</f>
        <v>#REF!</v>
      </c>
      <c r="AU8" s="113"/>
      <c r="AV8" s="6" t="e">
        <f>+AU8/#REF!</f>
        <v>#REF!</v>
      </c>
      <c r="AW8" s="99"/>
      <c r="AX8" s="7" t="e">
        <f>+AW8/#REF!</f>
        <v>#REF!</v>
      </c>
      <c r="AY8" s="99"/>
      <c r="AZ8" s="112"/>
      <c r="BA8" s="97" t="e">
        <f>+AZ8/#REF!</f>
        <v>#REF!</v>
      </c>
      <c r="BB8" s="113"/>
      <c r="BC8" s="6" t="e">
        <f>+BB8/#REF!</f>
        <v>#REF!</v>
      </c>
      <c r="BD8" s="99"/>
      <c r="BE8" s="7" t="e">
        <f>+BD8/#REF!</f>
        <v>#REF!</v>
      </c>
      <c r="BF8" s="99"/>
      <c r="BG8" s="99"/>
      <c r="BH8" s="8" t="e">
        <f>+BG8/#REF!</f>
        <v>#REF!</v>
      </c>
      <c r="BI8" s="113"/>
      <c r="BJ8" s="6" t="e">
        <f>+BI8/#REF!</f>
        <v>#REF!</v>
      </c>
      <c r="BK8" s="99"/>
      <c r="BL8" s="7" t="e">
        <f>+BK8/#REF!</f>
        <v>#REF!</v>
      </c>
      <c r="BM8" s="99"/>
      <c r="BN8" s="99"/>
      <c r="BO8" s="8" t="e">
        <f>+BN8/#REF!</f>
        <v>#REF!</v>
      </c>
      <c r="BP8" s="113"/>
      <c r="BQ8" s="6" t="e">
        <f>+BP8/#REF!</f>
        <v>#REF!</v>
      </c>
      <c r="BR8" s="99"/>
      <c r="BS8" s="7" t="e">
        <f>+BR8/#REF!</f>
        <v>#REF!</v>
      </c>
      <c r="BT8" s="99"/>
      <c r="BU8" s="99"/>
      <c r="BV8" s="8" t="e">
        <f>+BU8/#REF!</f>
        <v>#REF!</v>
      </c>
      <c r="BW8" s="113">
        <v>6</v>
      </c>
      <c r="BX8" s="6" t="e">
        <f>+BW8/#REF!</f>
        <v>#REF!</v>
      </c>
      <c r="BY8" s="99">
        <v>6</v>
      </c>
      <c r="BZ8" s="7" t="e">
        <f>+BY8/#REF!</f>
        <v>#REF!</v>
      </c>
      <c r="CA8" s="99">
        <v>6690</v>
      </c>
      <c r="CB8" s="92">
        <f t="shared" ref="CB8:CB11" si="2">BW8*2</f>
        <v>12</v>
      </c>
      <c r="CC8" s="8" t="e">
        <f>+CB8/#REF!</f>
        <v>#REF!</v>
      </c>
      <c r="CD8" s="113"/>
      <c r="CE8" s="6" t="e">
        <f>+CD8/#REF!</f>
        <v>#REF!</v>
      </c>
      <c r="CF8" s="99"/>
      <c r="CG8" s="7" t="e">
        <f>+CF8/#REF!</f>
        <v>#REF!</v>
      </c>
      <c r="CH8" s="99"/>
      <c r="CI8" s="99"/>
      <c r="CJ8" s="8" t="e">
        <f>+CI8/#REF!</f>
        <v>#REF!</v>
      </c>
      <c r="CK8" s="113">
        <v>5</v>
      </c>
      <c r="CL8" s="6" t="e">
        <f>+CK8/#REF!</f>
        <v>#REF!</v>
      </c>
      <c r="CM8" s="99">
        <v>5</v>
      </c>
      <c r="CN8" s="100" t="e">
        <f>+CM8/#REF!</f>
        <v>#REF!</v>
      </c>
      <c r="CO8" s="114">
        <v>10990</v>
      </c>
      <c r="CP8" s="115">
        <f t="shared" si="0"/>
        <v>20</v>
      </c>
      <c r="CQ8" s="8" t="e">
        <f>+CP8/#REF!</f>
        <v>#REF!</v>
      </c>
      <c r="CR8" s="113"/>
      <c r="CS8" s="6" t="e">
        <f>+CR8/#REF!</f>
        <v>#REF!</v>
      </c>
      <c r="CT8" s="99"/>
      <c r="CU8" s="7" t="e">
        <f>+CT8/#REF!</f>
        <v>#REF!</v>
      </c>
      <c r="CV8" s="99"/>
      <c r="CW8" s="92"/>
      <c r="CX8" s="8" t="e">
        <f>+CW8/#REF!</f>
        <v>#REF!</v>
      </c>
      <c r="CY8" s="113">
        <v>7</v>
      </c>
      <c r="CZ8" s="6" t="e">
        <f>+CY8/#REF!</f>
        <v>#REF!</v>
      </c>
      <c r="DA8" s="99">
        <v>2</v>
      </c>
      <c r="DB8" s="7" t="e">
        <f>+DA8/#REF!</f>
        <v>#REF!</v>
      </c>
      <c r="DC8" s="116">
        <v>7482</v>
      </c>
      <c r="DD8" s="99">
        <f>CY8*2</f>
        <v>14</v>
      </c>
      <c r="DE8" s="8" t="e">
        <f>+DD8/#REF!</f>
        <v>#REF!</v>
      </c>
      <c r="DF8" s="113"/>
      <c r="DG8" s="6" t="e">
        <f>+DF8/#REF!</f>
        <v>#REF!</v>
      </c>
      <c r="DH8" s="99"/>
      <c r="DI8" s="7" t="e">
        <f>+DH8/#REF!</f>
        <v>#REF!</v>
      </c>
      <c r="DJ8" s="99"/>
      <c r="DK8" s="92"/>
      <c r="DL8" s="8" t="e">
        <f>+DK8/#REF!</f>
        <v>#REF!</v>
      </c>
      <c r="DM8" s="113"/>
      <c r="DN8" s="6" t="e">
        <f>+DM8/#REF!</f>
        <v>#REF!</v>
      </c>
      <c r="DO8" s="99"/>
      <c r="DP8" s="100" t="e">
        <f>+DO8/#REF!</f>
        <v>#REF!</v>
      </c>
      <c r="DQ8" s="114"/>
      <c r="DR8" s="115"/>
      <c r="DS8" s="8" t="e">
        <f>+DR8/#REF!</f>
        <v>#REF!</v>
      </c>
      <c r="DT8" s="113"/>
      <c r="DU8" s="6" t="e">
        <f>+DT8/#REF!</f>
        <v>#REF!</v>
      </c>
      <c r="DV8" s="99"/>
      <c r="DW8" s="7" t="e">
        <f>+DV8/#REF!</f>
        <v>#REF!</v>
      </c>
      <c r="DX8" s="99"/>
      <c r="DY8" s="92"/>
      <c r="DZ8" s="8" t="e">
        <f>+DY8/#REF!</f>
        <v>#REF!</v>
      </c>
      <c r="EA8" s="113"/>
      <c r="EB8" s="6" t="e">
        <f>+EA8/#REF!</f>
        <v>#REF!</v>
      </c>
      <c r="EC8" s="99"/>
      <c r="ED8" s="100" t="e">
        <f>+EC8/#REF!</f>
        <v>#REF!</v>
      </c>
      <c r="EE8" s="114"/>
      <c r="EF8" s="115"/>
      <c r="EG8" s="8" t="e">
        <f>+EF8/#REF!</f>
        <v>#REF!</v>
      </c>
      <c r="EH8" s="113"/>
      <c r="EI8" s="6" t="e">
        <f>+EH8/#REF!</f>
        <v>#REF!</v>
      </c>
      <c r="EJ8" s="99"/>
      <c r="EK8" s="7" t="e">
        <f>+EJ8/#REF!</f>
        <v>#REF!</v>
      </c>
      <c r="EL8" s="99"/>
      <c r="EM8" s="92"/>
      <c r="EN8" s="8" t="e">
        <f>+EM8/#REF!</f>
        <v>#REF!</v>
      </c>
    </row>
    <row r="9" spans="2:149" s="1" customFormat="1" ht="16.95" customHeight="1">
      <c r="B9" s="104" t="s">
        <v>68</v>
      </c>
      <c r="C9" s="18"/>
      <c r="D9" s="19"/>
      <c r="E9" s="19"/>
      <c r="F9" s="19" t="s">
        <v>65</v>
      </c>
      <c r="G9" s="19"/>
      <c r="H9" s="20"/>
      <c r="I9" s="19"/>
      <c r="J9" s="25"/>
      <c r="K9" s="105">
        <v>40</v>
      </c>
      <c r="L9" s="106">
        <v>60</v>
      </c>
      <c r="M9" s="107">
        <v>40</v>
      </c>
      <c r="N9" s="108">
        <v>40</v>
      </c>
      <c r="O9" s="108">
        <v>30</v>
      </c>
      <c r="P9" s="108">
        <v>20</v>
      </c>
      <c r="Q9" s="108">
        <v>20</v>
      </c>
      <c r="R9" s="108">
        <v>20</v>
      </c>
      <c r="S9" s="108">
        <v>30</v>
      </c>
      <c r="T9" s="109"/>
      <c r="U9" s="109"/>
      <c r="V9" s="89">
        <f t="shared" si="1"/>
        <v>3.3333333333333335</v>
      </c>
      <c r="W9" s="110">
        <v>9</v>
      </c>
      <c r="X9" s="105" t="s">
        <v>65</v>
      </c>
      <c r="Y9" s="108" t="s">
        <v>65</v>
      </c>
      <c r="Z9" s="108"/>
      <c r="AA9" s="108" t="s">
        <v>65</v>
      </c>
      <c r="AB9" s="108"/>
      <c r="AC9" s="108"/>
      <c r="AD9" s="108"/>
      <c r="AE9" s="108"/>
      <c r="AF9" s="109"/>
      <c r="AG9" s="111">
        <v>4</v>
      </c>
      <c r="AH9" s="6" t="e">
        <f>+AG9/#REF!</f>
        <v>#REF!</v>
      </c>
      <c r="AI9" s="99">
        <v>4</v>
      </c>
      <c r="AJ9" s="7" t="e">
        <f>+AI9/#REF!</f>
        <v>#REF!</v>
      </c>
      <c r="AK9" s="92">
        <v>7347</v>
      </c>
      <c r="AL9" s="93">
        <f>AG9*2</f>
        <v>8</v>
      </c>
      <c r="AM9" s="97" t="e">
        <f>+AL9/#REF!</f>
        <v>#REF!</v>
      </c>
      <c r="AN9" s="113">
        <v>157</v>
      </c>
      <c r="AO9" s="6" t="e">
        <f>+AN9/#REF!</f>
        <v>#REF!</v>
      </c>
      <c r="AP9" s="99">
        <v>42</v>
      </c>
      <c r="AQ9" s="7" t="e">
        <f>+AP9/#REF!</f>
        <v>#REF!</v>
      </c>
      <c r="AR9" s="92">
        <v>7347</v>
      </c>
      <c r="AS9" s="92">
        <f>AN9*2</f>
        <v>314</v>
      </c>
      <c r="AT9" s="97" t="e">
        <f>+AS9/#REF!</f>
        <v>#REF!</v>
      </c>
      <c r="AU9" s="113">
        <f>47+6+73+12+7</f>
        <v>145</v>
      </c>
      <c r="AV9" s="6" t="e">
        <f>+AU9/#REF!</f>
        <v>#REF!</v>
      </c>
      <c r="AW9" s="99">
        <f>63+7</f>
        <v>70</v>
      </c>
      <c r="AX9" s="7" t="e">
        <f>+AW9/#REF!</f>
        <v>#REF!</v>
      </c>
      <c r="AY9" s="99">
        <v>8461</v>
      </c>
      <c r="AZ9" s="112">
        <f>AU9*3</f>
        <v>435</v>
      </c>
      <c r="BA9" s="97" t="e">
        <f>+AZ9/#REF!</f>
        <v>#REF!</v>
      </c>
      <c r="BB9" s="98">
        <v>229</v>
      </c>
      <c r="BC9" s="6" t="e">
        <f>+BB9/#REF!</f>
        <v>#REF!</v>
      </c>
      <c r="BD9" s="92">
        <v>53</v>
      </c>
      <c r="BE9" s="7" t="e">
        <f>+BD9/#REF!</f>
        <v>#REF!</v>
      </c>
      <c r="BF9" s="99">
        <v>7143</v>
      </c>
      <c r="BG9" s="99">
        <f>BB9*2</f>
        <v>458</v>
      </c>
      <c r="BH9" s="8" t="e">
        <f>+BG9/#REF!</f>
        <v>#REF!</v>
      </c>
      <c r="BI9" s="98">
        <f>44+6</f>
        <v>50</v>
      </c>
      <c r="BJ9" s="6" t="e">
        <f>+BI9/#REF!</f>
        <v>#REF!</v>
      </c>
      <c r="BK9" s="92">
        <f>34+6</f>
        <v>40</v>
      </c>
      <c r="BL9" s="7" t="e">
        <f>+BK9/#REF!</f>
        <v>#REF!</v>
      </c>
      <c r="BM9" s="99">
        <v>7335</v>
      </c>
      <c r="BN9" s="99">
        <f>BI9*2</f>
        <v>100</v>
      </c>
      <c r="BO9" s="8" t="e">
        <f>+BN9/#REF!</f>
        <v>#REF!</v>
      </c>
      <c r="BP9" s="98">
        <v>281</v>
      </c>
      <c r="BQ9" s="6" t="e">
        <f>+BP9/#REF!</f>
        <v>#REF!</v>
      </c>
      <c r="BR9" s="92">
        <v>68</v>
      </c>
      <c r="BS9" s="7" t="e">
        <f>+BR9/#REF!</f>
        <v>#REF!</v>
      </c>
      <c r="BT9" s="99">
        <v>9483</v>
      </c>
      <c r="BU9" s="99">
        <f>BP9*3</f>
        <v>843</v>
      </c>
      <c r="BV9" s="8" t="e">
        <f>+BU9/#REF!</f>
        <v>#REF!</v>
      </c>
      <c r="BW9" s="98">
        <v>39</v>
      </c>
      <c r="BX9" s="6" t="e">
        <f>+BW9/#REF!</f>
        <v>#REF!</v>
      </c>
      <c r="BY9" s="92">
        <v>24</v>
      </c>
      <c r="BZ9" s="7" t="e">
        <f>+BY9/#REF!</f>
        <v>#REF!</v>
      </c>
      <c r="CA9" s="99">
        <v>6690</v>
      </c>
      <c r="CB9" s="92">
        <f t="shared" si="2"/>
        <v>78</v>
      </c>
      <c r="CC9" s="8" t="e">
        <f>+CB9/#REF!</f>
        <v>#REF!</v>
      </c>
      <c r="CD9" s="98">
        <v>279</v>
      </c>
      <c r="CE9" s="6" t="e">
        <f>+CD9/#REF!</f>
        <v>#REF!</v>
      </c>
      <c r="CF9" s="92">
        <v>53</v>
      </c>
      <c r="CG9" s="7" t="e">
        <f>+CF9/#REF!</f>
        <v>#REF!</v>
      </c>
      <c r="CH9" s="99">
        <v>7267</v>
      </c>
      <c r="CI9" s="99">
        <f>CD9*2</f>
        <v>558</v>
      </c>
      <c r="CJ9" s="8" t="e">
        <f>+CI9/#REF!</f>
        <v>#REF!</v>
      </c>
      <c r="CK9" s="98">
        <v>93</v>
      </c>
      <c r="CL9" s="6" t="e">
        <f>+CK9/#REF!</f>
        <v>#REF!</v>
      </c>
      <c r="CM9" s="92">
        <v>74</v>
      </c>
      <c r="CN9" s="100" t="e">
        <f>+CM9/#REF!</f>
        <v>#REF!</v>
      </c>
      <c r="CO9" s="114">
        <v>10990</v>
      </c>
      <c r="CP9" s="115">
        <f t="shared" si="0"/>
        <v>372</v>
      </c>
      <c r="CQ9" s="8" t="e">
        <f>+CP9/#REF!</f>
        <v>#REF!</v>
      </c>
      <c r="CR9" s="98">
        <v>567</v>
      </c>
      <c r="CS9" s="6" t="e">
        <f>+CR9/#REF!</f>
        <v>#REF!</v>
      </c>
      <c r="CT9" s="92">
        <v>109</v>
      </c>
      <c r="CU9" s="7" t="e">
        <f>+CT9/#REF!</f>
        <v>#REF!</v>
      </c>
      <c r="CV9" s="99">
        <v>10546</v>
      </c>
      <c r="CW9" s="92">
        <f>CR9*4</f>
        <v>2268</v>
      </c>
      <c r="CX9" s="8" t="e">
        <f>+CW9/#REF!</f>
        <v>#REF!</v>
      </c>
      <c r="CY9" s="98">
        <v>46</v>
      </c>
      <c r="CZ9" s="6" t="e">
        <f>+CY9/#REF!</f>
        <v>#REF!</v>
      </c>
      <c r="DA9" s="92">
        <v>30</v>
      </c>
      <c r="DB9" s="7" t="e">
        <f>+DA9/#REF!</f>
        <v>#REF!</v>
      </c>
      <c r="DC9" s="116">
        <v>7482</v>
      </c>
      <c r="DD9" s="99">
        <f>CY9*2</f>
        <v>92</v>
      </c>
      <c r="DE9" s="8" t="e">
        <f>+DD9/#REF!</f>
        <v>#REF!</v>
      </c>
      <c r="DF9" s="98">
        <v>273</v>
      </c>
      <c r="DG9" s="6" t="e">
        <f>+DF9/#REF!</f>
        <v>#REF!</v>
      </c>
      <c r="DH9" s="92">
        <v>82</v>
      </c>
      <c r="DI9" s="7" t="e">
        <f>+DH9/#REF!</f>
        <v>#REF!</v>
      </c>
      <c r="DJ9" s="99">
        <v>9673</v>
      </c>
      <c r="DK9" s="92">
        <f>DF9*3</f>
        <v>819</v>
      </c>
      <c r="DL9" s="8" t="e">
        <f>+DK9/#REF!</f>
        <v>#REF!</v>
      </c>
      <c r="DM9" s="98">
        <v>86</v>
      </c>
      <c r="DN9" s="6" t="e">
        <f>+DM9/#REF!</f>
        <v>#REF!</v>
      </c>
      <c r="DO9" s="92">
        <v>49</v>
      </c>
      <c r="DP9" s="100" t="e">
        <f>+DO9/#REF!</f>
        <v>#REF!</v>
      </c>
      <c r="DQ9" s="114">
        <v>15600</v>
      </c>
      <c r="DR9" s="115">
        <f>DM9*6</f>
        <v>516</v>
      </c>
      <c r="DS9" s="8" t="e">
        <f>+DR9/#REF!</f>
        <v>#REF!</v>
      </c>
      <c r="DT9" s="98">
        <v>480</v>
      </c>
      <c r="DU9" s="6" t="e">
        <f>+DT9/#REF!</f>
        <v>#REF!</v>
      </c>
      <c r="DV9" s="92">
        <v>96</v>
      </c>
      <c r="DW9" s="7" t="e">
        <f>+DV9/#REF!</f>
        <v>#REF!</v>
      </c>
      <c r="DX9" s="99">
        <v>14629</v>
      </c>
      <c r="DY9" s="92">
        <f>DT9*5</f>
        <v>2400</v>
      </c>
      <c r="DZ9" s="8" t="e">
        <f>+DY9/#REF!</f>
        <v>#REF!</v>
      </c>
      <c r="EA9" s="98">
        <v>11</v>
      </c>
      <c r="EB9" s="6" t="e">
        <f>+EA9/#REF!</f>
        <v>#REF!</v>
      </c>
      <c r="EC9" s="92">
        <v>6</v>
      </c>
      <c r="ED9" s="100" t="e">
        <f>+EC9/#REF!</f>
        <v>#REF!</v>
      </c>
      <c r="EE9" s="114"/>
      <c r="EF9" s="115">
        <f>EA9*6</f>
        <v>66</v>
      </c>
      <c r="EG9" s="8" t="e">
        <f>+EF9/#REF!</f>
        <v>#REF!</v>
      </c>
      <c r="EH9" s="98"/>
      <c r="EI9" s="6" t="e">
        <f>+EH9/#REF!</f>
        <v>#REF!</v>
      </c>
      <c r="EJ9" s="92"/>
      <c r="EK9" s="7" t="e">
        <f>+EJ9/#REF!</f>
        <v>#REF!</v>
      </c>
      <c r="EL9" s="99"/>
      <c r="EM9" s="92"/>
      <c r="EN9" s="8" t="e">
        <f>+EM9/#REF!</f>
        <v>#REF!</v>
      </c>
      <c r="EP9" s="11" t="s">
        <v>63</v>
      </c>
      <c r="ER9" s="41"/>
      <c r="ES9" s="41" t="s">
        <v>69</v>
      </c>
    </row>
    <row r="10" spans="2:149" s="1" customFormat="1" ht="16.95" customHeight="1">
      <c r="B10" s="104" t="s">
        <v>68</v>
      </c>
      <c r="C10" s="18"/>
      <c r="D10" s="19"/>
      <c r="E10" s="19"/>
      <c r="F10" s="19"/>
      <c r="G10" s="19"/>
      <c r="H10" s="20"/>
      <c r="I10" s="19" t="s">
        <v>65</v>
      </c>
      <c r="J10" s="25"/>
      <c r="K10" s="105">
        <v>40</v>
      </c>
      <c r="L10" s="106">
        <v>60</v>
      </c>
      <c r="M10" s="107">
        <v>40</v>
      </c>
      <c r="N10" s="108">
        <v>40</v>
      </c>
      <c r="O10" s="108">
        <v>30</v>
      </c>
      <c r="P10" s="108">
        <v>20</v>
      </c>
      <c r="Q10" s="108">
        <v>20</v>
      </c>
      <c r="R10" s="108">
        <v>20</v>
      </c>
      <c r="S10" s="108">
        <v>30</v>
      </c>
      <c r="T10" s="109"/>
      <c r="U10" s="109"/>
      <c r="V10" s="89">
        <f t="shared" si="1"/>
        <v>3.3333333333333335</v>
      </c>
      <c r="W10" s="110">
        <v>9</v>
      </c>
      <c r="X10" s="105" t="s">
        <v>65</v>
      </c>
      <c r="Y10" s="108" t="s">
        <v>65</v>
      </c>
      <c r="Z10" s="108"/>
      <c r="AA10" s="108" t="s">
        <v>65</v>
      </c>
      <c r="AB10" s="108"/>
      <c r="AC10" s="108"/>
      <c r="AD10" s="108"/>
      <c r="AE10" s="108"/>
      <c r="AF10" s="109"/>
      <c r="AG10" s="111"/>
      <c r="AH10" s="6" t="e">
        <f>+AG10/#REF!</f>
        <v>#REF!</v>
      </c>
      <c r="AI10" s="99"/>
      <c r="AJ10" s="7" t="e">
        <f>+AI10/#REF!</f>
        <v>#REF!</v>
      </c>
      <c r="AK10" s="92"/>
      <c r="AL10" s="93">
        <f>AG10*2</f>
        <v>0</v>
      </c>
      <c r="AM10" s="97" t="e">
        <f>+AL10/#REF!</f>
        <v>#REF!</v>
      </c>
      <c r="AN10" s="113"/>
      <c r="AO10" s="6" t="e">
        <f>+AN10/#REF!</f>
        <v>#REF!</v>
      </c>
      <c r="AP10" s="99"/>
      <c r="AQ10" s="7" t="e">
        <f>+AP10/#REF!</f>
        <v>#REF!</v>
      </c>
      <c r="AR10" s="92"/>
      <c r="AS10" s="92">
        <f>AN10*2</f>
        <v>0</v>
      </c>
      <c r="AT10" s="97" t="e">
        <f>+AS10/#REF!</f>
        <v>#REF!</v>
      </c>
      <c r="AU10" s="113"/>
      <c r="AV10" s="6" t="e">
        <f>+AU10/#REF!</f>
        <v>#REF!</v>
      </c>
      <c r="AW10" s="99"/>
      <c r="AX10" s="7" t="e">
        <f>+AW10/#REF!</f>
        <v>#REF!</v>
      </c>
      <c r="AY10" s="99"/>
      <c r="AZ10" s="112">
        <f>AU10*3</f>
        <v>0</v>
      </c>
      <c r="BA10" s="97" t="e">
        <f>+AZ10/#REF!</f>
        <v>#REF!</v>
      </c>
      <c r="BB10" s="98"/>
      <c r="BC10" s="6" t="e">
        <f>+BB10/#REF!</f>
        <v>#REF!</v>
      </c>
      <c r="BD10" s="92"/>
      <c r="BE10" s="7" t="e">
        <f>+BD10/#REF!</f>
        <v>#REF!</v>
      </c>
      <c r="BF10" s="99"/>
      <c r="BG10" s="99">
        <f>BB10*2</f>
        <v>0</v>
      </c>
      <c r="BH10" s="8" t="e">
        <f>+BG10/#REF!</f>
        <v>#REF!</v>
      </c>
      <c r="BI10" s="98"/>
      <c r="BJ10" s="6" t="e">
        <f>+BI10/#REF!</f>
        <v>#REF!</v>
      </c>
      <c r="BK10" s="92"/>
      <c r="BL10" s="7" t="e">
        <f>+BK10/#REF!</f>
        <v>#REF!</v>
      </c>
      <c r="BM10" s="99"/>
      <c r="BN10" s="99">
        <f>BI10*2</f>
        <v>0</v>
      </c>
      <c r="BO10" s="8" t="e">
        <f>+BN10/#REF!</f>
        <v>#REF!</v>
      </c>
      <c r="BP10" s="98"/>
      <c r="BQ10" s="6" t="e">
        <f>+BP10/#REF!</f>
        <v>#REF!</v>
      </c>
      <c r="BR10" s="92"/>
      <c r="BS10" s="7" t="e">
        <f>+BR10/#REF!</f>
        <v>#REF!</v>
      </c>
      <c r="BT10" s="99"/>
      <c r="BU10" s="99">
        <f>BP10*3</f>
        <v>0</v>
      </c>
      <c r="BV10" s="8" t="e">
        <f>+BU10/#REF!</f>
        <v>#REF!</v>
      </c>
      <c r="BW10" s="98"/>
      <c r="BX10" s="6" t="e">
        <f>+BW10/#REF!</f>
        <v>#REF!</v>
      </c>
      <c r="BY10" s="92"/>
      <c r="BZ10" s="7" t="e">
        <f>+BY10/#REF!</f>
        <v>#REF!</v>
      </c>
      <c r="CA10" s="99"/>
      <c r="CB10" s="92">
        <f t="shared" si="2"/>
        <v>0</v>
      </c>
      <c r="CC10" s="8" t="e">
        <f>+CB10/#REF!</f>
        <v>#REF!</v>
      </c>
      <c r="CD10" s="98"/>
      <c r="CE10" s="6" t="e">
        <f>+CD10/#REF!</f>
        <v>#REF!</v>
      </c>
      <c r="CF10" s="92"/>
      <c r="CG10" s="7" t="e">
        <f>+CF10/#REF!</f>
        <v>#REF!</v>
      </c>
      <c r="CH10" s="99"/>
      <c r="CI10" s="99"/>
      <c r="CJ10" s="8" t="e">
        <f>+CI10/#REF!</f>
        <v>#REF!</v>
      </c>
      <c r="CK10" s="98"/>
      <c r="CL10" s="6" t="e">
        <f>+CK10/#REF!</f>
        <v>#REF!</v>
      </c>
      <c r="CM10" s="92"/>
      <c r="CN10" s="100" t="e">
        <f>+CM10/#REF!</f>
        <v>#REF!</v>
      </c>
      <c r="CO10" s="114"/>
      <c r="CP10" s="115">
        <f t="shared" si="0"/>
        <v>0</v>
      </c>
      <c r="CQ10" s="8" t="e">
        <f>+CP10/#REF!</f>
        <v>#REF!</v>
      </c>
      <c r="CR10" s="98"/>
      <c r="CS10" s="6" t="e">
        <f>+CR10/#REF!</f>
        <v>#REF!</v>
      </c>
      <c r="CT10" s="92"/>
      <c r="CU10" s="7" t="e">
        <f>+CT10/#REF!</f>
        <v>#REF!</v>
      </c>
      <c r="CV10" s="99"/>
      <c r="CW10" s="92">
        <f>CR10*4</f>
        <v>0</v>
      </c>
      <c r="CX10" s="8" t="e">
        <f>+CW10/#REF!</f>
        <v>#REF!</v>
      </c>
      <c r="CY10" s="98"/>
      <c r="CZ10" s="6" t="e">
        <f>+CY10/#REF!</f>
        <v>#REF!</v>
      </c>
      <c r="DA10" s="92"/>
      <c r="DB10" s="7" t="e">
        <f>+DA10/#REF!</f>
        <v>#REF!</v>
      </c>
      <c r="DC10" s="116"/>
      <c r="DD10" s="99">
        <f>CY10*2</f>
        <v>0</v>
      </c>
      <c r="DE10" s="8" t="e">
        <f>+DD10/#REF!</f>
        <v>#REF!</v>
      </c>
      <c r="DF10" s="98"/>
      <c r="DG10" s="6" t="e">
        <f>+DF10/#REF!</f>
        <v>#REF!</v>
      </c>
      <c r="DH10" s="92"/>
      <c r="DI10" s="7" t="e">
        <f>+DH10/#REF!</f>
        <v>#REF!</v>
      </c>
      <c r="DJ10" s="99"/>
      <c r="DK10" s="92">
        <f>DF10*3</f>
        <v>0</v>
      </c>
      <c r="DL10" s="8" t="e">
        <f>+DK10/#REF!</f>
        <v>#REF!</v>
      </c>
      <c r="DM10" s="98"/>
      <c r="DN10" s="6" t="e">
        <f>+DM10/#REF!</f>
        <v>#REF!</v>
      </c>
      <c r="DO10" s="92"/>
      <c r="DP10" s="100" t="e">
        <f>+DO10/#REF!</f>
        <v>#REF!</v>
      </c>
      <c r="DQ10" s="114"/>
      <c r="DR10" s="115">
        <f>DM10*6</f>
        <v>0</v>
      </c>
      <c r="DS10" s="8" t="e">
        <f>+DR10/#REF!</f>
        <v>#REF!</v>
      </c>
      <c r="DT10" s="98"/>
      <c r="DU10" s="6" t="e">
        <f>+DT10/#REF!</f>
        <v>#REF!</v>
      </c>
      <c r="DV10" s="92"/>
      <c r="DW10" s="7" t="e">
        <f>+DV10/#REF!</f>
        <v>#REF!</v>
      </c>
      <c r="DX10" s="99"/>
      <c r="DY10" s="92">
        <f>DT10*5</f>
        <v>0</v>
      </c>
      <c r="DZ10" s="8" t="e">
        <f>+DY10/#REF!</f>
        <v>#REF!</v>
      </c>
      <c r="EA10" s="98">
        <v>47</v>
      </c>
      <c r="EB10" s="6" t="e">
        <f>+EA10/#REF!</f>
        <v>#REF!</v>
      </c>
      <c r="EC10" s="92">
        <v>29</v>
      </c>
      <c r="ED10" s="100" t="e">
        <f>+EC10/#REF!</f>
        <v>#REF!</v>
      </c>
      <c r="EE10" s="114"/>
      <c r="EF10" s="115">
        <f>EA10*6</f>
        <v>282</v>
      </c>
      <c r="EG10" s="8" t="e">
        <f>+EF10/#REF!</f>
        <v>#REF!</v>
      </c>
      <c r="EH10" s="98">
        <v>293</v>
      </c>
      <c r="EI10" s="6" t="e">
        <f>+EH10/#REF!</f>
        <v>#REF!</v>
      </c>
      <c r="EJ10" s="92">
        <v>75</v>
      </c>
      <c r="EK10" s="7" t="e">
        <f>+EJ10/#REF!</f>
        <v>#REF!</v>
      </c>
      <c r="EL10" s="99"/>
      <c r="EM10" s="92"/>
      <c r="EN10" s="8" t="e">
        <f>+EM10/#REF!</f>
        <v>#REF!</v>
      </c>
      <c r="EP10" s="11" t="s">
        <v>63</v>
      </c>
      <c r="ER10" s="41"/>
      <c r="ES10" s="41" t="s">
        <v>69</v>
      </c>
    </row>
    <row r="11" spans="2:149" s="1" customFormat="1" ht="16.95" customHeight="1">
      <c r="B11" s="104" t="s">
        <v>70</v>
      </c>
      <c r="C11" s="18" t="s">
        <v>65</v>
      </c>
      <c r="D11" s="21"/>
      <c r="E11" s="19"/>
      <c r="F11" s="19"/>
      <c r="G11" s="19"/>
      <c r="H11" s="22"/>
      <c r="I11" s="19"/>
      <c r="J11" s="43"/>
      <c r="K11" s="105">
        <v>40</v>
      </c>
      <c r="L11" s="106">
        <v>60</v>
      </c>
      <c r="M11" s="107">
        <v>40</v>
      </c>
      <c r="N11" s="108">
        <v>40</v>
      </c>
      <c r="O11" s="108">
        <v>30</v>
      </c>
      <c r="P11" s="108">
        <v>20</v>
      </c>
      <c r="Q11" s="108">
        <v>20</v>
      </c>
      <c r="R11" s="108">
        <v>20</v>
      </c>
      <c r="S11" s="108">
        <v>30</v>
      </c>
      <c r="T11" s="109"/>
      <c r="U11" s="109"/>
      <c r="V11" s="89">
        <f t="shared" si="1"/>
        <v>3.3333333333333335</v>
      </c>
      <c r="W11" s="110">
        <v>6</v>
      </c>
      <c r="X11" s="105" t="s">
        <v>65</v>
      </c>
      <c r="Y11" s="108" t="s">
        <v>65</v>
      </c>
      <c r="Z11" s="108"/>
      <c r="AA11" s="108" t="s">
        <v>65</v>
      </c>
      <c r="AB11" s="108"/>
      <c r="AC11" s="108"/>
      <c r="AD11" s="108" t="s">
        <v>65</v>
      </c>
      <c r="AE11" s="108"/>
      <c r="AF11" s="109" t="s">
        <v>65</v>
      </c>
      <c r="AG11" s="111"/>
      <c r="AH11" s="6" t="e">
        <f>+AG11/#REF!</f>
        <v>#REF!</v>
      </c>
      <c r="AI11" s="99"/>
      <c r="AJ11" s="7" t="e">
        <f>+AI11/#REF!</f>
        <v>#REF!</v>
      </c>
      <c r="AK11" s="92"/>
      <c r="AL11" s="93"/>
      <c r="AM11" s="97" t="e">
        <f>+AL11/#REF!</f>
        <v>#REF!</v>
      </c>
      <c r="AN11" s="113"/>
      <c r="AO11" s="6" t="e">
        <f>+AN11/#REF!</f>
        <v>#REF!</v>
      </c>
      <c r="AP11" s="99"/>
      <c r="AQ11" s="7" t="e">
        <f>+AP11/#REF!</f>
        <v>#REF!</v>
      </c>
      <c r="AR11" s="92"/>
      <c r="AS11" s="92"/>
      <c r="AT11" s="97" t="e">
        <f>+AS11/#REF!</f>
        <v>#REF!</v>
      </c>
      <c r="AU11" s="113"/>
      <c r="AV11" s="6" t="e">
        <f>+AU11/#REF!</f>
        <v>#REF!</v>
      </c>
      <c r="AW11" s="99"/>
      <c r="AX11" s="7" t="e">
        <f>+AW11/#REF!</f>
        <v>#REF!</v>
      </c>
      <c r="AY11" s="99"/>
      <c r="AZ11" s="112"/>
      <c r="BA11" s="97" t="e">
        <f>+AZ11/#REF!</f>
        <v>#REF!</v>
      </c>
      <c r="BB11" s="98"/>
      <c r="BC11" s="6" t="e">
        <f>+BB11/#REF!</f>
        <v>#REF!</v>
      </c>
      <c r="BD11" s="92"/>
      <c r="BE11" s="7" t="e">
        <f>+BD11/#REF!</f>
        <v>#REF!</v>
      </c>
      <c r="BF11" s="99"/>
      <c r="BG11" s="99"/>
      <c r="BH11" s="8" t="e">
        <f>+BG11/#REF!</f>
        <v>#REF!</v>
      </c>
      <c r="BI11" s="98"/>
      <c r="BJ11" s="6" t="e">
        <f>+BI11/#REF!</f>
        <v>#REF!</v>
      </c>
      <c r="BK11" s="92"/>
      <c r="BL11" s="7" t="e">
        <f>+BK11/#REF!</f>
        <v>#REF!</v>
      </c>
      <c r="BM11" s="99"/>
      <c r="BN11" s="99"/>
      <c r="BO11" s="8" t="e">
        <f>+BN11/#REF!</f>
        <v>#REF!</v>
      </c>
      <c r="BP11" s="98"/>
      <c r="BQ11" s="6" t="e">
        <f>+BP11/#REF!</f>
        <v>#REF!</v>
      </c>
      <c r="BR11" s="92"/>
      <c r="BS11" s="7" t="e">
        <f>+BR11/#REF!</f>
        <v>#REF!</v>
      </c>
      <c r="BT11" s="99"/>
      <c r="BU11" s="99"/>
      <c r="BV11" s="8" t="e">
        <f>+BU11/#REF!</f>
        <v>#REF!</v>
      </c>
      <c r="BW11" s="98">
        <v>11</v>
      </c>
      <c r="BX11" s="6" t="e">
        <f>+BW11/#REF!</f>
        <v>#REF!</v>
      </c>
      <c r="BY11" s="92">
        <v>11</v>
      </c>
      <c r="BZ11" s="7" t="e">
        <f>+BY11/#REF!</f>
        <v>#REF!</v>
      </c>
      <c r="CA11" s="99">
        <v>6690</v>
      </c>
      <c r="CB11" s="92">
        <f t="shared" si="2"/>
        <v>22</v>
      </c>
      <c r="CC11" s="8" t="e">
        <f>+CB11/#REF!</f>
        <v>#REF!</v>
      </c>
      <c r="CD11" s="98"/>
      <c r="CE11" s="6" t="e">
        <f>+CD11/#REF!</f>
        <v>#REF!</v>
      </c>
      <c r="CF11" s="92"/>
      <c r="CG11" s="7" t="e">
        <f>+CF11/#REF!</f>
        <v>#REF!</v>
      </c>
      <c r="CH11" s="99"/>
      <c r="CI11" s="99"/>
      <c r="CJ11" s="8" t="e">
        <f>+CI11/#REF!</f>
        <v>#REF!</v>
      </c>
      <c r="CK11" s="98">
        <v>46</v>
      </c>
      <c r="CL11" s="6" t="e">
        <f>+CK11/#REF!</f>
        <v>#REF!</v>
      </c>
      <c r="CM11" s="92">
        <v>21</v>
      </c>
      <c r="CN11" s="100" t="e">
        <f>+CM11/#REF!</f>
        <v>#REF!</v>
      </c>
      <c r="CO11" s="114">
        <v>10990</v>
      </c>
      <c r="CP11" s="115">
        <f t="shared" si="0"/>
        <v>184</v>
      </c>
      <c r="CQ11" s="8" t="e">
        <f>+CP11/#REF!</f>
        <v>#REF!</v>
      </c>
      <c r="CR11" s="98"/>
      <c r="CS11" s="6" t="e">
        <f>+CR11/#REF!</f>
        <v>#REF!</v>
      </c>
      <c r="CT11" s="92"/>
      <c r="CU11" s="7" t="e">
        <f>+CT11/#REF!</f>
        <v>#REF!</v>
      </c>
      <c r="CV11" s="99"/>
      <c r="CW11" s="92"/>
      <c r="CX11" s="8" t="e">
        <f>+CW11/#REF!</f>
        <v>#REF!</v>
      </c>
      <c r="CY11" s="98">
        <v>146</v>
      </c>
      <c r="CZ11" s="6" t="e">
        <f>+CY11/#REF!</f>
        <v>#REF!</v>
      </c>
      <c r="DA11" s="92">
        <v>63</v>
      </c>
      <c r="DB11" s="7" t="e">
        <f>+DA11/#REF!</f>
        <v>#REF!</v>
      </c>
      <c r="DC11" s="111">
        <v>7482</v>
      </c>
      <c r="DD11" s="99">
        <f t="shared" ref="DD11:DD13" si="3">CY11*2</f>
        <v>292</v>
      </c>
      <c r="DE11" s="8" t="e">
        <f>+DD11/#REF!</f>
        <v>#REF!</v>
      </c>
      <c r="DF11" s="98"/>
      <c r="DG11" s="6" t="e">
        <f>+DF11/#REF!</f>
        <v>#REF!</v>
      </c>
      <c r="DH11" s="92"/>
      <c r="DI11" s="7" t="e">
        <f>+DH11/#REF!</f>
        <v>#REF!</v>
      </c>
      <c r="DJ11" s="99"/>
      <c r="DK11" s="92"/>
      <c r="DL11" s="8" t="e">
        <f>+DK11/#REF!</f>
        <v>#REF!</v>
      </c>
      <c r="DM11" s="98">
        <v>86</v>
      </c>
      <c r="DN11" s="6" t="e">
        <f>+DM11/#REF!</f>
        <v>#REF!</v>
      </c>
      <c r="DO11" s="92">
        <v>46</v>
      </c>
      <c r="DP11" s="100" t="e">
        <f>+DO11/#REF!</f>
        <v>#REF!</v>
      </c>
      <c r="DQ11" s="114">
        <v>14987</v>
      </c>
      <c r="DR11" s="115">
        <f>DM11*5</f>
        <v>430</v>
      </c>
      <c r="DS11" s="8" t="e">
        <f>+DR11/#REF!</f>
        <v>#REF!</v>
      </c>
      <c r="DT11" s="98"/>
      <c r="DU11" s="6" t="e">
        <f>+DT11/#REF!</f>
        <v>#REF!</v>
      </c>
      <c r="DV11" s="92"/>
      <c r="DW11" s="7" t="e">
        <f>+DV11/#REF!</f>
        <v>#REF!</v>
      </c>
      <c r="DX11" s="99"/>
      <c r="DY11" s="92"/>
      <c r="DZ11" s="8" t="e">
        <f>+DY11/#REF!</f>
        <v>#REF!</v>
      </c>
      <c r="EA11" s="98">
        <v>46</v>
      </c>
      <c r="EB11" s="6" t="e">
        <f>+EA11/#REF!</f>
        <v>#REF!</v>
      </c>
      <c r="EC11" s="92">
        <v>43</v>
      </c>
      <c r="ED11" s="100" t="e">
        <f>+EC11/#REF!</f>
        <v>#REF!</v>
      </c>
      <c r="EE11" s="114"/>
      <c r="EF11" s="115">
        <f>EA11*5</f>
        <v>230</v>
      </c>
      <c r="EG11" s="8" t="e">
        <f>+EF11/#REF!</f>
        <v>#REF!</v>
      </c>
      <c r="EH11" s="98"/>
      <c r="EI11" s="6" t="e">
        <f>+EH11/#REF!</f>
        <v>#REF!</v>
      </c>
      <c r="EJ11" s="92"/>
      <c r="EK11" s="7" t="e">
        <f>+EJ11/#REF!</f>
        <v>#REF!</v>
      </c>
      <c r="EL11" s="99"/>
      <c r="EM11" s="92"/>
      <c r="EN11" s="8" t="e">
        <f>+EM11/#REF!</f>
        <v>#REF!</v>
      </c>
    </row>
    <row r="12" spans="2:149" s="1" customFormat="1" ht="16.95" customHeight="1">
      <c r="B12" s="104" t="s">
        <v>71</v>
      </c>
      <c r="C12" s="18"/>
      <c r="D12" s="21"/>
      <c r="E12" s="19"/>
      <c r="F12" s="23"/>
      <c r="G12" s="20"/>
      <c r="H12" s="20"/>
      <c r="I12" s="19"/>
      <c r="J12" s="25" t="s">
        <v>65</v>
      </c>
      <c r="K12" s="105">
        <v>40</v>
      </c>
      <c r="L12" s="106">
        <v>60</v>
      </c>
      <c r="M12" s="107">
        <v>40</v>
      </c>
      <c r="N12" s="108">
        <v>40</v>
      </c>
      <c r="O12" s="108">
        <v>30</v>
      </c>
      <c r="P12" s="108">
        <v>20</v>
      </c>
      <c r="Q12" s="108">
        <v>20</v>
      </c>
      <c r="R12" s="108">
        <v>20</v>
      </c>
      <c r="S12" s="108">
        <v>30</v>
      </c>
      <c r="T12" s="109"/>
      <c r="U12" s="109"/>
      <c r="V12" s="89">
        <f t="shared" si="1"/>
        <v>3.3333333333333335</v>
      </c>
      <c r="W12" s="110">
        <v>6</v>
      </c>
      <c r="X12" s="105" t="s">
        <v>65</v>
      </c>
      <c r="Y12" s="108" t="s">
        <v>65</v>
      </c>
      <c r="Z12" s="108"/>
      <c r="AA12" s="108" t="s">
        <v>65</v>
      </c>
      <c r="AB12" s="108"/>
      <c r="AC12" s="108"/>
      <c r="AD12" s="108" t="s">
        <v>65</v>
      </c>
      <c r="AE12" s="108"/>
      <c r="AF12" s="109" t="s">
        <v>65</v>
      </c>
      <c r="AG12" s="111"/>
      <c r="AH12" s="6" t="e">
        <f>+AG12/#REF!</f>
        <v>#REF!</v>
      </c>
      <c r="AI12" s="99"/>
      <c r="AJ12" s="7" t="e">
        <f>+AI12/#REF!</f>
        <v>#REF!</v>
      </c>
      <c r="AK12" s="92"/>
      <c r="AL12" s="93"/>
      <c r="AM12" s="97" t="e">
        <f>+AL12/#REF!</f>
        <v>#REF!</v>
      </c>
      <c r="AN12" s="113"/>
      <c r="AO12" s="6" t="e">
        <f>+AN12/#REF!</f>
        <v>#REF!</v>
      </c>
      <c r="AP12" s="99"/>
      <c r="AQ12" s="7" t="e">
        <f>+AP12/#REF!</f>
        <v>#REF!</v>
      </c>
      <c r="AR12" s="92"/>
      <c r="AS12" s="92"/>
      <c r="AT12" s="97" t="e">
        <f>+AS12/#REF!</f>
        <v>#REF!</v>
      </c>
      <c r="AU12" s="113"/>
      <c r="AV12" s="6" t="e">
        <f>+AU12/#REF!</f>
        <v>#REF!</v>
      </c>
      <c r="AW12" s="99"/>
      <c r="AX12" s="7" t="e">
        <f>+AW12/#REF!</f>
        <v>#REF!</v>
      </c>
      <c r="AY12" s="99"/>
      <c r="AZ12" s="112"/>
      <c r="BA12" s="97" t="e">
        <f>+AZ12/#REF!</f>
        <v>#REF!</v>
      </c>
      <c r="BB12" s="98"/>
      <c r="BC12" s="6" t="e">
        <f>+BB12/#REF!</f>
        <v>#REF!</v>
      </c>
      <c r="BD12" s="92"/>
      <c r="BE12" s="7" t="e">
        <f>+BD12/#REF!</f>
        <v>#REF!</v>
      </c>
      <c r="BF12" s="99"/>
      <c r="BG12" s="99"/>
      <c r="BH12" s="8" t="e">
        <f>+BG12/#REF!</f>
        <v>#REF!</v>
      </c>
      <c r="BI12" s="98"/>
      <c r="BJ12" s="6" t="e">
        <f>+BI12/#REF!</f>
        <v>#REF!</v>
      </c>
      <c r="BK12" s="92"/>
      <c r="BL12" s="7" t="e">
        <f>+BK12/#REF!</f>
        <v>#REF!</v>
      </c>
      <c r="BM12" s="99"/>
      <c r="BN12" s="99"/>
      <c r="BO12" s="8" t="e">
        <f>+BN12/#REF!</f>
        <v>#REF!</v>
      </c>
      <c r="BP12" s="98"/>
      <c r="BQ12" s="6" t="e">
        <f>+BP12/#REF!</f>
        <v>#REF!</v>
      </c>
      <c r="BR12" s="92"/>
      <c r="BS12" s="7" t="e">
        <f>+BR12/#REF!</f>
        <v>#REF!</v>
      </c>
      <c r="BT12" s="99"/>
      <c r="BU12" s="99"/>
      <c r="BV12" s="8" t="e">
        <f>+BU12/#REF!</f>
        <v>#REF!</v>
      </c>
      <c r="BW12" s="98"/>
      <c r="BX12" s="6" t="e">
        <f>+BW12/#REF!</f>
        <v>#REF!</v>
      </c>
      <c r="BY12" s="92"/>
      <c r="BZ12" s="7" t="e">
        <f>+BY12/#REF!</f>
        <v>#REF!</v>
      </c>
      <c r="CA12" s="99"/>
      <c r="CB12" s="92"/>
      <c r="CC12" s="8" t="e">
        <f>+CB12/#REF!</f>
        <v>#REF!</v>
      </c>
      <c r="CD12" s="98"/>
      <c r="CE12" s="6" t="e">
        <f>+CD12/#REF!</f>
        <v>#REF!</v>
      </c>
      <c r="CF12" s="92"/>
      <c r="CG12" s="7" t="e">
        <f>+CF12/#REF!</f>
        <v>#REF!</v>
      </c>
      <c r="CH12" s="99"/>
      <c r="CI12" s="99"/>
      <c r="CJ12" s="8" t="e">
        <f>+CI12/#REF!</f>
        <v>#REF!</v>
      </c>
      <c r="CK12" s="98">
        <v>46</v>
      </c>
      <c r="CL12" s="6" t="e">
        <f>+CK12/#REF!</f>
        <v>#REF!</v>
      </c>
      <c r="CM12" s="92">
        <v>21</v>
      </c>
      <c r="CN12" s="100" t="e">
        <f>+CM12/#REF!</f>
        <v>#REF!</v>
      </c>
      <c r="CO12" s="114">
        <v>10990</v>
      </c>
      <c r="CP12" s="115">
        <f t="shared" si="0"/>
        <v>184</v>
      </c>
      <c r="CQ12" s="8" t="e">
        <f>+CP12/#REF!</f>
        <v>#REF!</v>
      </c>
      <c r="CR12" s="98"/>
      <c r="CS12" s="6" t="e">
        <f>+CR12/#REF!</f>
        <v>#REF!</v>
      </c>
      <c r="CT12" s="92"/>
      <c r="CU12" s="7" t="e">
        <f>+CT12/#REF!</f>
        <v>#REF!</v>
      </c>
      <c r="CV12" s="99"/>
      <c r="CW12" s="92"/>
      <c r="CX12" s="8" t="e">
        <f>+CW12/#REF!</f>
        <v>#REF!</v>
      </c>
      <c r="CY12" s="98">
        <v>146</v>
      </c>
      <c r="CZ12" s="6" t="e">
        <f>+CY12/#REF!</f>
        <v>#REF!</v>
      </c>
      <c r="DA12" s="92">
        <v>63</v>
      </c>
      <c r="DB12" s="7" t="e">
        <f>+DA12/#REF!</f>
        <v>#REF!</v>
      </c>
      <c r="DC12" s="117">
        <v>7482</v>
      </c>
      <c r="DD12" s="99">
        <f>CY12*2</f>
        <v>292</v>
      </c>
      <c r="DE12" s="8" t="e">
        <f>+DD12/#REF!</f>
        <v>#REF!</v>
      </c>
      <c r="DF12" s="98"/>
      <c r="DG12" s="6" t="e">
        <f>+DF12/#REF!</f>
        <v>#REF!</v>
      </c>
      <c r="DH12" s="92"/>
      <c r="DI12" s="7" t="e">
        <f>+DH12/#REF!</f>
        <v>#REF!</v>
      </c>
      <c r="DJ12" s="99"/>
      <c r="DK12" s="92"/>
      <c r="DL12" s="8" t="e">
        <f>+DK12/#REF!</f>
        <v>#REF!</v>
      </c>
      <c r="DM12" s="98">
        <v>89</v>
      </c>
      <c r="DN12" s="6" t="e">
        <f>+DM12/#REF!</f>
        <v>#REF!</v>
      </c>
      <c r="DO12" s="92">
        <v>49</v>
      </c>
      <c r="DP12" s="100" t="e">
        <f>+DO12/#REF!</f>
        <v>#REF!</v>
      </c>
      <c r="DQ12" s="114">
        <v>14987</v>
      </c>
      <c r="DR12" s="115">
        <f>DM12*5</f>
        <v>445</v>
      </c>
      <c r="DS12" s="8" t="e">
        <f>+DR12/#REF!</f>
        <v>#REF!</v>
      </c>
      <c r="DT12" s="98"/>
      <c r="DU12" s="6" t="e">
        <f>+DT12/#REF!</f>
        <v>#REF!</v>
      </c>
      <c r="DV12" s="92"/>
      <c r="DW12" s="7" t="e">
        <f>+DV12/#REF!</f>
        <v>#REF!</v>
      </c>
      <c r="DX12" s="99"/>
      <c r="DY12" s="92"/>
      <c r="DZ12" s="8" t="e">
        <f>+DY12/#REF!</f>
        <v>#REF!</v>
      </c>
      <c r="EA12" s="98">
        <v>46</v>
      </c>
      <c r="EB12" s="6" t="e">
        <f>+EA12/#REF!</f>
        <v>#REF!</v>
      </c>
      <c r="EC12" s="92">
        <v>33</v>
      </c>
      <c r="ED12" s="100" t="e">
        <f>+EC12/#REF!</f>
        <v>#REF!</v>
      </c>
      <c r="EE12" s="114"/>
      <c r="EF12" s="115">
        <f>EA12*5</f>
        <v>230</v>
      </c>
      <c r="EG12" s="8" t="e">
        <f>+EF12/#REF!</f>
        <v>#REF!</v>
      </c>
      <c r="EH12" s="98"/>
      <c r="EI12" s="6" t="e">
        <f>+EH12/#REF!</f>
        <v>#REF!</v>
      </c>
      <c r="EJ12" s="92"/>
      <c r="EK12" s="7" t="e">
        <f>+EJ12/#REF!</f>
        <v>#REF!</v>
      </c>
      <c r="EL12" s="99"/>
      <c r="EM12" s="92"/>
      <c r="EN12" s="8" t="e">
        <f>+EM12/#REF!</f>
        <v>#REF!</v>
      </c>
    </row>
    <row r="13" spans="2:149" s="1" customFormat="1" ht="16.95" customHeight="1">
      <c r="B13" s="104" t="s">
        <v>72</v>
      </c>
      <c r="C13" s="18"/>
      <c r="D13" s="21"/>
      <c r="E13" s="19" t="s">
        <v>65</v>
      </c>
      <c r="F13" s="19"/>
      <c r="G13" s="19"/>
      <c r="H13" s="22"/>
      <c r="I13" s="19"/>
      <c r="J13" s="43"/>
      <c r="K13" s="84">
        <v>30</v>
      </c>
      <c r="L13" s="85">
        <v>70</v>
      </c>
      <c r="M13" s="86">
        <v>40</v>
      </c>
      <c r="N13" s="87">
        <v>40</v>
      </c>
      <c r="O13" s="87">
        <v>30</v>
      </c>
      <c r="P13" s="87">
        <v>20</v>
      </c>
      <c r="Q13" s="87">
        <v>20</v>
      </c>
      <c r="R13" s="87">
        <v>30</v>
      </c>
      <c r="S13" s="87">
        <v>50</v>
      </c>
      <c r="T13" s="109"/>
      <c r="U13" s="109"/>
      <c r="V13" s="89">
        <f t="shared" si="1"/>
        <v>3.8333333333333335</v>
      </c>
      <c r="W13" s="110" t="s">
        <v>73</v>
      </c>
      <c r="X13" s="105" t="s">
        <v>65</v>
      </c>
      <c r="Y13" s="108" t="s">
        <v>65</v>
      </c>
      <c r="Z13" s="108"/>
      <c r="AA13" s="108" t="s">
        <v>65</v>
      </c>
      <c r="AB13" s="108"/>
      <c r="AC13" s="108"/>
      <c r="AD13" s="108"/>
      <c r="AE13" s="108"/>
      <c r="AF13" s="109"/>
      <c r="AG13" s="111">
        <v>18</v>
      </c>
      <c r="AH13" s="6" t="e">
        <f>+AG13/#REF!</f>
        <v>#REF!</v>
      </c>
      <c r="AI13" s="99">
        <v>18</v>
      </c>
      <c r="AJ13" s="7" t="e">
        <f>+AI13/#REF!</f>
        <v>#REF!</v>
      </c>
      <c r="AK13" s="99">
        <v>5672</v>
      </c>
      <c r="AL13" s="112">
        <f>AG13*2</f>
        <v>36</v>
      </c>
      <c r="AM13" s="97" t="e">
        <f>+AL13/#REF!</f>
        <v>#REF!</v>
      </c>
      <c r="AN13" s="113">
        <v>54</v>
      </c>
      <c r="AO13" s="6" t="e">
        <f>+AN13/#REF!</f>
        <v>#REF!</v>
      </c>
      <c r="AP13" s="99">
        <v>19</v>
      </c>
      <c r="AQ13" s="7" t="e">
        <f>+AP13/#REF!</f>
        <v>#REF!</v>
      </c>
      <c r="AR13" s="99">
        <v>4705</v>
      </c>
      <c r="AS13" s="99">
        <f>AN13*2</f>
        <v>108</v>
      </c>
      <c r="AT13" s="97" t="e">
        <f>+AS13/#REF!</f>
        <v>#REF!</v>
      </c>
      <c r="AU13" s="113">
        <v>18</v>
      </c>
      <c r="AV13" s="6" t="e">
        <f>+AU13/#REF!</f>
        <v>#REF!</v>
      </c>
      <c r="AW13" s="99">
        <v>15</v>
      </c>
      <c r="AX13" s="7" t="e">
        <f>+AW13/#REF!</f>
        <v>#REF!</v>
      </c>
      <c r="AY13" s="99">
        <v>6108</v>
      </c>
      <c r="AZ13" s="112">
        <f>AU13*2</f>
        <v>36</v>
      </c>
      <c r="BA13" s="97" t="e">
        <f>+AZ13/#REF!</f>
        <v>#REF!</v>
      </c>
      <c r="BB13" s="113">
        <v>71</v>
      </c>
      <c r="BC13" s="6" t="e">
        <f>+BB13/#REF!</f>
        <v>#REF!</v>
      </c>
      <c r="BD13" s="99">
        <v>17</v>
      </c>
      <c r="BE13" s="7" t="e">
        <f>+BD13/#REF!</f>
        <v>#REF!</v>
      </c>
      <c r="BF13" s="99">
        <v>5692</v>
      </c>
      <c r="BG13" s="99">
        <f>BB13*2</f>
        <v>142</v>
      </c>
      <c r="BH13" s="8" t="e">
        <f>+BG13/#REF!</f>
        <v>#REF!</v>
      </c>
      <c r="BI13" s="113">
        <v>15</v>
      </c>
      <c r="BJ13" s="6" t="e">
        <f>+BI13/#REF!</f>
        <v>#REF!</v>
      </c>
      <c r="BK13" s="99">
        <v>15</v>
      </c>
      <c r="BL13" s="7" t="e">
        <f>+BK13/#REF!</f>
        <v>#REF!</v>
      </c>
      <c r="BM13" s="99">
        <v>6108</v>
      </c>
      <c r="BN13" s="99">
        <f>BI13*2</f>
        <v>30</v>
      </c>
      <c r="BO13" s="8" t="e">
        <f>+BN13/#REF!</f>
        <v>#REF!</v>
      </c>
      <c r="BP13" s="113">
        <v>78</v>
      </c>
      <c r="BQ13" s="6" t="e">
        <f>+BP13/#REF!</f>
        <v>#REF!</v>
      </c>
      <c r="BR13" s="99">
        <v>19</v>
      </c>
      <c r="BS13" s="7" t="e">
        <f>+BR13/#REF!</f>
        <v>#REF!</v>
      </c>
      <c r="BT13" s="99">
        <v>6320</v>
      </c>
      <c r="BU13" s="99">
        <f>BP13*2</f>
        <v>156</v>
      </c>
      <c r="BV13" s="8" t="e">
        <f>+BU13/#REF!</f>
        <v>#REF!</v>
      </c>
      <c r="BW13" s="113">
        <v>25</v>
      </c>
      <c r="BX13" s="6" t="e">
        <f>+BW13/#REF!</f>
        <v>#REF!</v>
      </c>
      <c r="BY13" s="99">
        <v>23</v>
      </c>
      <c r="BZ13" s="7" t="e">
        <f>+BY13/#REF!</f>
        <v>#REF!</v>
      </c>
      <c r="CA13" s="99">
        <v>5184</v>
      </c>
      <c r="CB13" s="92">
        <f>BW13*2</f>
        <v>50</v>
      </c>
      <c r="CC13" s="8" t="e">
        <f>+CB13/#REF!</f>
        <v>#REF!</v>
      </c>
      <c r="CD13" s="113">
        <v>63</v>
      </c>
      <c r="CE13" s="6" t="e">
        <f>+CD13/#REF!</f>
        <v>#REF!</v>
      </c>
      <c r="CF13" s="99">
        <v>18</v>
      </c>
      <c r="CG13" s="7" t="e">
        <f>+CF13/#REF!</f>
        <v>#REF!</v>
      </c>
      <c r="CH13" s="99">
        <v>5449</v>
      </c>
      <c r="CI13" s="99">
        <f>CD13*2</f>
        <v>126</v>
      </c>
      <c r="CJ13" s="8" t="e">
        <f>+CI13/#REF!</f>
        <v>#REF!</v>
      </c>
      <c r="CK13" s="98">
        <v>26</v>
      </c>
      <c r="CL13" s="6" t="e">
        <f>+CK13/#REF!</f>
        <v>#REF!</v>
      </c>
      <c r="CM13" s="92">
        <v>18</v>
      </c>
      <c r="CN13" s="100" t="e">
        <f>+CM13/#REF!</f>
        <v>#REF!</v>
      </c>
      <c r="CO13" s="113">
        <v>9146</v>
      </c>
      <c r="CP13" s="115">
        <f>CK13*3</f>
        <v>78</v>
      </c>
      <c r="CQ13" s="8" t="e">
        <f>+CP13/#REF!</f>
        <v>#REF!</v>
      </c>
      <c r="CR13" s="113">
        <v>99</v>
      </c>
      <c r="CS13" s="6" t="e">
        <f>+CR13/#REF!</f>
        <v>#REF!</v>
      </c>
      <c r="CT13" s="99">
        <v>29</v>
      </c>
      <c r="CU13" s="7" t="e">
        <f>+CT13/#REF!</f>
        <v>#REF!</v>
      </c>
      <c r="CV13" s="99">
        <v>7187</v>
      </c>
      <c r="CW13" s="92">
        <f>CR13*2</f>
        <v>198</v>
      </c>
      <c r="CX13" s="8" t="e">
        <f>+CW13/#REF!</f>
        <v>#REF!</v>
      </c>
      <c r="CY13" s="98">
        <v>7</v>
      </c>
      <c r="CZ13" s="6" t="e">
        <f>+CY13/#REF!</f>
        <v>#REF!</v>
      </c>
      <c r="DA13" s="92">
        <v>5</v>
      </c>
      <c r="DB13" s="7" t="e">
        <f>+DA13/#REF!</f>
        <v>#REF!</v>
      </c>
      <c r="DC13" s="111">
        <v>6165</v>
      </c>
      <c r="DD13" s="99">
        <f t="shared" si="3"/>
        <v>14</v>
      </c>
      <c r="DE13" s="8" t="e">
        <f>+DD13/#REF!</f>
        <v>#REF!</v>
      </c>
      <c r="DF13" s="113">
        <v>30</v>
      </c>
      <c r="DG13" s="6" t="e">
        <f>+DF13/#REF!</f>
        <v>#REF!</v>
      </c>
      <c r="DH13" s="99">
        <v>12</v>
      </c>
      <c r="DI13" s="7" t="e">
        <f>+DH13/#REF!</f>
        <v>#REF!</v>
      </c>
      <c r="DJ13" s="99">
        <v>5617</v>
      </c>
      <c r="DK13" s="92">
        <f>DF13*2</f>
        <v>60</v>
      </c>
      <c r="DL13" s="8" t="e">
        <f>+DK13/#REF!</f>
        <v>#REF!</v>
      </c>
      <c r="DM13" s="98">
        <v>23</v>
      </c>
      <c r="DN13" s="6" t="e">
        <f>+DM13/#REF!</f>
        <v>#REF!</v>
      </c>
      <c r="DO13" s="92">
        <v>21</v>
      </c>
      <c r="DP13" s="100" t="e">
        <f>+DO13/#REF!</f>
        <v>#REF!</v>
      </c>
      <c r="DQ13" s="113">
        <v>7573</v>
      </c>
      <c r="DR13" s="115">
        <f>DM13*2</f>
        <v>46</v>
      </c>
      <c r="DS13" s="8" t="e">
        <f>+DR13/#REF!</f>
        <v>#REF!</v>
      </c>
      <c r="DT13" s="113">
        <v>39</v>
      </c>
      <c r="DU13" s="6" t="e">
        <f>+DT13/#REF!</f>
        <v>#REF!</v>
      </c>
      <c r="DV13" s="99">
        <v>12</v>
      </c>
      <c r="DW13" s="7" t="e">
        <f>+DV13/#REF!</f>
        <v>#REF!</v>
      </c>
      <c r="DX13" s="99">
        <v>5939</v>
      </c>
      <c r="DY13" s="92">
        <f>DT13*2</f>
        <v>78</v>
      </c>
      <c r="DZ13" s="8" t="e">
        <f>+DY13/#REF!</f>
        <v>#REF!</v>
      </c>
      <c r="EA13" s="98">
        <v>2</v>
      </c>
      <c r="EB13" s="6" t="e">
        <f>+EA13/#REF!</f>
        <v>#REF!</v>
      </c>
      <c r="EC13" s="92">
        <v>2</v>
      </c>
      <c r="ED13" s="100" t="e">
        <f>+EC13/#REF!</f>
        <v>#REF!</v>
      </c>
      <c r="EE13" s="113"/>
      <c r="EF13" s="115">
        <f>EA13*2</f>
        <v>4</v>
      </c>
      <c r="EG13" s="8" t="e">
        <f>+EF13/#REF!</f>
        <v>#REF!</v>
      </c>
      <c r="EH13" s="113">
        <v>13</v>
      </c>
      <c r="EI13" s="6" t="e">
        <f>+EH13/#REF!</f>
        <v>#REF!</v>
      </c>
      <c r="EJ13" s="99">
        <v>5</v>
      </c>
      <c r="EK13" s="7" t="e">
        <f>+EJ13/#REF!</f>
        <v>#REF!</v>
      </c>
      <c r="EL13" s="99"/>
      <c r="EM13" s="92"/>
      <c r="EN13" s="8" t="e">
        <f>+EM13/#REF!</f>
        <v>#REF!</v>
      </c>
    </row>
    <row r="14" spans="2:149" s="1" customFormat="1" ht="16.95" customHeight="1">
      <c r="B14" s="104" t="s">
        <v>74</v>
      </c>
      <c r="C14" s="18"/>
      <c r="D14" s="19"/>
      <c r="E14" s="19" t="s">
        <v>65</v>
      </c>
      <c r="F14" s="23"/>
      <c r="G14" s="19"/>
      <c r="H14" s="20"/>
      <c r="I14" s="19"/>
      <c r="J14" s="24"/>
      <c r="K14" s="105">
        <v>35</v>
      </c>
      <c r="L14" s="106">
        <v>65</v>
      </c>
      <c r="M14" s="107">
        <v>70</v>
      </c>
      <c r="N14" s="108">
        <v>30</v>
      </c>
      <c r="O14" s="108"/>
      <c r="P14" s="108">
        <v>10</v>
      </c>
      <c r="Q14" s="108">
        <v>20</v>
      </c>
      <c r="R14" s="108">
        <v>40</v>
      </c>
      <c r="S14" s="108">
        <v>10</v>
      </c>
      <c r="T14" s="109">
        <v>20</v>
      </c>
      <c r="U14" s="109">
        <v>15</v>
      </c>
      <c r="V14" s="89">
        <f t="shared" si="1"/>
        <v>3.5833333333333335</v>
      </c>
      <c r="W14" s="110" t="s">
        <v>75</v>
      </c>
      <c r="X14" s="63" t="s">
        <v>65</v>
      </c>
      <c r="Y14" s="108" t="s">
        <v>65</v>
      </c>
      <c r="Z14" s="108"/>
      <c r="AA14" s="108"/>
      <c r="AB14" s="109"/>
      <c r="AC14" s="108" t="s">
        <v>65</v>
      </c>
      <c r="AD14" s="108" t="s">
        <v>65</v>
      </c>
      <c r="AE14" s="109"/>
      <c r="AF14" s="109" t="s">
        <v>65</v>
      </c>
      <c r="AG14" s="111">
        <v>15</v>
      </c>
      <c r="AH14" s="6" t="e">
        <f>+AG14/#REF!</f>
        <v>#REF!</v>
      </c>
      <c r="AI14" s="99">
        <v>15</v>
      </c>
      <c r="AJ14" s="7" t="e">
        <f>+AI14/#REF!</f>
        <v>#REF!</v>
      </c>
      <c r="AK14" s="99">
        <v>5785</v>
      </c>
      <c r="AL14" s="112">
        <f>AG14*2</f>
        <v>30</v>
      </c>
      <c r="AM14" s="97" t="e">
        <f>+AL14/#REF!</f>
        <v>#REF!</v>
      </c>
      <c r="AN14" s="113"/>
      <c r="AO14" s="6" t="e">
        <f>+AN14/#REF!</f>
        <v>#REF!</v>
      </c>
      <c r="AP14" s="99"/>
      <c r="AQ14" s="7" t="e">
        <f>+AP14/#REF!</f>
        <v>#REF!</v>
      </c>
      <c r="AR14" s="99"/>
      <c r="AS14" s="99"/>
      <c r="AT14" s="97" t="e">
        <f>+AS14/#REF!</f>
        <v>#REF!</v>
      </c>
      <c r="AU14" s="113"/>
      <c r="AV14" s="6" t="e">
        <f>+AU14/#REF!</f>
        <v>#REF!</v>
      </c>
      <c r="AW14" s="99"/>
      <c r="AX14" s="7" t="e">
        <f>+AW14/#REF!</f>
        <v>#REF!</v>
      </c>
      <c r="AY14" s="99"/>
      <c r="AZ14" s="112"/>
      <c r="BA14" s="97" t="e">
        <f>+AZ14/#REF!</f>
        <v>#REF!</v>
      </c>
      <c r="BB14" s="113"/>
      <c r="BC14" s="6" t="e">
        <f>+BB14/#REF!</f>
        <v>#REF!</v>
      </c>
      <c r="BD14" s="99"/>
      <c r="BE14" s="7" t="e">
        <f>+BD14/#REF!</f>
        <v>#REF!</v>
      </c>
      <c r="BF14" s="99"/>
      <c r="BG14" s="99"/>
      <c r="BH14" s="8" t="e">
        <f>+BG14/#REF!</f>
        <v>#REF!</v>
      </c>
      <c r="BI14" s="113"/>
      <c r="BJ14" s="6" t="e">
        <f>+BI14/#REF!</f>
        <v>#REF!</v>
      </c>
      <c r="BK14" s="99"/>
      <c r="BL14" s="7" t="e">
        <f>+BK14/#REF!</f>
        <v>#REF!</v>
      </c>
      <c r="BM14" s="99"/>
      <c r="BN14" s="99"/>
      <c r="BO14" s="8" t="e">
        <f>+BN14/#REF!</f>
        <v>#REF!</v>
      </c>
      <c r="BP14" s="113"/>
      <c r="BQ14" s="6" t="e">
        <f>+BP14/#REF!</f>
        <v>#REF!</v>
      </c>
      <c r="BR14" s="99"/>
      <c r="BS14" s="7" t="e">
        <f>+BR14/#REF!</f>
        <v>#REF!</v>
      </c>
      <c r="BT14" s="99"/>
      <c r="BU14" s="99"/>
      <c r="BV14" s="8" t="e">
        <f>+BU14/#REF!</f>
        <v>#REF!</v>
      </c>
      <c r="BW14" s="113"/>
      <c r="BX14" s="6" t="e">
        <f>+BW14/#REF!</f>
        <v>#REF!</v>
      </c>
      <c r="BY14" s="99"/>
      <c r="BZ14" s="7" t="e">
        <f>+BY14/#REF!</f>
        <v>#REF!</v>
      </c>
      <c r="CA14" s="99"/>
      <c r="CB14" s="99"/>
      <c r="CC14" s="8" t="e">
        <f>+CB14/#REF!</f>
        <v>#REF!</v>
      </c>
      <c r="CD14" s="113"/>
      <c r="CE14" s="6" t="e">
        <f>+CD14/#REF!</f>
        <v>#REF!</v>
      </c>
      <c r="CF14" s="99"/>
      <c r="CG14" s="7" t="e">
        <f>+CF14/#REF!</f>
        <v>#REF!</v>
      </c>
      <c r="CH14" s="99"/>
      <c r="CI14" s="99"/>
      <c r="CJ14" s="8" t="e">
        <f>+CI14/#REF!</f>
        <v>#REF!</v>
      </c>
      <c r="CK14" s="113"/>
      <c r="CL14" s="6" t="e">
        <f>+CK14/#REF!</f>
        <v>#REF!</v>
      </c>
      <c r="CM14" s="99"/>
      <c r="CN14" s="100" t="e">
        <f>+CM14/#REF!</f>
        <v>#REF!</v>
      </c>
      <c r="CO14" s="113"/>
      <c r="CP14" s="115"/>
      <c r="CQ14" s="8" t="e">
        <f>+CP14/#REF!</f>
        <v>#REF!</v>
      </c>
      <c r="CR14" s="113"/>
      <c r="CS14" s="6" t="e">
        <f>+CR14/#REF!</f>
        <v>#REF!</v>
      </c>
      <c r="CT14" s="99"/>
      <c r="CU14" s="7" t="e">
        <f>+CT14/#REF!</f>
        <v>#REF!</v>
      </c>
      <c r="CV14" s="99"/>
      <c r="CW14" s="92"/>
      <c r="CX14" s="8" t="e">
        <f>+CW14/#REF!</f>
        <v>#REF!</v>
      </c>
      <c r="CY14" s="113"/>
      <c r="CZ14" s="6" t="e">
        <f>+CY14/#REF!</f>
        <v>#REF!</v>
      </c>
      <c r="DA14" s="99"/>
      <c r="DB14" s="7" t="e">
        <f>+DA14/#REF!</f>
        <v>#REF!</v>
      </c>
      <c r="DC14" s="111"/>
      <c r="DD14" s="99"/>
      <c r="DE14" s="8" t="e">
        <f>+DD14/#REF!</f>
        <v>#REF!</v>
      </c>
      <c r="DF14" s="113"/>
      <c r="DG14" s="6" t="e">
        <f>+DF14/#REF!</f>
        <v>#REF!</v>
      </c>
      <c r="DH14" s="99"/>
      <c r="DI14" s="7" t="e">
        <f>+DH14/#REF!</f>
        <v>#REF!</v>
      </c>
      <c r="DJ14" s="99"/>
      <c r="DK14" s="92"/>
      <c r="DL14" s="8" t="e">
        <f>+DK14/#REF!</f>
        <v>#REF!</v>
      </c>
      <c r="DM14" s="113"/>
      <c r="DN14" s="6" t="e">
        <f>+DM14/#REF!</f>
        <v>#REF!</v>
      </c>
      <c r="DO14" s="99"/>
      <c r="DP14" s="100" t="e">
        <f>+DO14/#REF!</f>
        <v>#REF!</v>
      </c>
      <c r="DQ14" s="113"/>
      <c r="DR14" s="115"/>
      <c r="DS14" s="8" t="e">
        <f>+DR14/#REF!</f>
        <v>#REF!</v>
      </c>
      <c r="DT14" s="113"/>
      <c r="DU14" s="6" t="e">
        <f>+DT14/#REF!</f>
        <v>#REF!</v>
      </c>
      <c r="DV14" s="99"/>
      <c r="DW14" s="7" t="e">
        <f>+DV14/#REF!</f>
        <v>#REF!</v>
      </c>
      <c r="DX14" s="99"/>
      <c r="DY14" s="92"/>
      <c r="DZ14" s="8" t="e">
        <f>+DY14/#REF!</f>
        <v>#REF!</v>
      </c>
      <c r="EA14" s="113"/>
      <c r="EB14" s="6" t="e">
        <f>+EA14/#REF!</f>
        <v>#REF!</v>
      </c>
      <c r="EC14" s="99"/>
      <c r="ED14" s="100" t="e">
        <f>+EC14/#REF!</f>
        <v>#REF!</v>
      </c>
      <c r="EE14" s="113"/>
      <c r="EF14" s="115"/>
      <c r="EG14" s="8" t="e">
        <f>+EF14/#REF!</f>
        <v>#REF!</v>
      </c>
      <c r="EH14" s="113"/>
      <c r="EI14" s="6" t="e">
        <f>+EH14/#REF!</f>
        <v>#REF!</v>
      </c>
      <c r="EJ14" s="99"/>
      <c r="EK14" s="7" t="e">
        <f>+EJ14/#REF!</f>
        <v>#REF!</v>
      </c>
      <c r="EL14" s="99"/>
      <c r="EM14" s="92"/>
      <c r="EN14" s="8" t="e">
        <f>+EM14/#REF!</f>
        <v>#REF!</v>
      </c>
    </row>
    <row r="15" spans="2:149" s="1" customFormat="1" ht="16.95" customHeight="1">
      <c r="B15" s="104" t="s">
        <v>76</v>
      </c>
      <c r="C15" s="18"/>
      <c r="D15" s="19"/>
      <c r="E15" s="19" t="s">
        <v>65</v>
      </c>
      <c r="F15" s="23"/>
      <c r="G15" s="19"/>
      <c r="H15" s="20"/>
      <c r="I15" s="19"/>
      <c r="J15" s="25"/>
      <c r="K15" s="105">
        <v>20</v>
      </c>
      <c r="L15" s="106">
        <v>80</v>
      </c>
      <c r="M15" s="107">
        <v>60</v>
      </c>
      <c r="N15" s="108">
        <v>30</v>
      </c>
      <c r="O15" s="108"/>
      <c r="P15" s="108">
        <v>10</v>
      </c>
      <c r="Q15" s="108">
        <v>10</v>
      </c>
      <c r="R15" s="108">
        <v>30</v>
      </c>
      <c r="S15" s="108">
        <v>10</v>
      </c>
      <c r="T15" s="109">
        <v>20</v>
      </c>
      <c r="U15" s="109">
        <v>15</v>
      </c>
      <c r="V15" s="89">
        <f t="shared" si="1"/>
        <v>3.0833333333333335</v>
      </c>
      <c r="W15" s="110" t="s">
        <v>77</v>
      </c>
      <c r="X15" s="63" t="s">
        <v>65</v>
      </c>
      <c r="Y15" s="108" t="s">
        <v>65</v>
      </c>
      <c r="Z15" s="109"/>
      <c r="AA15" s="108" t="s">
        <v>65</v>
      </c>
      <c r="AB15" s="108"/>
      <c r="AC15" s="109"/>
      <c r="AD15" s="108" t="s">
        <v>65</v>
      </c>
      <c r="AE15" s="108"/>
      <c r="AF15" s="64" t="s">
        <v>65</v>
      </c>
      <c r="AG15" s="111"/>
      <c r="AH15" s="6" t="e">
        <f>+AG15/#REF!</f>
        <v>#REF!</v>
      </c>
      <c r="AI15" s="99"/>
      <c r="AJ15" s="7" t="e">
        <f>+AI15/#REF!</f>
        <v>#REF!</v>
      </c>
      <c r="AK15" s="99"/>
      <c r="AL15" s="112"/>
      <c r="AM15" s="97" t="e">
        <f>+AL15/#REF!</f>
        <v>#REF!</v>
      </c>
      <c r="AN15" s="113"/>
      <c r="AO15" s="6" t="e">
        <f>+AN15/#REF!</f>
        <v>#REF!</v>
      </c>
      <c r="AP15" s="99"/>
      <c r="AQ15" s="7" t="e">
        <f>+AP15/#REF!</f>
        <v>#REF!</v>
      </c>
      <c r="AR15" s="99"/>
      <c r="AS15" s="99"/>
      <c r="AT15" s="97" t="e">
        <f>+AS15/#REF!</f>
        <v>#REF!</v>
      </c>
      <c r="AU15" s="113"/>
      <c r="AV15" s="6" t="e">
        <f>+AU15/#REF!</f>
        <v>#REF!</v>
      </c>
      <c r="AW15" s="99"/>
      <c r="AX15" s="7" t="e">
        <f>+AW15/#REF!</f>
        <v>#REF!</v>
      </c>
      <c r="AY15" s="99"/>
      <c r="AZ15" s="112"/>
      <c r="BA15" s="97" t="e">
        <f>+AZ15/#REF!</f>
        <v>#REF!</v>
      </c>
      <c r="BB15" s="113"/>
      <c r="BC15" s="6" t="e">
        <f>+BB15/#REF!</f>
        <v>#REF!</v>
      </c>
      <c r="BD15" s="99"/>
      <c r="BE15" s="7" t="e">
        <f>+BD15/#REF!</f>
        <v>#REF!</v>
      </c>
      <c r="BF15" s="99"/>
      <c r="BG15" s="99"/>
      <c r="BH15" s="8" t="e">
        <f>+BG15/#REF!</f>
        <v>#REF!</v>
      </c>
      <c r="BI15" s="113">
        <v>1</v>
      </c>
      <c r="BJ15" s="6" t="e">
        <f>+BI15/#REF!</f>
        <v>#REF!</v>
      </c>
      <c r="BK15" s="99">
        <v>1</v>
      </c>
      <c r="BL15" s="7" t="e">
        <f>+BK15/#REF!</f>
        <v>#REF!</v>
      </c>
      <c r="BM15" s="99"/>
      <c r="BN15" s="99"/>
      <c r="BO15" s="8" t="e">
        <f>+BN15/#REF!</f>
        <v>#REF!</v>
      </c>
      <c r="BP15" s="113"/>
      <c r="BQ15" s="6" t="e">
        <f>+BP15/#REF!</f>
        <v>#REF!</v>
      </c>
      <c r="BR15" s="99"/>
      <c r="BS15" s="7" t="e">
        <f>+BR15/#REF!</f>
        <v>#REF!</v>
      </c>
      <c r="BT15" s="99"/>
      <c r="BU15" s="99"/>
      <c r="BV15" s="8" t="e">
        <f>+BU15/#REF!</f>
        <v>#REF!</v>
      </c>
      <c r="BW15" s="113"/>
      <c r="BX15" s="6" t="e">
        <f>+BW15/#REF!</f>
        <v>#REF!</v>
      </c>
      <c r="BY15" s="99"/>
      <c r="BZ15" s="7" t="e">
        <f>+BY15/#REF!</f>
        <v>#REF!</v>
      </c>
      <c r="CA15" s="99"/>
      <c r="CB15" s="99"/>
      <c r="CC15" s="8" t="e">
        <f>+CB15/#REF!</f>
        <v>#REF!</v>
      </c>
      <c r="CD15" s="113"/>
      <c r="CE15" s="6" t="e">
        <f>+CD15/#REF!</f>
        <v>#REF!</v>
      </c>
      <c r="CF15" s="99"/>
      <c r="CG15" s="7" t="e">
        <f>+CF15/#REF!</f>
        <v>#REF!</v>
      </c>
      <c r="CH15" s="99"/>
      <c r="CI15" s="99"/>
      <c r="CJ15" s="8" t="e">
        <f>+CI15/#REF!</f>
        <v>#REF!</v>
      </c>
      <c r="CK15" s="113"/>
      <c r="CL15" s="6" t="e">
        <f>+CK15/#REF!</f>
        <v>#REF!</v>
      </c>
      <c r="CM15" s="99"/>
      <c r="CN15" s="100" t="e">
        <f>+CM15/#REF!</f>
        <v>#REF!</v>
      </c>
      <c r="CO15" s="113"/>
      <c r="CP15" s="115"/>
      <c r="CQ15" s="8" t="e">
        <f>+CP15/#REF!</f>
        <v>#REF!</v>
      </c>
      <c r="CR15" s="113"/>
      <c r="CS15" s="6" t="e">
        <f>+CR15/#REF!</f>
        <v>#REF!</v>
      </c>
      <c r="CT15" s="99"/>
      <c r="CU15" s="7" t="e">
        <f>+CT15/#REF!</f>
        <v>#REF!</v>
      </c>
      <c r="CV15" s="99"/>
      <c r="CW15" s="92"/>
      <c r="CX15" s="8" t="e">
        <f>+CW15/#REF!</f>
        <v>#REF!</v>
      </c>
      <c r="CY15" s="113"/>
      <c r="CZ15" s="6" t="e">
        <f>+CY15/#REF!</f>
        <v>#REF!</v>
      </c>
      <c r="DA15" s="99"/>
      <c r="DB15" s="7" t="e">
        <f>+DA15/#REF!</f>
        <v>#REF!</v>
      </c>
      <c r="DC15" s="111"/>
      <c r="DD15" s="99"/>
      <c r="DE15" s="8" t="e">
        <f>+DD15/#REF!</f>
        <v>#REF!</v>
      </c>
      <c r="DF15" s="113"/>
      <c r="DG15" s="6" t="e">
        <f>+DF15/#REF!</f>
        <v>#REF!</v>
      </c>
      <c r="DH15" s="99"/>
      <c r="DI15" s="7" t="e">
        <f>+DH15/#REF!</f>
        <v>#REF!</v>
      </c>
      <c r="DJ15" s="99"/>
      <c r="DK15" s="92"/>
      <c r="DL15" s="8" t="e">
        <f>+DK15/#REF!</f>
        <v>#REF!</v>
      </c>
      <c r="DM15" s="113"/>
      <c r="DN15" s="6" t="e">
        <f>+DM15/#REF!</f>
        <v>#REF!</v>
      </c>
      <c r="DO15" s="99"/>
      <c r="DP15" s="100" t="e">
        <f>+DO15/#REF!</f>
        <v>#REF!</v>
      </c>
      <c r="DQ15" s="113"/>
      <c r="DR15" s="115"/>
      <c r="DS15" s="8" t="e">
        <f>+DR15/#REF!</f>
        <v>#REF!</v>
      </c>
      <c r="DT15" s="113"/>
      <c r="DU15" s="6" t="e">
        <f>+DT15/#REF!</f>
        <v>#REF!</v>
      </c>
      <c r="DV15" s="99"/>
      <c r="DW15" s="7" t="e">
        <f>+DV15/#REF!</f>
        <v>#REF!</v>
      </c>
      <c r="DX15" s="99"/>
      <c r="DY15" s="92"/>
      <c r="DZ15" s="8" t="e">
        <f>+DY15/#REF!</f>
        <v>#REF!</v>
      </c>
      <c r="EA15" s="113"/>
      <c r="EB15" s="6" t="e">
        <f>+EA15/#REF!</f>
        <v>#REF!</v>
      </c>
      <c r="EC15" s="99"/>
      <c r="ED15" s="100" t="e">
        <f>+EC15/#REF!</f>
        <v>#REF!</v>
      </c>
      <c r="EE15" s="113"/>
      <c r="EF15" s="115"/>
      <c r="EG15" s="8" t="e">
        <f>+EF15/#REF!</f>
        <v>#REF!</v>
      </c>
      <c r="EH15" s="113"/>
      <c r="EI15" s="6" t="e">
        <f>+EH15/#REF!</f>
        <v>#REF!</v>
      </c>
      <c r="EJ15" s="99"/>
      <c r="EK15" s="7" t="e">
        <f>+EJ15/#REF!</f>
        <v>#REF!</v>
      </c>
      <c r="EL15" s="99"/>
      <c r="EM15" s="92"/>
      <c r="EN15" s="8" t="e">
        <f>+EM15/#REF!</f>
        <v>#REF!</v>
      </c>
    </row>
    <row r="16" spans="2:149" s="1" customFormat="1" ht="16.95" customHeight="1">
      <c r="B16" s="104" t="s">
        <v>78</v>
      </c>
      <c r="C16" s="18"/>
      <c r="D16" s="19"/>
      <c r="E16" s="19" t="s">
        <v>65</v>
      </c>
      <c r="F16" s="23"/>
      <c r="G16" s="19"/>
      <c r="H16" s="20"/>
      <c r="I16" s="19"/>
      <c r="J16" s="25"/>
      <c r="K16" s="84">
        <v>30</v>
      </c>
      <c r="L16" s="85">
        <v>70</v>
      </c>
      <c r="M16" s="86">
        <v>40</v>
      </c>
      <c r="N16" s="87">
        <v>40</v>
      </c>
      <c r="O16" s="87">
        <v>30</v>
      </c>
      <c r="P16" s="87">
        <v>20</v>
      </c>
      <c r="Q16" s="87">
        <v>20</v>
      </c>
      <c r="R16" s="87">
        <v>30</v>
      </c>
      <c r="S16" s="87">
        <v>50</v>
      </c>
      <c r="T16" s="109"/>
      <c r="U16" s="109"/>
      <c r="V16" s="89">
        <f t="shared" si="1"/>
        <v>3.8333333333333335</v>
      </c>
      <c r="W16" s="110" t="s">
        <v>77</v>
      </c>
      <c r="X16" s="105" t="s">
        <v>65</v>
      </c>
      <c r="Y16" s="108" t="s">
        <v>65</v>
      </c>
      <c r="Z16" s="108"/>
      <c r="AA16" s="108" t="s">
        <v>65</v>
      </c>
      <c r="AB16" s="108"/>
      <c r="AC16" s="109"/>
      <c r="AD16" s="108"/>
      <c r="AE16" s="108"/>
      <c r="AF16" s="64"/>
      <c r="AG16" s="111"/>
      <c r="AH16" s="6" t="e">
        <f>+AG16/#REF!</f>
        <v>#REF!</v>
      </c>
      <c r="AI16" s="99"/>
      <c r="AJ16" s="7" t="e">
        <f>+AI16/#REF!</f>
        <v>#REF!</v>
      </c>
      <c r="AK16" s="99"/>
      <c r="AL16" s="112"/>
      <c r="AM16" s="97" t="e">
        <f>+AL16/#REF!</f>
        <v>#REF!</v>
      </c>
      <c r="AN16" s="113"/>
      <c r="AO16" s="6" t="e">
        <f>+AN16/#REF!</f>
        <v>#REF!</v>
      </c>
      <c r="AP16" s="99"/>
      <c r="AQ16" s="7" t="e">
        <f>+AP16/#REF!</f>
        <v>#REF!</v>
      </c>
      <c r="AR16" s="99"/>
      <c r="AS16" s="99"/>
      <c r="AT16" s="97" t="e">
        <f>+AS16/#REF!</f>
        <v>#REF!</v>
      </c>
      <c r="AU16" s="113"/>
      <c r="AV16" s="6" t="e">
        <f>+AU16/#REF!</f>
        <v>#REF!</v>
      </c>
      <c r="AW16" s="99"/>
      <c r="AX16" s="7" t="e">
        <f>+AW16/#REF!</f>
        <v>#REF!</v>
      </c>
      <c r="AY16" s="99"/>
      <c r="AZ16" s="112"/>
      <c r="BA16" s="97" t="e">
        <f>+AZ16/#REF!</f>
        <v>#REF!</v>
      </c>
      <c r="BB16" s="113"/>
      <c r="BC16" s="6" t="e">
        <f>+BB16/#REF!</f>
        <v>#REF!</v>
      </c>
      <c r="BD16" s="99"/>
      <c r="BE16" s="7" t="e">
        <f>+BD16/#REF!</f>
        <v>#REF!</v>
      </c>
      <c r="BF16" s="99"/>
      <c r="BG16" s="99"/>
      <c r="BH16" s="8" t="e">
        <f>+BG16/#REF!</f>
        <v>#REF!</v>
      </c>
      <c r="BI16" s="113"/>
      <c r="BJ16" s="6" t="e">
        <f>+BI16/#REF!</f>
        <v>#REF!</v>
      </c>
      <c r="BK16" s="99"/>
      <c r="BL16" s="7" t="e">
        <f>+BK16/#REF!</f>
        <v>#REF!</v>
      </c>
      <c r="BM16" s="99"/>
      <c r="BN16" s="99"/>
      <c r="BO16" s="8" t="e">
        <f>+BN16/#REF!</f>
        <v>#REF!</v>
      </c>
      <c r="BP16" s="113"/>
      <c r="BQ16" s="6" t="e">
        <f>+BP16/#REF!</f>
        <v>#REF!</v>
      </c>
      <c r="BR16" s="99"/>
      <c r="BS16" s="7" t="e">
        <f>+BR16/#REF!</f>
        <v>#REF!</v>
      </c>
      <c r="BT16" s="99"/>
      <c r="BU16" s="99"/>
      <c r="BV16" s="8" t="e">
        <f>+BU16/#REF!</f>
        <v>#REF!</v>
      </c>
      <c r="BW16" s="113"/>
      <c r="BX16" s="6" t="e">
        <f>+BW16/#REF!</f>
        <v>#REF!</v>
      </c>
      <c r="BY16" s="99"/>
      <c r="BZ16" s="7" t="e">
        <f>+BY16/#REF!</f>
        <v>#REF!</v>
      </c>
      <c r="CA16" s="99"/>
      <c r="CB16" s="99"/>
      <c r="CC16" s="8" t="e">
        <f>+CB16/#REF!</f>
        <v>#REF!</v>
      </c>
      <c r="CD16" s="113"/>
      <c r="CE16" s="6" t="e">
        <f>+CD16/#REF!</f>
        <v>#REF!</v>
      </c>
      <c r="CF16" s="99"/>
      <c r="CG16" s="7" t="e">
        <f>+CF16/#REF!</f>
        <v>#REF!</v>
      </c>
      <c r="CH16" s="99"/>
      <c r="CI16" s="99"/>
      <c r="CJ16" s="8" t="e">
        <f>+CI16/#REF!</f>
        <v>#REF!</v>
      </c>
      <c r="CK16" s="113"/>
      <c r="CL16" s="6" t="e">
        <f>+CK16/#REF!</f>
        <v>#REF!</v>
      </c>
      <c r="CM16" s="99"/>
      <c r="CN16" s="100" t="e">
        <f>+CM16/#REF!</f>
        <v>#REF!</v>
      </c>
      <c r="CO16" s="113"/>
      <c r="CP16" s="115"/>
      <c r="CQ16" s="8" t="e">
        <f>+CP16/#REF!</f>
        <v>#REF!</v>
      </c>
      <c r="CR16" s="113"/>
      <c r="CS16" s="6" t="e">
        <f>+CR16/#REF!</f>
        <v>#REF!</v>
      </c>
      <c r="CT16" s="99"/>
      <c r="CU16" s="7" t="e">
        <f>+CT16/#REF!</f>
        <v>#REF!</v>
      </c>
      <c r="CV16" s="99"/>
      <c r="CW16" s="92"/>
      <c r="CX16" s="8" t="e">
        <f>+CW16/#REF!</f>
        <v>#REF!</v>
      </c>
      <c r="CY16" s="113"/>
      <c r="CZ16" s="6" t="e">
        <f>+CY16/#REF!</f>
        <v>#REF!</v>
      </c>
      <c r="DA16" s="99"/>
      <c r="DB16" s="7" t="e">
        <f>+DA16/#REF!</f>
        <v>#REF!</v>
      </c>
      <c r="DC16" s="111"/>
      <c r="DD16" s="99"/>
      <c r="DE16" s="8" t="e">
        <f>+DD16/#REF!</f>
        <v>#REF!</v>
      </c>
      <c r="DF16" s="113"/>
      <c r="DG16" s="6" t="e">
        <f>+DF16/#REF!</f>
        <v>#REF!</v>
      </c>
      <c r="DH16" s="99"/>
      <c r="DI16" s="7" t="e">
        <f>+DH16/#REF!</f>
        <v>#REF!</v>
      </c>
      <c r="DJ16" s="99"/>
      <c r="DK16" s="92"/>
      <c r="DL16" s="8" t="e">
        <f>+DK16/#REF!</f>
        <v>#REF!</v>
      </c>
      <c r="DM16" s="113"/>
      <c r="DN16" s="6" t="e">
        <f>+DM16/#REF!</f>
        <v>#REF!</v>
      </c>
      <c r="DO16" s="99"/>
      <c r="DP16" s="100" t="e">
        <f>+DO16/#REF!</f>
        <v>#REF!</v>
      </c>
      <c r="DQ16" s="113"/>
      <c r="DR16" s="115"/>
      <c r="DS16" s="8" t="e">
        <f>+DR16/#REF!</f>
        <v>#REF!</v>
      </c>
      <c r="DT16" s="113"/>
      <c r="DU16" s="6" t="e">
        <f>+DT16/#REF!</f>
        <v>#REF!</v>
      </c>
      <c r="DV16" s="99"/>
      <c r="DW16" s="7" t="e">
        <f>+DV16/#REF!</f>
        <v>#REF!</v>
      </c>
      <c r="DX16" s="99"/>
      <c r="DY16" s="92"/>
      <c r="DZ16" s="8" t="e">
        <f>+DY16/#REF!</f>
        <v>#REF!</v>
      </c>
      <c r="EA16" s="113"/>
      <c r="EB16" s="6" t="e">
        <f>+EA16/#REF!</f>
        <v>#REF!</v>
      </c>
      <c r="EC16" s="99"/>
      <c r="ED16" s="100" t="e">
        <f>+EC16/#REF!</f>
        <v>#REF!</v>
      </c>
      <c r="EE16" s="113"/>
      <c r="EF16" s="115"/>
      <c r="EG16" s="8" t="e">
        <f>+EF16/#REF!</f>
        <v>#REF!</v>
      </c>
      <c r="EH16" s="113"/>
      <c r="EI16" s="6" t="e">
        <f>+EH16/#REF!</f>
        <v>#REF!</v>
      </c>
      <c r="EJ16" s="99"/>
      <c r="EK16" s="7" t="e">
        <f>+EJ16/#REF!</f>
        <v>#REF!</v>
      </c>
      <c r="EL16" s="99"/>
      <c r="EM16" s="92"/>
      <c r="EN16" s="8" t="e">
        <f>+EM16/#REF!</f>
        <v>#REF!</v>
      </c>
    </row>
    <row r="17" spans="2:169" s="1" customFormat="1" ht="16.95" customHeight="1">
      <c r="B17" s="104" t="s">
        <v>79</v>
      </c>
      <c r="C17" s="18" t="s">
        <v>65</v>
      </c>
      <c r="D17" s="19"/>
      <c r="E17" s="20"/>
      <c r="F17" s="19"/>
      <c r="G17" s="19"/>
      <c r="H17" s="20"/>
      <c r="I17" s="19"/>
      <c r="J17" s="25"/>
      <c r="K17" s="84">
        <v>30</v>
      </c>
      <c r="L17" s="85">
        <v>70</v>
      </c>
      <c r="M17" s="86">
        <v>40</v>
      </c>
      <c r="N17" s="87">
        <v>40</v>
      </c>
      <c r="O17" s="87">
        <v>30</v>
      </c>
      <c r="P17" s="87">
        <v>20</v>
      </c>
      <c r="Q17" s="87">
        <v>20</v>
      </c>
      <c r="R17" s="87">
        <v>30</v>
      </c>
      <c r="S17" s="87">
        <v>50</v>
      </c>
      <c r="T17" s="109"/>
      <c r="U17" s="109"/>
      <c r="V17" s="89">
        <f t="shared" si="1"/>
        <v>3.8333333333333335</v>
      </c>
      <c r="W17" s="110">
        <v>6</v>
      </c>
      <c r="X17" s="105" t="s">
        <v>65</v>
      </c>
      <c r="Y17" s="108" t="s">
        <v>65</v>
      </c>
      <c r="Z17" s="108"/>
      <c r="AA17" s="108" t="s">
        <v>65</v>
      </c>
      <c r="AB17" s="108"/>
      <c r="AC17" s="109"/>
      <c r="AD17" s="108"/>
      <c r="AE17" s="108"/>
      <c r="AF17" s="64"/>
      <c r="AG17" s="111"/>
      <c r="AH17" s="6" t="e">
        <f>+AG17/#REF!</f>
        <v>#REF!</v>
      </c>
      <c r="AI17" s="99"/>
      <c r="AJ17" s="7" t="e">
        <f>+AI17/#REF!</f>
        <v>#REF!</v>
      </c>
      <c r="AK17" s="99"/>
      <c r="AL17" s="112"/>
      <c r="AM17" s="97" t="e">
        <f>+AL17/#REF!</f>
        <v>#REF!</v>
      </c>
      <c r="AN17" s="113"/>
      <c r="AO17" s="6" t="e">
        <f>+AN17/#REF!</f>
        <v>#REF!</v>
      </c>
      <c r="AP17" s="99"/>
      <c r="AQ17" s="7" t="e">
        <f>+AP17/#REF!</f>
        <v>#REF!</v>
      </c>
      <c r="AR17" s="99"/>
      <c r="AS17" s="99"/>
      <c r="AT17" s="97" t="e">
        <f>+AS17/#REF!</f>
        <v>#REF!</v>
      </c>
      <c r="AU17" s="113"/>
      <c r="AV17" s="6" t="e">
        <f>+AU17/#REF!</f>
        <v>#REF!</v>
      </c>
      <c r="AW17" s="99"/>
      <c r="AX17" s="7" t="e">
        <f>+AW17/#REF!</f>
        <v>#REF!</v>
      </c>
      <c r="AY17" s="99"/>
      <c r="AZ17" s="112"/>
      <c r="BA17" s="97" t="e">
        <f>+AZ17/#REF!</f>
        <v>#REF!</v>
      </c>
      <c r="BB17" s="113"/>
      <c r="BC17" s="6" t="e">
        <f>+BB17/#REF!</f>
        <v>#REF!</v>
      </c>
      <c r="BD17" s="99"/>
      <c r="BE17" s="7" t="e">
        <f>+BD17/#REF!</f>
        <v>#REF!</v>
      </c>
      <c r="BF17" s="99"/>
      <c r="BG17" s="99"/>
      <c r="BH17" s="8" t="e">
        <f>+BG17/#REF!</f>
        <v>#REF!</v>
      </c>
      <c r="BI17" s="113">
        <v>10</v>
      </c>
      <c r="BJ17" s="6" t="e">
        <f>+BI17/#REF!</f>
        <v>#REF!</v>
      </c>
      <c r="BK17" s="99">
        <v>8</v>
      </c>
      <c r="BL17" s="7" t="e">
        <f>+BK17/#REF!</f>
        <v>#REF!</v>
      </c>
      <c r="BM17" s="99">
        <v>4317</v>
      </c>
      <c r="BN17" s="99">
        <f>BI17*2</f>
        <v>20</v>
      </c>
      <c r="BO17" s="8" t="e">
        <f>+BN17/#REF!</f>
        <v>#REF!</v>
      </c>
      <c r="BP17" s="113">
        <v>78</v>
      </c>
      <c r="BQ17" s="6" t="e">
        <f>+BP17/#REF!</f>
        <v>#REF!</v>
      </c>
      <c r="BR17" s="99">
        <v>14</v>
      </c>
      <c r="BS17" s="7" t="e">
        <f>+BR17/#REF!</f>
        <v>#REF!</v>
      </c>
      <c r="BT17" s="99"/>
      <c r="BU17" s="99"/>
      <c r="BV17" s="8" t="e">
        <f>+BU17/#REF!</f>
        <v>#REF!</v>
      </c>
      <c r="BW17" s="113">
        <v>8</v>
      </c>
      <c r="BX17" s="6" t="e">
        <f>+BW17/#REF!</f>
        <v>#REF!</v>
      </c>
      <c r="BY17" s="99">
        <v>8</v>
      </c>
      <c r="BZ17" s="7" t="e">
        <f>+BY17/#REF!</f>
        <v>#REF!</v>
      </c>
      <c r="CA17" s="99">
        <v>6690</v>
      </c>
      <c r="CB17" s="99">
        <f>BW17*2</f>
        <v>16</v>
      </c>
      <c r="CC17" s="8" t="e">
        <f>+CB17/#REF!</f>
        <v>#REF!</v>
      </c>
      <c r="CD17" s="113">
        <v>43</v>
      </c>
      <c r="CE17" s="6" t="e">
        <f>+CD17/#REF!</f>
        <v>#REF!</v>
      </c>
      <c r="CF17" s="99">
        <v>8</v>
      </c>
      <c r="CG17" s="7" t="e">
        <f>+CF17/#REF!</f>
        <v>#REF!</v>
      </c>
      <c r="CH17" s="99">
        <v>4598</v>
      </c>
      <c r="CI17" s="99">
        <f>CD17*2</f>
        <v>86</v>
      </c>
      <c r="CJ17" s="8" t="e">
        <f>+CI17/#REF!</f>
        <v>#REF!</v>
      </c>
      <c r="CK17" s="113">
        <v>5</v>
      </c>
      <c r="CL17" s="6" t="e">
        <f>+CK17/#REF!</f>
        <v>#REF!</v>
      </c>
      <c r="CM17" s="99">
        <v>5</v>
      </c>
      <c r="CN17" s="100" t="e">
        <f>+CM17/#REF!</f>
        <v>#REF!</v>
      </c>
      <c r="CO17" s="113">
        <v>6513</v>
      </c>
      <c r="CP17" s="115">
        <f>CK17*2</f>
        <v>10</v>
      </c>
      <c r="CQ17" s="8" t="e">
        <f>+CP17/#REF!</f>
        <v>#REF!</v>
      </c>
      <c r="CR17" s="113">
        <v>34</v>
      </c>
      <c r="CS17" s="6" t="e">
        <f>+CR17/#REF!</f>
        <v>#REF!</v>
      </c>
      <c r="CT17" s="99">
        <v>16</v>
      </c>
      <c r="CU17" s="7" t="e">
        <f>+CT17/#REF!</f>
        <v>#REF!</v>
      </c>
      <c r="CV17" s="99">
        <v>7387</v>
      </c>
      <c r="CW17" s="92">
        <f>CR17*2</f>
        <v>68</v>
      </c>
      <c r="CX17" s="8" t="e">
        <f>+CW17/#REF!</f>
        <v>#REF!</v>
      </c>
      <c r="CY17" s="113"/>
      <c r="CZ17" s="6" t="e">
        <f>+CY17/#REF!</f>
        <v>#REF!</v>
      </c>
      <c r="DA17" s="99"/>
      <c r="DB17" s="7" t="e">
        <f>+DA17/#REF!</f>
        <v>#REF!</v>
      </c>
      <c r="DC17" s="111"/>
      <c r="DD17" s="99"/>
      <c r="DE17" s="8" t="e">
        <f>+DD17/#REF!</f>
        <v>#REF!</v>
      </c>
      <c r="DF17" s="113"/>
      <c r="DG17" s="6" t="e">
        <f>+DF17/#REF!</f>
        <v>#REF!</v>
      </c>
      <c r="DH17" s="99"/>
      <c r="DI17" s="7" t="e">
        <f>+DH17/#REF!</f>
        <v>#REF!</v>
      </c>
      <c r="DJ17" s="99"/>
      <c r="DK17" s="92"/>
      <c r="DL17" s="8" t="e">
        <f>+DK17/#REF!</f>
        <v>#REF!</v>
      </c>
      <c r="DM17" s="113"/>
      <c r="DN17" s="6" t="e">
        <f>+DM17/#REF!</f>
        <v>#REF!</v>
      </c>
      <c r="DO17" s="99"/>
      <c r="DP17" s="100" t="e">
        <f>+DO17/#REF!</f>
        <v>#REF!</v>
      </c>
      <c r="DQ17" s="113"/>
      <c r="DR17" s="115"/>
      <c r="DS17" s="8" t="e">
        <f>+DR17/#REF!</f>
        <v>#REF!</v>
      </c>
      <c r="DT17" s="113"/>
      <c r="DU17" s="6" t="e">
        <f>+DT17/#REF!</f>
        <v>#REF!</v>
      </c>
      <c r="DV17" s="99"/>
      <c r="DW17" s="7" t="e">
        <f>+DV17/#REF!</f>
        <v>#REF!</v>
      </c>
      <c r="DX17" s="99"/>
      <c r="DY17" s="92"/>
      <c r="DZ17" s="8" t="e">
        <f>+DY17/#REF!</f>
        <v>#REF!</v>
      </c>
      <c r="EA17" s="113"/>
      <c r="EB17" s="6" t="e">
        <f>+EA17/#REF!</f>
        <v>#REF!</v>
      </c>
      <c r="EC17" s="99"/>
      <c r="ED17" s="100" t="e">
        <f>+EC17/#REF!</f>
        <v>#REF!</v>
      </c>
      <c r="EE17" s="113"/>
      <c r="EF17" s="115"/>
      <c r="EG17" s="8" t="e">
        <f>+EF17/#REF!</f>
        <v>#REF!</v>
      </c>
      <c r="EH17" s="113"/>
      <c r="EI17" s="6" t="e">
        <f>+EH17/#REF!</f>
        <v>#REF!</v>
      </c>
      <c r="EJ17" s="99"/>
      <c r="EK17" s="7" t="e">
        <f>+EJ17/#REF!</f>
        <v>#REF!</v>
      </c>
      <c r="EL17" s="99"/>
      <c r="EM17" s="92"/>
      <c r="EN17" s="8" t="e">
        <f>+EM17/#REF!</f>
        <v>#REF!</v>
      </c>
    </row>
    <row r="18" spans="2:169" s="12" customFormat="1" ht="16.95" customHeight="1">
      <c r="B18" s="104" t="s">
        <v>80</v>
      </c>
      <c r="C18" s="18"/>
      <c r="D18" s="26"/>
      <c r="E18" s="27"/>
      <c r="F18" s="19"/>
      <c r="G18" s="26"/>
      <c r="H18" s="44"/>
      <c r="I18" s="28"/>
      <c r="J18" s="29"/>
      <c r="K18" s="105">
        <v>30</v>
      </c>
      <c r="L18" s="106">
        <v>70</v>
      </c>
      <c r="M18" s="107">
        <v>40</v>
      </c>
      <c r="N18" s="108">
        <v>40</v>
      </c>
      <c r="O18" s="108">
        <v>30</v>
      </c>
      <c r="P18" s="108">
        <v>20</v>
      </c>
      <c r="Q18" s="108">
        <v>20</v>
      </c>
      <c r="R18" s="108">
        <v>20</v>
      </c>
      <c r="S18" s="108">
        <v>30</v>
      </c>
      <c r="T18" s="109"/>
      <c r="U18" s="109"/>
      <c r="V18" s="89">
        <f t="shared" si="1"/>
        <v>3.3333333333333335</v>
      </c>
      <c r="W18" s="110">
        <v>6</v>
      </c>
      <c r="X18" s="105" t="s">
        <v>65</v>
      </c>
      <c r="Y18" s="108" t="s">
        <v>65</v>
      </c>
      <c r="Z18" s="108"/>
      <c r="AA18" s="108" t="s">
        <v>65</v>
      </c>
      <c r="AB18" s="118"/>
      <c r="AC18" s="118"/>
      <c r="AD18" s="118"/>
      <c r="AE18" s="118"/>
      <c r="AF18" s="119"/>
      <c r="AG18" s="111">
        <v>7</v>
      </c>
      <c r="AH18" s="6" t="e">
        <f>+AG18/#REF!</f>
        <v>#REF!</v>
      </c>
      <c r="AI18" s="99">
        <v>7</v>
      </c>
      <c r="AJ18" s="7" t="e">
        <f>+AI18/#REF!</f>
        <v>#REF!</v>
      </c>
      <c r="AK18" s="99">
        <v>7462</v>
      </c>
      <c r="AL18" s="112">
        <f>AG18*2</f>
        <v>14</v>
      </c>
      <c r="AM18" s="97" t="e">
        <f>+AL18/#REF!</f>
        <v>#REF!</v>
      </c>
      <c r="AN18" s="113">
        <v>49</v>
      </c>
      <c r="AO18" s="6" t="e">
        <f>+AN18/#REF!</f>
        <v>#REF!</v>
      </c>
      <c r="AP18" s="99">
        <v>7</v>
      </c>
      <c r="AQ18" s="7" t="e">
        <f>+AP18/#REF!</f>
        <v>#REF!</v>
      </c>
      <c r="AR18" s="99">
        <v>7459</v>
      </c>
      <c r="AS18" s="99">
        <f>AN18*2</f>
        <v>98</v>
      </c>
      <c r="AT18" s="97" t="e">
        <f>+AS18/#REF!</f>
        <v>#REF!</v>
      </c>
      <c r="AU18" s="113"/>
      <c r="AV18" s="6" t="e">
        <f>+AU18/#REF!</f>
        <v>#REF!</v>
      </c>
      <c r="AW18" s="99"/>
      <c r="AX18" s="7" t="e">
        <f>+AW18/#REF!</f>
        <v>#REF!</v>
      </c>
      <c r="AY18" s="99"/>
      <c r="AZ18" s="112"/>
      <c r="BA18" s="97" t="e">
        <f>+AZ18/#REF!</f>
        <v>#REF!</v>
      </c>
      <c r="BB18" s="113"/>
      <c r="BC18" s="6" t="e">
        <f>+BB18/#REF!</f>
        <v>#REF!</v>
      </c>
      <c r="BD18" s="99"/>
      <c r="BE18" s="7" t="e">
        <f>+BD18/#REF!</f>
        <v>#REF!</v>
      </c>
      <c r="BF18" s="99"/>
      <c r="BG18" s="99"/>
      <c r="BH18" s="8" t="e">
        <f>+BG18/#REF!</f>
        <v>#REF!</v>
      </c>
      <c r="BI18" s="113"/>
      <c r="BJ18" s="6" t="e">
        <f>+BI18/#REF!</f>
        <v>#REF!</v>
      </c>
      <c r="BK18" s="99"/>
      <c r="BL18" s="7" t="e">
        <f>+BK18/#REF!</f>
        <v>#REF!</v>
      </c>
      <c r="BM18" s="99"/>
      <c r="BN18" s="99"/>
      <c r="BO18" s="8" t="e">
        <f>+BN18/#REF!</f>
        <v>#REF!</v>
      </c>
      <c r="BP18" s="113"/>
      <c r="BQ18" s="6" t="e">
        <f>+BP18/#REF!</f>
        <v>#REF!</v>
      </c>
      <c r="BR18" s="99"/>
      <c r="BS18" s="7" t="e">
        <f>+BR18/#REF!</f>
        <v>#REF!</v>
      </c>
      <c r="BT18" s="99"/>
      <c r="BU18" s="99"/>
      <c r="BV18" s="8" t="e">
        <f>+BU18/#REF!</f>
        <v>#REF!</v>
      </c>
      <c r="BW18" s="113"/>
      <c r="BX18" s="6" t="e">
        <f>+BW18/#REF!</f>
        <v>#REF!</v>
      </c>
      <c r="BY18" s="99"/>
      <c r="BZ18" s="7" t="e">
        <f>+BY18/#REF!</f>
        <v>#REF!</v>
      </c>
      <c r="CA18" s="99"/>
      <c r="CB18" s="99"/>
      <c r="CC18" s="8" t="e">
        <f>+CB18/#REF!</f>
        <v>#REF!</v>
      </c>
      <c r="CD18" s="113"/>
      <c r="CE18" s="6" t="e">
        <f>+CD18/#REF!</f>
        <v>#REF!</v>
      </c>
      <c r="CF18" s="99"/>
      <c r="CG18" s="7" t="e">
        <f>+CF18/#REF!</f>
        <v>#REF!</v>
      </c>
      <c r="CH18" s="99"/>
      <c r="CI18" s="99"/>
      <c r="CJ18" s="8" t="e">
        <f>+CI18/#REF!</f>
        <v>#REF!</v>
      </c>
      <c r="CK18" s="113"/>
      <c r="CL18" s="6" t="e">
        <f>+CK18/#REF!</f>
        <v>#REF!</v>
      </c>
      <c r="CM18" s="99"/>
      <c r="CN18" s="100" t="e">
        <f>+CM18/#REF!</f>
        <v>#REF!</v>
      </c>
      <c r="CO18" s="113"/>
      <c r="CP18" s="115"/>
      <c r="CQ18" s="8" t="e">
        <f>+CP18/#REF!</f>
        <v>#REF!</v>
      </c>
      <c r="CR18" s="113"/>
      <c r="CS18" s="6" t="e">
        <f>+CR18/#REF!</f>
        <v>#REF!</v>
      </c>
      <c r="CT18" s="99"/>
      <c r="CU18" s="7" t="e">
        <f>+CT18/#REF!</f>
        <v>#REF!</v>
      </c>
      <c r="CV18" s="99"/>
      <c r="CW18" s="92"/>
      <c r="CX18" s="8" t="e">
        <f>+CW18/#REF!</f>
        <v>#REF!</v>
      </c>
      <c r="CY18" s="113"/>
      <c r="CZ18" s="6" t="e">
        <f>+CY18/#REF!</f>
        <v>#REF!</v>
      </c>
      <c r="DA18" s="99"/>
      <c r="DB18" s="7" t="e">
        <f>+DA18/#REF!</f>
        <v>#REF!</v>
      </c>
      <c r="DC18" s="111"/>
      <c r="DD18" s="99"/>
      <c r="DE18" s="8" t="e">
        <f>+DD18/#REF!</f>
        <v>#REF!</v>
      </c>
      <c r="DF18" s="113"/>
      <c r="DG18" s="6" t="e">
        <f>+DF18/#REF!</f>
        <v>#REF!</v>
      </c>
      <c r="DH18" s="99"/>
      <c r="DI18" s="7" t="e">
        <f>+DH18/#REF!</f>
        <v>#REF!</v>
      </c>
      <c r="DJ18" s="99"/>
      <c r="DK18" s="92"/>
      <c r="DL18" s="8" t="e">
        <f>+DK18/#REF!</f>
        <v>#REF!</v>
      </c>
      <c r="DM18" s="113"/>
      <c r="DN18" s="6" t="e">
        <f>+DM18/#REF!</f>
        <v>#REF!</v>
      </c>
      <c r="DO18" s="99"/>
      <c r="DP18" s="100" t="e">
        <f>+DO18/#REF!</f>
        <v>#REF!</v>
      </c>
      <c r="DQ18" s="113"/>
      <c r="DR18" s="115"/>
      <c r="DS18" s="8" t="e">
        <f>+DR18/#REF!</f>
        <v>#REF!</v>
      </c>
      <c r="DT18" s="113"/>
      <c r="DU18" s="6" t="e">
        <f>+DT18/#REF!</f>
        <v>#REF!</v>
      </c>
      <c r="DV18" s="99"/>
      <c r="DW18" s="7" t="e">
        <f>+DV18/#REF!</f>
        <v>#REF!</v>
      </c>
      <c r="DX18" s="99"/>
      <c r="DY18" s="92"/>
      <c r="DZ18" s="8" t="e">
        <f>+DY18/#REF!</f>
        <v>#REF!</v>
      </c>
      <c r="EA18" s="113"/>
      <c r="EB18" s="6" t="e">
        <f>+EA18/#REF!</f>
        <v>#REF!</v>
      </c>
      <c r="EC18" s="99"/>
      <c r="ED18" s="100" t="e">
        <f>+EC18/#REF!</f>
        <v>#REF!</v>
      </c>
      <c r="EE18" s="113"/>
      <c r="EF18" s="115"/>
      <c r="EG18" s="8" t="e">
        <f>+EF18/#REF!</f>
        <v>#REF!</v>
      </c>
      <c r="EH18" s="113"/>
      <c r="EI18" s="6" t="e">
        <f>+EH18/#REF!</f>
        <v>#REF!</v>
      </c>
      <c r="EJ18" s="99"/>
      <c r="EK18" s="7" t="e">
        <f>+EJ18/#REF!</f>
        <v>#REF!</v>
      </c>
      <c r="EL18" s="99"/>
      <c r="EM18" s="92"/>
      <c r="EN18" s="8" t="e">
        <f>+EM18/#REF!</f>
        <v>#REF!</v>
      </c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</row>
    <row r="19" spans="2:169" s="1" customFormat="1" ht="16.95" customHeight="1">
      <c r="B19" s="104" t="s">
        <v>81</v>
      </c>
      <c r="C19" s="18"/>
      <c r="D19" s="19"/>
      <c r="E19" s="19"/>
      <c r="F19" s="19"/>
      <c r="G19" s="19"/>
      <c r="H19" s="20"/>
      <c r="I19" s="19"/>
      <c r="J19" s="25" t="s">
        <v>65</v>
      </c>
      <c r="K19" s="105">
        <v>20</v>
      </c>
      <c r="L19" s="106">
        <v>80</v>
      </c>
      <c r="M19" s="107">
        <v>60</v>
      </c>
      <c r="N19" s="108">
        <v>30</v>
      </c>
      <c r="O19" s="108"/>
      <c r="P19" s="108">
        <v>10</v>
      </c>
      <c r="Q19" s="108">
        <v>10</v>
      </c>
      <c r="R19" s="108">
        <v>30</v>
      </c>
      <c r="S19" s="108">
        <v>10</v>
      </c>
      <c r="T19" s="109">
        <v>20</v>
      </c>
      <c r="U19" s="109">
        <v>15</v>
      </c>
      <c r="V19" s="89">
        <f t="shared" si="1"/>
        <v>3.0833333333333335</v>
      </c>
      <c r="W19" s="110" t="s">
        <v>82</v>
      </c>
      <c r="X19" s="63" t="s">
        <v>65</v>
      </c>
      <c r="Y19" s="108" t="s">
        <v>65</v>
      </c>
      <c r="Z19" s="109"/>
      <c r="AA19" s="108" t="s">
        <v>65</v>
      </c>
      <c r="AB19" s="108"/>
      <c r="AC19" s="108"/>
      <c r="AD19" s="107" t="s">
        <v>65</v>
      </c>
      <c r="AE19" s="108"/>
      <c r="AF19" s="109"/>
      <c r="AG19" s="111">
        <v>1</v>
      </c>
      <c r="AH19" s="6" t="e">
        <f>+AG19/#REF!</f>
        <v>#REF!</v>
      </c>
      <c r="AI19" s="99">
        <v>1</v>
      </c>
      <c r="AJ19" s="7" t="e">
        <f>+AI19/#REF!</f>
        <v>#REF!</v>
      </c>
      <c r="AK19" s="99"/>
      <c r="AL19" s="112"/>
      <c r="AM19" s="97" t="e">
        <f>+AL19/#REF!</f>
        <v>#REF!</v>
      </c>
      <c r="AN19" s="113"/>
      <c r="AO19" s="6" t="e">
        <f>+AN19/#REF!</f>
        <v>#REF!</v>
      </c>
      <c r="AP19" s="99"/>
      <c r="AQ19" s="7" t="e">
        <f>+AP19/#REF!</f>
        <v>#REF!</v>
      </c>
      <c r="AR19" s="99"/>
      <c r="AS19" s="99"/>
      <c r="AT19" s="97" t="e">
        <f>+AS19/#REF!</f>
        <v>#REF!</v>
      </c>
      <c r="AU19" s="113"/>
      <c r="AV19" s="6" t="e">
        <f>+AU19/#REF!</f>
        <v>#REF!</v>
      </c>
      <c r="AW19" s="99"/>
      <c r="AX19" s="7" t="e">
        <f>+AW19/#REF!</f>
        <v>#REF!</v>
      </c>
      <c r="AY19" s="99"/>
      <c r="AZ19" s="112"/>
      <c r="BA19" s="97" t="e">
        <f>+AZ19/#REF!</f>
        <v>#REF!</v>
      </c>
      <c r="BB19" s="113"/>
      <c r="BC19" s="6" t="e">
        <f>+BB19/#REF!</f>
        <v>#REF!</v>
      </c>
      <c r="BD19" s="99"/>
      <c r="BE19" s="7" t="e">
        <f>+BD19/#REF!</f>
        <v>#REF!</v>
      </c>
      <c r="BF19" s="99"/>
      <c r="BG19" s="99"/>
      <c r="BH19" s="8" t="e">
        <f>+BG19/#REF!</f>
        <v>#REF!</v>
      </c>
      <c r="BI19" s="113"/>
      <c r="BJ19" s="6" t="e">
        <f>+BI19/#REF!</f>
        <v>#REF!</v>
      </c>
      <c r="BK19" s="99"/>
      <c r="BL19" s="7" t="e">
        <f>+BK19/#REF!</f>
        <v>#REF!</v>
      </c>
      <c r="BM19" s="99"/>
      <c r="BN19" s="99"/>
      <c r="BO19" s="8" t="e">
        <f>+BN19/#REF!</f>
        <v>#REF!</v>
      </c>
      <c r="BP19" s="113"/>
      <c r="BQ19" s="6" t="e">
        <f>+BP19/#REF!</f>
        <v>#REF!</v>
      </c>
      <c r="BR19" s="99"/>
      <c r="BS19" s="7" t="e">
        <f>+BR19/#REF!</f>
        <v>#REF!</v>
      </c>
      <c r="BT19" s="99"/>
      <c r="BU19" s="99"/>
      <c r="BV19" s="8" t="e">
        <f>+BU19/#REF!</f>
        <v>#REF!</v>
      </c>
      <c r="BW19" s="113">
        <v>1</v>
      </c>
      <c r="BX19" s="6" t="e">
        <f>+BW19/#REF!</f>
        <v>#REF!</v>
      </c>
      <c r="BY19" s="99">
        <v>1</v>
      </c>
      <c r="BZ19" s="7" t="e">
        <f>+BY19/#REF!</f>
        <v>#REF!</v>
      </c>
      <c r="CA19" s="99"/>
      <c r="CB19" s="99"/>
      <c r="CC19" s="8" t="e">
        <f>+CB19/#REF!</f>
        <v>#REF!</v>
      </c>
      <c r="CD19" s="113"/>
      <c r="CE19" s="6" t="e">
        <f>+CD19/#REF!</f>
        <v>#REF!</v>
      </c>
      <c r="CF19" s="99"/>
      <c r="CG19" s="7" t="e">
        <f>+CF19/#REF!</f>
        <v>#REF!</v>
      </c>
      <c r="CH19" s="99"/>
      <c r="CI19" s="99"/>
      <c r="CJ19" s="8" t="e">
        <f>+CI19/#REF!</f>
        <v>#REF!</v>
      </c>
      <c r="CK19" s="113"/>
      <c r="CL19" s="6" t="e">
        <f>+CK19/#REF!</f>
        <v>#REF!</v>
      </c>
      <c r="CM19" s="99"/>
      <c r="CN19" s="100" t="e">
        <f>+CM19/#REF!</f>
        <v>#REF!</v>
      </c>
      <c r="CO19" s="113"/>
      <c r="CP19" s="115"/>
      <c r="CQ19" s="8" t="e">
        <f>+CP19/#REF!</f>
        <v>#REF!</v>
      </c>
      <c r="CR19" s="113"/>
      <c r="CS19" s="6" t="e">
        <f>+CR19/#REF!</f>
        <v>#REF!</v>
      </c>
      <c r="CT19" s="99"/>
      <c r="CU19" s="7" t="e">
        <f>+CT19/#REF!</f>
        <v>#REF!</v>
      </c>
      <c r="CV19" s="99"/>
      <c r="CW19" s="92"/>
      <c r="CX19" s="8" t="e">
        <f>+CW19/#REF!</f>
        <v>#REF!</v>
      </c>
      <c r="CY19" s="113"/>
      <c r="CZ19" s="6" t="e">
        <f>+CY19/#REF!</f>
        <v>#REF!</v>
      </c>
      <c r="DA19" s="99"/>
      <c r="DB19" s="7" t="e">
        <f>+DA19/#REF!</f>
        <v>#REF!</v>
      </c>
      <c r="DC19" s="111"/>
      <c r="DD19" s="99"/>
      <c r="DE19" s="8" t="e">
        <f>+DD19/#REF!</f>
        <v>#REF!</v>
      </c>
      <c r="DF19" s="113"/>
      <c r="DG19" s="6" t="e">
        <f>+DF19/#REF!</f>
        <v>#REF!</v>
      </c>
      <c r="DH19" s="99"/>
      <c r="DI19" s="7" t="e">
        <f>+DH19/#REF!</f>
        <v>#REF!</v>
      </c>
      <c r="DJ19" s="99"/>
      <c r="DK19" s="92"/>
      <c r="DL19" s="8" t="e">
        <f>+DK19/#REF!</f>
        <v>#REF!</v>
      </c>
      <c r="DM19" s="113"/>
      <c r="DN19" s="6" t="e">
        <f>+DM19/#REF!</f>
        <v>#REF!</v>
      </c>
      <c r="DO19" s="99"/>
      <c r="DP19" s="100" t="e">
        <f>+DO19/#REF!</f>
        <v>#REF!</v>
      </c>
      <c r="DQ19" s="113"/>
      <c r="DR19" s="115"/>
      <c r="DS19" s="8" t="e">
        <f>+DR19/#REF!</f>
        <v>#REF!</v>
      </c>
      <c r="DT19" s="113"/>
      <c r="DU19" s="6" t="e">
        <f>+DT19/#REF!</f>
        <v>#REF!</v>
      </c>
      <c r="DV19" s="99"/>
      <c r="DW19" s="7" t="e">
        <f>+DV19/#REF!</f>
        <v>#REF!</v>
      </c>
      <c r="DX19" s="99"/>
      <c r="DY19" s="92"/>
      <c r="DZ19" s="8" t="e">
        <f>+DY19/#REF!</f>
        <v>#REF!</v>
      </c>
      <c r="EA19" s="113"/>
      <c r="EB19" s="6" t="e">
        <f>+EA19/#REF!</f>
        <v>#REF!</v>
      </c>
      <c r="EC19" s="99"/>
      <c r="ED19" s="100" t="e">
        <f>+EC19/#REF!</f>
        <v>#REF!</v>
      </c>
      <c r="EE19" s="113"/>
      <c r="EF19" s="115"/>
      <c r="EG19" s="8" t="e">
        <f>+EF19/#REF!</f>
        <v>#REF!</v>
      </c>
      <c r="EH19" s="113"/>
      <c r="EI19" s="6" t="e">
        <f>+EH19/#REF!</f>
        <v>#REF!</v>
      </c>
      <c r="EJ19" s="99"/>
      <c r="EK19" s="7" t="e">
        <f>+EJ19/#REF!</f>
        <v>#REF!</v>
      </c>
      <c r="EL19" s="99"/>
      <c r="EM19" s="92"/>
      <c r="EN19" s="8" t="e">
        <f>+EM19/#REF!</f>
        <v>#REF!</v>
      </c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</row>
    <row r="20" spans="2:169" s="1" customFormat="1" ht="16.95" customHeight="1">
      <c r="B20" s="120" t="s">
        <v>83</v>
      </c>
      <c r="C20" s="18"/>
      <c r="D20" s="19"/>
      <c r="E20" s="19"/>
      <c r="F20" s="30"/>
      <c r="G20" s="19"/>
      <c r="H20" s="20"/>
      <c r="I20" s="19"/>
      <c r="J20" s="25"/>
      <c r="K20" s="105">
        <v>30</v>
      </c>
      <c r="L20" s="106">
        <v>70</v>
      </c>
      <c r="M20" s="107">
        <v>40</v>
      </c>
      <c r="N20" s="108">
        <v>40</v>
      </c>
      <c r="O20" s="108">
        <v>30</v>
      </c>
      <c r="P20" s="108">
        <v>20</v>
      </c>
      <c r="Q20" s="108">
        <v>20</v>
      </c>
      <c r="R20" s="108">
        <v>20</v>
      </c>
      <c r="S20" s="108">
        <v>30</v>
      </c>
      <c r="T20" s="109"/>
      <c r="U20" s="109"/>
      <c r="V20" s="89">
        <f t="shared" si="1"/>
        <v>3.3333333333333335</v>
      </c>
      <c r="W20" s="110">
        <v>6</v>
      </c>
      <c r="X20" s="105" t="s">
        <v>65</v>
      </c>
      <c r="Y20" s="108" t="s">
        <v>65</v>
      </c>
      <c r="Z20" s="108"/>
      <c r="AA20" s="108" t="s">
        <v>65</v>
      </c>
      <c r="AB20" s="108"/>
      <c r="AC20" s="108"/>
      <c r="AD20" s="108"/>
      <c r="AE20" s="108"/>
      <c r="AF20" s="109"/>
      <c r="AG20" s="111">
        <v>3</v>
      </c>
      <c r="AH20" s="6" t="e">
        <f>+AG20/#REF!</f>
        <v>#REF!</v>
      </c>
      <c r="AI20" s="99">
        <v>3</v>
      </c>
      <c r="AJ20" s="7" t="e">
        <f>+AI20/#REF!</f>
        <v>#REF!</v>
      </c>
      <c r="AK20" s="99"/>
      <c r="AL20" s="112"/>
      <c r="AM20" s="97" t="e">
        <f>+AL20/#REF!</f>
        <v>#REF!</v>
      </c>
      <c r="AN20" s="113">
        <v>30</v>
      </c>
      <c r="AO20" s="6" t="e">
        <f>+AN20/#REF!</f>
        <v>#REF!</v>
      </c>
      <c r="AP20" s="99">
        <v>12</v>
      </c>
      <c r="AQ20" s="7" t="e">
        <f>+AP20/#REF!</f>
        <v>#REF!</v>
      </c>
      <c r="AR20" s="99">
        <v>7229</v>
      </c>
      <c r="AS20" s="99">
        <f>AN20*3</f>
        <v>90</v>
      </c>
      <c r="AT20" s="97" t="e">
        <f>+AS20/#REF!</f>
        <v>#REF!</v>
      </c>
      <c r="AU20" s="113"/>
      <c r="AV20" s="6" t="e">
        <f>+AU20/#REF!</f>
        <v>#REF!</v>
      </c>
      <c r="AW20" s="99"/>
      <c r="AX20" s="7" t="e">
        <f>+AW20/#REF!</f>
        <v>#REF!</v>
      </c>
      <c r="AY20" s="99"/>
      <c r="AZ20" s="112"/>
      <c r="BA20" s="97" t="e">
        <f>+AZ20/#REF!</f>
        <v>#REF!</v>
      </c>
      <c r="BB20" s="113"/>
      <c r="BC20" s="6" t="e">
        <f>+BB20/#REF!</f>
        <v>#REF!</v>
      </c>
      <c r="BD20" s="99"/>
      <c r="BE20" s="7" t="e">
        <f>+BD20/#REF!</f>
        <v>#REF!</v>
      </c>
      <c r="BF20" s="99"/>
      <c r="BG20" s="99"/>
      <c r="BH20" s="8" t="e">
        <f>+BG20/#REF!</f>
        <v>#REF!</v>
      </c>
      <c r="BI20" s="113"/>
      <c r="BJ20" s="6" t="e">
        <f>+BI20/#REF!</f>
        <v>#REF!</v>
      </c>
      <c r="BK20" s="99"/>
      <c r="BL20" s="7" t="e">
        <f>+BK20/#REF!</f>
        <v>#REF!</v>
      </c>
      <c r="BM20" s="99"/>
      <c r="BN20" s="99"/>
      <c r="BO20" s="8" t="e">
        <f>+BN20/#REF!</f>
        <v>#REF!</v>
      </c>
      <c r="BP20" s="113"/>
      <c r="BQ20" s="6" t="e">
        <f>+BP20/#REF!</f>
        <v>#REF!</v>
      </c>
      <c r="BR20" s="99"/>
      <c r="BS20" s="7" t="e">
        <f>+BR20/#REF!</f>
        <v>#REF!</v>
      </c>
      <c r="BT20" s="99"/>
      <c r="BU20" s="99"/>
      <c r="BV20" s="8" t="e">
        <f>+BU20/#REF!</f>
        <v>#REF!</v>
      </c>
      <c r="BW20" s="113"/>
      <c r="BX20" s="6" t="e">
        <f>+BW20/#REF!</f>
        <v>#REF!</v>
      </c>
      <c r="BY20" s="99"/>
      <c r="BZ20" s="7" t="e">
        <f>+BY20/#REF!</f>
        <v>#REF!</v>
      </c>
      <c r="CA20" s="99"/>
      <c r="CB20" s="99"/>
      <c r="CC20" s="8" t="e">
        <f>+CB20/#REF!</f>
        <v>#REF!</v>
      </c>
      <c r="CD20" s="113"/>
      <c r="CE20" s="6" t="e">
        <f>+CD20/#REF!</f>
        <v>#REF!</v>
      </c>
      <c r="CF20" s="99"/>
      <c r="CG20" s="7" t="e">
        <f>+CF20/#REF!</f>
        <v>#REF!</v>
      </c>
      <c r="CH20" s="99"/>
      <c r="CI20" s="99"/>
      <c r="CJ20" s="8" t="e">
        <f>+CI20/#REF!</f>
        <v>#REF!</v>
      </c>
      <c r="CK20" s="113"/>
      <c r="CL20" s="6" t="e">
        <f>+CK20/#REF!</f>
        <v>#REF!</v>
      </c>
      <c r="CM20" s="99"/>
      <c r="CN20" s="100" t="e">
        <f>+CM20/#REF!</f>
        <v>#REF!</v>
      </c>
      <c r="CO20" s="113"/>
      <c r="CP20" s="115"/>
      <c r="CQ20" s="8" t="e">
        <f>+CP20/#REF!</f>
        <v>#REF!</v>
      </c>
      <c r="CR20" s="113"/>
      <c r="CS20" s="6" t="e">
        <f>+CR20/#REF!</f>
        <v>#REF!</v>
      </c>
      <c r="CT20" s="99"/>
      <c r="CU20" s="7" t="e">
        <f>+CT20/#REF!</f>
        <v>#REF!</v>
      </c>
      <c r="CV20" s="99"/>
      <c r="CW20" s="92"/>
      <c r="CX20" s="8" t="e">
        <f>+CW20/#REF!</f>
        <v>#REF!</v>
      </c>
      <c r="CY20" s="113"/>
      <c r="CZ20" s="6" t="e">
        <f>+CY20/#REF!</f>
        <v>#REF!</v>
      </c>
      <c r="DA20" s="99"/>
      <c r="DB20" s="7" t="e">
        <f>+DA20/#REF!</f>
        <v>#REF!</v>
      </c>
      <c r="DC20" s="111"/>
      <c r="DD20" s="99"/>
      <c r="DE20" s="8" t="e">
        <f>+DD20/#REF!</f>
        <v>#REF!</v>
      </c>
      <c r="DF20" s="113"/>
      <c r="DG20" s="6" t="e">
        <f>+DF20/#REF!</f>
        <v>#REF!</v>
      </c>
      <c r="DH20" s="99"/>
      <c r="DI20" s="7" t="e">
        <f>+DH20/#REF!</f>
        <v>#REF!</v>
      </c>
      <c r="DJ20" s="99"/>
      <c r="DK20" s="92"/>
      <c r="DL20" s="8" t="e">
        <f>+DK20/#REF!</f>
        <v>#REF!</v>
      </c>
      <c r="DM20" s="113"/>
      <c r="DN20" s="6" t="e">
        <f>+DM20/#REF!</f>
        <v>#REF!</v>
      </c>
      <c r="DO20" s="99"/>
      <c r="DP20" s="100" t="e">
        <f>+DO20/#REF!</f>
        <v>#REF!</v>
      </c>
      <c r="DQ20" s="113"/>
      <c r="DR20" s="115"/>
      <c r="DS20" s="8" t="e">
        <f>+DR20/#REF!</f>
        <v>#REF!</v>
      </c>
      <c r="DT20" s="113"/>
      <c r="DU20" s="6" t="e">
        <f>+DT20/#REF!</f>
        <v>#REF!</v>
      </c>
      <c r="DV20" s="99"/>
      <c r="DW20" s="7" t="e">
        <f>+DV20/#REF!</f>
        <v>#REF!</v>
      </c>
      <c r="DX20" s="99"/>
      <c r="DY20" s="92"/>
      <c r="DZ20" s="8" t="e">
        <f>+DY20/#REF!</f>
        <v>#REF!</v>
      </c>
      <c r="EA20" s="113"/>
      <c r="EB20" s="6" t="e">
        <f>+EA20/#REF!</f>
        <v>#REF!</v>
      </c>
      <c r="EC20" s="99"/>
      <c r="ED20" s="100" t="e">
        <f>+EC20/#REF!</f>
        <v>#REF!</v>
      </c>
      <c r="EE20" s="113"/>
      <c r="EF20" s="115"/>
      <c r="EG20" s="8" t="e">
        <f>+EF20/#REF!</f>
        <v>#REF!</v>
      </c>
      <c r="EH20" s="113"/>
      <c r="EI20" s="6" t="e">
        <f>+EH20/#REF!</f>
        <v>#REF!</v>
      </c>
      <c r="EJ20" s="99"/>
      <c r="EK20" s="7" t="e">
        <f>+EJ20/#REF!</f>
        <v>#REF!</v>
      </c>
      <c r="EL20" s="99"/>
      <c r="EM20" s="92"/>
      <c r="EN20" s="8" t="e">
        <f>+EM20/#REF!</f>
        <v>#REF!</v>
      </c>
    </row>
    <row r="21" spans="2:169" s="1" customFormat="1" ht="16.95" customHeight="1">
      <c r="B21" s="104" t="s">
        <v>84</v>
      </c>
      <c r="C21" s="18"/>
      <c r="D21" s="19"/>
      <c r="E21" s="19"/>
      <c r="F21" s="19"/>
      <c r="G21" s="19" t="s">
        <v>65</v>
      </c>
      <c r="H21" s="20"/>
      <c r="I21" s="19"/>
      <c r="J21" s="25"/>
      <c r="K21" s="105">
        <v>30</v>
      </c>
      <c r="L21" s="106">
        <v>70</v>
      </c>
      <c r="M21" s="107">
        <v>60</v>
      </c>
      <c r="N21" s="108">
        <v>30</v>
      </c>
      <c r="O21" s="108">
        <v>20</v>
      </c>
      <c r="P21" s="108">
        <v>10</v>
      </c>
      <c r="Q21" s="108">
        <v>10</v>
      </c>
      <c r="R21" s="108">
        <v>30</v>
      </c>
      <c r="S21" s="108">
        <v>10</v>
      </c>
      <c r="T21" s="109">
        <v>20</v>
      </c>
      <c r="U21" s="109">
        <v>15</v>
      </c>
      <c r="V21" s="89">
        <f t="shared" si="1"/>
        <v>3.4166666666666665</v>
      </c>
      <c r="W21" s="110" t="s">
        <v>82</v>
      </c>
      <c r="X21" s="105" t="s">
        <v>65</v>
      </c>
      <c r="Y21" s="107" t="s">
        <v>65</v>
      </c>
      <c r="Z21" s="108"/>
      <c r="AA21" s="108"/>
      <c r="AB21" s="108"/>
      <c r="AC21" s="108"/>
      <c r="AD21" s="108"/>
      <c r="AE21" s="109"/>
      <c r="AF21" s="109" t="s">
        <v>65</v>
      </c>
      <c r="AG21" s="111">
        <v>9</v>
      </c>
      <c r="AH21" s="6" t="e">
        <f>+AG21/#REF!</f>
        <v>#REF!</v>
      </c>
      <c r="AI21" s="99">
        <v>7</v>
      </c>
      <c r="AJ21" s="7" t="e">
        <f>+AI21/#REF!</f>
        <v>#REF!</v>
      </c>
      <c r="AK21" s="99">
        <v>11873</v>
      </c>
      <c r="AL21" s="112">
        <f>AG21*4</f>
        <v>36</v>
      </c>
      <c r="AM21" s="97" t="e">
        <f>+AL21/#REF!</f>
        <v>#REF!</v>
      </c>
      <c r="AN21" s="113">
        <v>21</v>
      </c>
      <c r="AO21" s="6" t="e">
        <f>+AN21/#REF!</f>
        <v>#REF!</v>
      </c>
      <c r="AP21" s="99">
        <v>5</v>
      </c>
      <c r="AQ21" s="7" t="e">
        <f>+AP21/#REF!</f>
        <v>#REF!</v>
      </c>
      <c r="AR21" s="99">
        <v>11873</v>
      </c>
      <c r="AS21" s="99">
        <f>AN21*4</f>
        <v>84</v>
      </c>
      <c r="AT21" s="97" t="e">
        <f>+AS21/#REF!</f>
        <v>#REF!</v>
      </c>
      <c r="AU21" s="113">
        <v>5</v>
      </c>
      <c r="AV21" s="6" t="e">
        <f>+AU21/#REF!</f>
        <v>#REF!</v>
      </c>
      <c r="AW21" s="99">
        <v>5</v>
      </c>
      <c r="AX21" s="7" t="e">
        <f>+AW21/#REF!</f>
        <v>#REF!</v>
      </c>
      <c r="AY21" s="99">
        <v>6356</v>
      </c>
      <c r="AZ21" s="112">
        <f t="shared" ref="AZ21:AZ25" si="4">AU21*2</f>
        <v>10</v>
      </c>
      <c r="BA21" s="97" t="e">
        <f>+AZ21/#REF!</f>
        <v>#REF!</v>
      </c>
      <c r="BB21" s="113">
        <v>15</v>
      </c>
      <c r="BC21" s="6" t="e">
        <f>+BB21/#REF!</f>
        <v>#REF!</v>
      </c>
      <c r="BD21" s="99">
        <v>3</v>
      </c>
      <c r="BE21" s="7" t="e">
        <f>+BD21/#REF!</f>
        <v>#REF!</v>
      </c>
      <c r="BF21" s="99">
        <v>7060</v>
      </c>
      <c r="BG21" s="99">
        <f>BB21*2</f>
        <v>30</v>
      </c>
      <c r="BH21" s="8" t="e">
        <f>+BG21/#REF!</f>
        <v>#REF!</v>
      </c>
      <c r="BI21" s="113">
        <v>6</v>
      </c>
      <c r="BJ21" s="6" t="e">
        <f>+BI21/#REF!</f>
        <v>#REF!</v>
      </c>
      <c r="BK21" s="99">
        <v>6</v>
      </c>
      <c r="BL21" s="7" t="e">
        <f>+BK21/#REF!</f>
        <v>#REF!</v>
      </c>
      <c r="BM21" s="99">
        <v>12613</v>
      </c>
      <c r="BN21" s="99">
        <f>BI21*5</f>
        <v>30</v>
      </c>
      <c r="BO21" s="8" t="e">
        <f>+BN21/#REF!</f>
        <v>#REF!</v>
      </c>
      <c r="BP21" s="113">
        <v>26</v>
      </c>
      <c r="BQ21" s="6" t="e">
        <f>+BP21/#REF!</f>
        <v>#REF!</v>
      </c>
      <c r="BR21" s="99">
        <v>4</v>
      </c>
      <c r="BS21" s="7" t="e">
        <f>+BR21/#REF!</f>
        <v>#REF!</v>
      </c>
      <c r="BT21" s="99">
        <v>12613</v>
      </c>
      <c r="BU21" s="99">
        <f>BP21*5</f>
        <v>130</v>
      </c>
      <c r="BV21" s="8" t="e">
        <f>+BU21/#REF!</f>
        <v>#REF!</v>
      </c>
      <c r="BW21" s="113">
        <v>6</v>
      </c>
      <c r="BX21" s="6" t="e">
        <f>+BW21/#REF!</f>
        <v>#REF!</v>
      </c>
      <c r="BY21" s="99">
        <v>5</v>
      </c>
      <c r="BZ21" s="7" t="e">
        <f>+BY21/#REF!</f>
        <v>#REF!</v>
      </c>
      <c r="CA21" s="99">
        <v>11451</v>
      </c>
      <c r="CB21" s="99">
        <f>BW21*4</f>
        <v>24</v>
      </c>
      <c r="CC21" s="8" t="e">
        <f>+CB21/#REF!</f>
        <v>#REF!</v>
      </c>
      <c r="CD21" s="113">
        <v>29</v>
      </c>
      <c r="CE21" s="6" t="e">
        <f>+CD21/#REF!</f>
        <v>#REF!</v>
      </c>
      <c r="CF21" s="99">
        <v>5</v>
      </c>
      <c r="CG21" s="7" t="e">
        <f>+CF21/#REF!</f>
        <v>#REF!</v>
      </c>
      <c r="CH21" s="99">
        <v>10460</v>
      </c>
      <c r="CI21" s="99">
        <f>CD21*4</f>
        <v>116</v>
      </c>
      <c r="CJ21" s="8" t="e">
        <f>+CI21/#REF!</f>
        <v>#REF!</v>
      </c>
      <c r="CK21" s="113"/>
      <c r="CL21" s="6" t="e">
        <f>+CK21/#REF!</f>
        <v>#REF!</v>
      </c>
      <c r="CM21" s="99"/>
      <c r="CN21" s="100" t="e">
        <f>+CM21/#REF!</f>
        <v>#REF!</v>
      </c>
      <c r="CO21" s="113"/>
      <c r="CP21" s="115"/>
      <c r="CQ21" s="8" t="e">
        <f>+CP21/#REF!</f>
        <v>#REF!</v>
      </c>
      <c r="CR21" s="113"/>
      <c r="CS21" s="6" t="e">
        <f>+CR21/#REF!</f>
        <v>#REF!</v>
      </c>
      <c r="CT21" s="99"/>
      <c r="CU21" s="7" t="e">
        <f>+CT21/#REF!</f>
        <v>#REF!</v>
      </c>
      <c r="CV21" s="99"/>
      <c r="CW21" s="92"/>
      <c r="CX21" s="8" t="e">
        <f>+CW21/#REF!</f>
        <v>#REF!</v>
      </c>
      <c r="CY21" s="113">
        <v>57</v>
      </c>
      <c r="CZ21" s="6" t="e">
        <f>+CY21/#REF!</f>
        <v>#REF!</v>
      </c>
      <c r="DA21" s="99">
        <v>16</v>
      </c>
      <c r="DB21" s="7" t="e">
        <f>+DA21/#REF!</f>
        <v>#REF!</v>
      </c>
      <c r="DC21" s="111"/>
      <c r="DD21" s="99"/>
      <c r="DE21" s="8" t="e">
        <f>+DD21/#REF!</f>
        <v>#REF!</v>
      </c>
      <c r="DF21" s="113"/>
      <c r="DG21" s="6" t="e">
        <f>+DF21/#REF!</f>
        <v>#REF!</v>
      </c>
      <c r="DH21" s="99"/>
      <c r="DI21" s="7" t="e">
        <f>+DH21/#REF!</f>
        <v>#REF!</v>
      </c>
      <c r="DJ21" s="99"/>
      <c r="DK21" s="92"/>
      <c r="DL21" s="8" t="e">
        <f>+DK21/#REF!</f>
        <v>#REF!</v>
      </c>
      <c r="DM21" s="113"/>
      <c r="DN21" s="6" t="e">
        <f>+DM21/#REF!</f>
        <v>#REF!</v>
      </c>
      <c r="DO21" s="99"/>
      <c r="DP21" s="100" t="e">
        <f>+DO21/#REF!</f>
        <v>#REF!</v>
      </c>
      <c r="DQ21" s="113"/>
      <c r="DR21" s="115"/>
      <c r="DS21" s="8" t="e">
        <f>+DR21/#REF!</f>
        <v>#REF!</v>
      </c>
      <c r="DT21" s="113"/>
      <c r="DU21" s="6" t="e">
        <f>+DT21/#REF!</f>
        <v>#REF!</v>
      </c>
      <c r="DV21" s="99"/>
      <c r="DW21" s="7" t="e">
        <f>+DV21/#REF!</f>
        <v>#REF!</v>
      </c>
      <c r="DX21" s="99"/>
      <c r="DY21" s="92"/>
      <c r="DZ21" s="8" t="e">
        <f>+DY21/#REF!</f>
        <v>#REF!</v>
      </c>
      <c r="EA21" s="113">
        <v>23</v>
      </c>
      <c r="EB21" s="6" t="e">
        <f>+EA21/#REF!</f>
        <v>#REF!</v>
      </c>
      <c r="EC21" s="99">
        <v>21</v>
      </c>
      <c r="ED21" s="100" t="e">
        <f>+EC21/#REF!</f>
        <v>#REF!</v>
      </c>
      <c r="EE21" s="113"/>
      <c r="EF21" s="115"/>
      <c r="EG21" s="8" t="e">
        <f>+EF21/#REF!</f>
        <v>#REF!</v>
      </c>
      <c r="EH21" s="113">
        <v>81</v>
      </c>
      <c r="EI21" s="6" t="e">
        <f>+EH21/#REF!</f>
        <v>#REF!</v>
      </c>
      <c r="EJ21" s="99">
        <v>26</v>
      </c>
      <c r="EK21" s="7" t="e">
        <f>+EJ21/#REF!</f>
        <v>#REF!</v>
      </c>
      <c r="EL21" s="99"/>
      <c r="EM21" s="92"/>
      <c r="EN21" s="8" t="e">
        <f>+EM21/#REF!</f>
        <v>#REF!</v>
      </c>
    </row>
    <row r="22" spans="2:169" s="1" customFormat="1" ht="16.95" customHeight="1">
      <c r="B22" s="104" t="s">
        <v>85</v>
      </c>
      <c r="C22" s="18"/>
      <c r="D22" s="19"/>
      <c r="E22" s="19"/>
      <c r="F22" s="30"/>
      <c r="G22" s="19"/>
      <c r="H22" s="20"/>
      <c r="I22" s="19"/>
      <c r="J22" s="25"/>
      <c r="K22" s="84">
        <v>30</v>
      </c>
      <c r="L22" s="85">
        <v>70</v>
      </c>
      <c r="M22" s="86">
        <v>40</v>
      </c>
      <c r="N22" s="87">
        <v>40</v>
      </c>
      <c r="O22" s="87">
        <v>30</v>
      </c>
      <c r="P22" s="87">
        <v>20</v>
      </c>
      <c r="Q22" s="87">
        <v>20</v>
      </c>
      <c r="R22" s="87">
        <v>30</v>
      </c>
      <c r="S22" s="87">
        <v>50</v>
      </c>
      <c r="T22" s="109"/>
      <c r="U22" s="109"/>
      <c r="V22" s="89">
        <f t="shared" si="1"/>
        <v>3.8333333333333335</v>
      </c>
      <c r="W22" s="110" t="s">
        <v>82</v>
      </c>
      <c r="X22" s="105" t="s">
        <v>65</v>
      </c>
      <c r="Y22" s="108" t="s">
        <v>65</v>
      </c>
      <c r="Z22" s="108"/>
      <c r="AA22" s="108" t="s">
        <v>65</v>
      </c>
      <c r="AB22" s="108"/>
      <c r="AC22" s="108"/>
      <c r="AD22" s="108"/>
      <c r="AE22" s="108"/>
      <c r="AF22" s="109"/>
      <c r="AG22" s="111"/>
      <c r="AH22" s="6" t="e">
        <f>+AG22/#REF!</f>
        <v>#REF!</v>
      </c>
      <c r="AI22" s="99"/>
      <c r="AJ22" s="7" t="e">
        <f>+AI22/#REF!</f>
        <v>#REF!</v>
      </c>
      <c r="AK22" s="99"/>
      <c r="AL22" s="112"/>
      <c r="AM22" s="97" t="e">
        <f>+AL22/#REF!</f>
        <v>#REF!</v>
      </c>
      <c r="AN22" s="113"/>
      <c r="AO22" s="6" t="e">
        <f>+AN22/#REF!</f>
        <v>#REF!</v>
      </c>
      <c r="AP22" s="99"/>
      <c r="AQ22" s="7" t="e">
        <f>+AP22/#REF!</f>
        <v>#REF!</v>
      </c>
      <c r="AR22" s="99"/>
      <c r="AS22" s="99"/>
      <c r="AT22" s="97" t="e">
        <f>+AS22/#REF!</f>
        <v>#REF!</v>
      </c>
      <c r="AU22" s="113"/>
      <c r="AV22" s="6" t="e">
        <f>+AU22/#REF!</f>
        <v>#REF!</v>
      </c>
      <c r="AW22" s="99"/>
      <c r="AX22" s="7" t="e">
        <f>+AW22/#REF!</f>
        <v>#REF!</v>
      </c>
      <c r="AY22" s="99"/>
      <c r="AZ22" s="112"/>
      <c r="BA22" s="97" t="e">
        <f>+AZ22/#REF!</f>
        <v>#REF!</v>
      </c>
      <c r="BB22" s="113"/>
      <c r="BC22" s="6" t="e">
        <f>+BB22/#REF!</f>
        <v>#REF!</v>
      </c>
      <c r="BD22" s="99"/>
      <c r="BE22" s="7" t="e">
        <f>+BD22/#REF!</f>
        <v>#REF!</v>
      </c>
      <c r="BF22" s="99"/>
      <c r="BG22" s="99"/>
      <c r="BH22" s="8" t="e">
        <f>+BG22/#REF!</f>
        <v>#REF!</v>
      </c>
      <c r="BI22" s="113">
        <v>1</v>
      </c>
      <c r="BJ22" s="6" t="e">
        <f>+BI22/#REF!</f>
        <v>#REF!</v>
      </c>
      <c r="BK22" s="99">
        <v>1</v>
      </c>
      <c r="BL22" s="7" t="e">
        <f>+BK22/#REF!</f>
        <v>#REF!</v>
      </c>
      <c r="BM22" s="99"/>
      <c r="BN22" s="99">
        <v>1</v>
      </c>
      <c r="BO22" s="8" t="e">
        <f>+BN22/#REF!</f>
        <v>#REF!</v>
      </c>
      <c r="BP22" s="113"/>
      <c r="BQ22" s="6" t="e">
        <f>+BP22/#REF!</f>
        <v>#REF!</v>
      </c>
      <c r="BR22" s="99"/>
      <c r="BS22" s="7" t="e">
        <f>+BR22/#REF!</f>
        <v>#REF!</v>
      </c>
      <c r="BT22" s="99"/>
      <c r="BU22" s="99"/>
      <c r="BV22" s="8" t="e">
        <f>+BU22/#REF!</f>
        <v>#REF!</v>
      </c>
      <c r="BW22" s="113"/>
      <c r="BX22" s="6" t="e">
        <f>+BW22/#REF!</f>
        <v>#REF!</v>
      </c>
      <c r="BY22" s="99"/>
      <c r="BZ22" s="7" t="e">
        <f>+BY22/#REF!</f>
        <v>#REF!</v>
      </c>
      <c r="CA22" s="99"/>
      <c r="CB22" s="99"/>
      <c r="CC22" s="8" t="e">
        <f>+CB22/#REF!</f>
        <v>#REF!</v>
      </c>
      <c r="CD22" s="113"/>
      <c r="CE22" s="6" t="e">
        <f>+CD22/#REF!</f>
        <v>#REF!</v>
      </c>
      <c r="CF22" s="99"/>
      <c r="CG22" s="7" t="e">
        <f>+CF22/#REF!</f>
        <v>#REF!</v>
      </c>
      <c r="CH22" s="99"/>
      <c r="CI22" s="99"/>
      <c r="CJ22" s="8" t="e">
        <f>+CI22/#REF!</f>
        <v>#REF!</v>
      </c>
      <c r="CK22" s="113"/>
      <c r="CL22" s="6" t="e">
        <f>+CK22/#REF!</f>
        <v>#REF!</v>
      </c>
      <c r="CM22" s="99"/>
      <c r="CN22" s="100" t="e">
        <f>+CM22/#REF!</f>
        <v>#REF!</v>
      </c>
      <c r="CO22" s="113"/>
      <c r="CP22" s="115"/>
      <c r="CQ22" s="8" t="e">
        <f>+CP22/#REF!</f>
        <v>#REF!</v>
      </c>
      <c r="CR22" s="113"/>
      <c r="CS22" s="6" t="e">
        <f>+CR22/#REF!</f>
        <v>#REF!</v>
      </c>
      <c r="CT22" s="99"/>
      <c r="CU22" s="7" t="e">
        <f>+CT22/#REF!</f>
        <v>#REF!</v>
      </c>
      <c r="CV22" s="99"/>
      <c r="CW22" s="92"/>
      <c r="CX22" s="8" t="e">
        <f>+CW22/#REF!</f>
        <v>#REF!</v>
      </c>
      <c r="CY22" s="113"/>
      <c r="CZ22" s="6" t="e">
        <f>+CY22/#REF!</f>
        <v>#REF!</v>
      </c>
      <c r="DA22" s="99"/>
      <c r="DB22" s="7" t="e">
        <f>+DA22/#REF!</f>
        <v>#REF!</v>
      </c>
      <c r="DC22" s="111"/>
      <c r="DD22" s="99"/>
      <c r="DE22" s="8" t="e">
        <f>+DD22/#REF!</f>
        <v>#REF!</v>
      </c>
      <c r="DF22" s="113"/>
      <c r="DG22" s="6" t="e">
        <f>+DF22/#REF!</f>
        <v>#REF!</v>
      </c>
      <c r="DH22" s="99"/>
      <c r="DI22" s="7" t="e">
        <f>+DH22/#REF!</f>
        <v>#REF!</v>
      </c>
      <c r="DJ22" s="99"/>
      <c r="DK22" s="92"/>
      <c r="DL22" s="8" t="e">
        <f>+DK22/#REF!</f>
        <v>#REF!</v>
      </c>
      <c r="DM22" s="113"/>
      <c r="DN22" s="6" t="e">
        <f>+DM22/#REF!</f>
        <v>#REF!</v>
      </c>
      <c r="DO22" s="99"/>
      <c r="DP22" s="100" t="e">
        <f>+DO22/#REF!</f>
        <v>#REF!</v>
      </c>
      <c r="DQ22" s="113"/>
      <c r="DR22" s="115"/>
      <c r="DS22" s="8" t="e">
        <f>+DR22/#REF!</f>
        <v>#REF!</v>
      </c>
      <c r="DT22" s="113"/>
      <c r="DU22" s="6" t="e">
        <f>+DT22/#REF!</f>
        <v>#REF!</v>
      </c>
      <c r="DV22" s="99"/>
      <c r="DW22" s="7" t="e">
        <f>+DV22/#REF!</f>
        <v>#REF!</v>
      </c>
      <c r="DX22" s="99"/>
      <c r="DY22" s="92"/>
      <c r="DZ22" s="8" t="e">
        <f>+DY22/#REF!</f>
        <v>#REF!</v>
      </c>
      <c r="EA22" s="113"/>
      <c r="EB22" s="6" t="e">
        <f>+EA22/#REF!</f>
        <v>#REF!</v>
      </c>
      <c r="EC22" s="99"/>
      <c r="ED22" s="100" t="e">
        <f>+EC22/#REF!</f>
        <v>#REF!</v>
      </c>
      <c r="EE22" s="113"/>
      <c r="EF22" s="115"/>
      <c r="EG22" s="8" t="e">
        <f>+EF22/#REF!</f>
        <v>#REF!</v>
      </c>
      <c r="EH22" s="113"/>
      <c r="EI22" s="6" t="e">
        <f>+EH22/#REF!</f>
        <v>#REF!</v>
      </c>
      <c r="EJ22" s="99"/>
      <c r="EK22" s="7" t="e">
        <f>+EJ22/#REF!</f>
        <v>#REF!</v>
      </c>
      <c r="EL22" s="99"/>
      <c r="EM22" s="92"/>
      <c r="EN22" s="8" t="e">
        <f>+EM22/#REF!</f>
        <v>#REF!</v>
      </c>
    </row>
    <row r="23" spans="2:169" s="1" customFormat="1" ht="16.95" customHeight="1">
      <c r="B23" s="104" t="s">
        <v>86</v>
      </c>
      <c r="C23" s="18"/>
      <c r="D23" s="19"/>
      <c r="E23" s="19" t="s">
        <v>65</v>
      </c>
      <c r="F23" s="19"/>
      <c r="G23" s="19"/>
      <c r="H23" s="20"/>
      <c r="I23" s="19"/>
      <c r="J23" s="25"/>
      <c r="K23" s="84">
        <v>30</v>
      </c>
      <c r="L23" s="85">
        <v>70</v>
      </c>
      <c r="M23" s="86">
        <v>40</v>
      </c>
      <c r="N23" s="87">
        <v>40</v>
      </c>
      <c r="O23" s="87">
        <v>30</v>
      </c>
      <c r="P23" s="87">
        <v>20</v>
      </c>
      <c r="Q23" s="87">
        <v>20</v>
      </c>
      <c r="R23" s="87">
        <v>30</v>
      </c>
      <c r="S23" s="87">
        <v>50</v>
      </c>
      <c r="T23" s="109"/>
      <c r="U23" s="109"/>
      <c r="V23" s="89">
        <f t="shared" si="1"/>
        <v>3.8333333333333335</v>
      </c>
      <c r="W23" s="110" t="s">
        <v>82</v>
      </c>
      <c r="X23" s="105" t="s">
        <v>65</v>
      </c>
      <c r="Y23" s="108" t="s">
        <v>65</v>
      </c>
      <c r="Z23" s="108"/>
      <c r="AA23" s="108" t="s">
        <v>65</v>
      </c>
      <c r="AB23" s="108"/>
      <c r="AC23" s="108"/>
      <c r="AD23" s="108"/>
      <c r="AE23" s="108"/>
      <c r="AF23" s="109"/>
      <c r="AG23" s="111"/>
      <c r="AH23" s="6" t="e">
        <f>+AG23/#REF!</f>
        <v>#REF!</v>
      </c>
      <c r="AI23" s="99"/>
      <c r="AJ23" s="7" t="e">
        <f>+AI23/#REF!</f>
        <v>#REF!</v>
      </c>
      <c r="AK23" s="99"/>
      <c r="AL23" s="112"/>
      <c r="AM23" s="97" t="e">
        <f>+AL23/#REF!</f>
        <v>#REF!</v>
      </c>
      <c r="AN23" s="113"/>
      <c r="AO23" s="6" t="e">
        <f>+AN23/#REF!</f>
        <v>#REF!</v>
      </c>
      <c r="AP23" s="99"/>
      <c r="AQ23" s="7" t="e">
        <f>+AP23/#REF!</f>
        <v>#REF!</v>
      </c>
      <c r="AR23" s="99"/>
      <c r="AS23" s="99"/>
      <c r="AT23" s="97" t="e">
        <f>+AS23/#REF!</f>
        <v>#REF!</v>
      </c>
      <c r="AU23" s="113">
        <v>1</v>
      </c>
      <c r="AV23" s="6" t="e">
        <f>+AU23/#REF!</f>
        <v>#REF!</v>
      </c>
      <c r="AW23" s="99">
        <v>1</v>
      </c>
      <c r="AX23" s="7" t="e">
        <f>+AW23/#REF!</f>
        <v>#REF!</v>
      </c>
      <c r="AY23" s="99">
        <v>6777</v>
      </c>
      <c r="AZ23" s="112">
        <f>AU23*2</f>
        <v>2</v>
      </c>
      <c r="BA23" s="97" t="e">
        <f>+AZ23/#REF!</f>
        <v>#REF!</v>
      </c>
      <c r="BB23" s="113"/>
      <c r="BC23" s="6" t="e">
        <f>+BB23/#REF!</f>
        <v>#REF!</v>
      </c>
      <c r="BD23" s="99"/>
      <c r="BE23" s="7" t="e">
        <f>+BD23/#REF!</f>
        <v>#REF!</v>
      </c>
      <c r="BF23" s="99"/>
      <c r="BG23" s="99"/>
      <c r="BH23" s="8" t="e">
        <f>+BG23/#REF!</f>
        <v>#REF!</v>
      </c>
      <c r="BI23" s="113"/>
      <c r="BJ23" s="6" t="e">
        <f>+BI23/#REF!</f>
        <v>#REF!</v>
      </c>
      <c r="BK23" s="99"/>
      <c r="BL23" s="7" t="e">
        <f>+BK23/#REF!</f>
        <v>#REF!</v>
      </c>
      <c r="BM23" s="99"/>
      <c r="BN23" s="99"/>
      <c r="BO23" s="8" t="e">
        <f>+BN23/#REF!</f>
        <v>#REF!</v>
      </c>
      <c r="BP23" s="113"/>
      <c r="BQ23" s="6" t="e">
        <f>+BP23/#REF!</f>
        <v>#REF!</v>
      </c>
      <c r="BR23" s="99"/>
      <c r="BS23" s="7" t="e">
        <f>+BR23/#REF!</f>
        <v>#REF!</v>
      </c>
      <c r="BT23" s="99"/>
      <c r="BU23" s="99"/>
      <c r="BV23" s="8" t="e">
        <f>+BU23/#REF!</f>
        <v>#REF!</v>
      </c>
      <c r="BW23" s="113"/>
      <c r="BX23" s="6" t="e">
        <f>+BW23/#REF!</f>
        <v>#REF!</v>
      </c>
      <c r="BY23" s="99"/>
      <c r="BZ23" s="7" t="e">
        <f>+BY23/#REF!</f>
        <v>#REF!</v>
      </c>
      <c r="CA23" s="99"/>
      <c r="CB23" s="99"/>
      <c r="CC23" s="8" t="e">
        <f>+CB23/#REF!</f>
        <v>#REF!</v>
      </c>
      <c r="CD23" s="113"/>
      <c r="CE23" s="6" t="e">
        <f>+CD23/#REF!</f>
        <v>#REF!</v>
      </c>
      <c r="CF23" s="99"/>
      <c r="CG23" s="7" t="e">
        <f>+CF23/#REF!</f>
        <v>#REF!</v>
      </c>
      <c r="CH23" s="99"/>
      <c r="CI23" s="99"/>
      <c r="CJ23" s="8" t="e">
        <f>+CI23/#REF!</f>
        <v>#REF!</v>
      </c>
      <c r="CK23" s="113"/>
      <c r="CL23" s="6" t="e">
        <f>+CK23/#REF!</f>
        <v>#REF!</v>
      </c>
      <c r="CM23" s="99"/>
      <c r="CN23" s="100" t="e">
        <f>+CM23/#REF!</f>
        <v>#REF!</v>
      </c>
      <c r="CO23" s="113"/>
      <c r="CP23" s="115"/>
      <c r="CQ23" s="8" t="e">
        <f>+CP23/#REF!</f>
        <v>#REF!</v>
      </c>
      <c r="CR23" s="113"/>
      <c r="CS23" s="6" t="e">
        <f>+CR23/#REF!</f>
        <v>#REF!</v>
      </c>
      <c r="CT23" s="99"/>
      <c r="CU23" s="7" t="e">
        <f>+CT23/#REF!</f>
        <v>#REF!</v>
      </c>
      <c r="CV23" s="99"/>
      <c r="CW23" s="92"/>
      <c r="CX23" s="8" t="e">
        <f>+CW23/#REF!</f>
        <v>#REF!</v>
      </c>
      <c r="CY23" s="113"/>
      <c r="CZ23" s="6" t="e">
        <f>+CY23/#REF!</f>
        <v>#REF!</v>
      </c>
      <c r="DA23" s="99"/>
      <c r="DB23" s="7" t="e">
        <f>+DA23/#REF!</f>
        <v>#REF!</v>
      </c>
      <c r="DC23" s="111"/>
      <c r="DD23" s="99"/>
      <c r="DE23" s="8" t="e">
        <f>+DD23/#REF!</f>
        <v>#REF!</v>
      </c>
      <c r="DF23" s="113"/>
      <c r="DG23" s="6" t="e">
        <f>+DF23/#REF!</f>
        <v>#REF!</v>
      </c>
      <c r="DH23" s="99"/>
      <c r="DI23" s="7" t="e">
        <f>+DH23/#REF!</f>
        <v>#REF!</v>
      </c>
      <c r="DJ23" s="99"/>
      <c r="DK23" s="92"/>
      <c r="DL23" s="8" t="e">
        <f>+DK23/#REF!</f>
        <v>#REF!</v>
      </c>
      <c r="DM23" s="113"/>
      <c r="DN23" s="6" t="e">
        <f>+DM23/#REF!</f>
        <v>#REF!</v>
      </c>
      <c r="DO23" s="99"/>
      <c r="DP23" s="100" t="e">
        <f>+DO23/#REF!</f>
        <v>#REF!</v>
      </c>
      <c r="DQ23" s="113"/>
      <c r="DR23" s="115"/>
      <c r="DS23" s="8" t="e">
        <f>+DR23/#REF!</f>
        <v>#REF!</v>
      </c>
      <c r="DT23" s="113"/>
      <c r="DU23" s="6" t="e">
        <f>+DT23/#REF!</f>
        <v>#REF!</v>
      </c>
      <c r="DV23" s="99"/>
      <c r="DW23" s="7" t="e">
        <f>+DV23/#REF!</f>
        <v>#REF!</v>
      </c>
      <c r="DX23" s="99"/>
      <c r="DY23" s="92"/>
      <c r="DZ23" s="8" t="e">
        <f>+DY23/#REF!</f>
        <v>#REF!</v>
      </c>
      <c r="EA23" s="113"/>
      <c r="EB23" s="6" t="e">
        <f>+EA23/#REF!</f>
        <v>#REF!</v>
      </c>
      <c r="EC23" s="99"/>
      <c r="ED23" s="100" t="e">
        <f>+EC23/#REF!</f>
        <v>#REF!</v>
      </c>
      <c r="EE23" s="113"/>
      <c r="EF23" s="115"/>
      <c r="EG23" s="8" t="e">
        <f>+EF23/#REF!</f>
        <v>#REF!</v>
      </c>
      <c r="EH23" s="113"/>
      <c r="EI23" s="6" t="e">
        <f>+EH23/#REF!</f>
        <v>#REF!</v>
      </c>
      <c r="EJ23" s="99"/>
      <c r="EK23" s="7" t="e">
        <f>+EJ23/#REF!</f>
        <v>#REF!</v>
      </c>
      <c r="EL23" s="99"/>
      <c r="EM23" s="92"/>
      <c r="EN23" s="8" t="e">
        <f>+EM23/#REF!</f>
        <v>#REF!</v>
      </c>
    </row>
    <row r="24" spans="2:169" s="1" customFormat="1" ht="16.95" customHeight="1">
      <c r="B24" s="104" t="s">
        <v>87</v>
      </c>
      <c r="C24" s="19" t="s">
        <v>65</v>
      </c>
      <c r="D24" s="19"/>
      <c r="E24" s="19"/>
      <c r="F24" s="19"/>
      <c r="G24" s="19" t="s">
        <v>65</v>
      </c>
      <c r="H24" s="20"/>
      <c r="I24" s="19"/>
      <c r="J24" s="25"/>
      <c r="K24" s="84">
        <v>30</v>
      </c>
      <c r="L24" s="85">
        <v>70</v>
      </c>
      <c r="M24" s="86">
        <v>40</v>
      </c>
      <c r="N24" s="87">
        <v>40</v>
      </c>
      <c r="O24" s="87">
        <v>30</v>
      </c>
      <c r="P24" s="87">
        <v>20</v>
      </c>
      <c r="Q24" s="87">
        <v>20</v>
      </c>
      <c r="R24" s="87">
        <v>30</v>
      </c>
      <c r="S24" s="87">
        <v>50</v>
      </c>
      <c r="T24" s="109"/>
      <c r="U24" s="109"/>
      <c r="V24" s="89">
        <f t="shared" si="1"/>
        <v>3.8333333333333335</v>
      </c>
      <c r="W24" s="110" t="s">
        <v>73</v>
      </c>
      <c r="X24" s="105" t="s">
        <v>65</v>
      </c>
      <c r="Y24" s="108" t="s">
        <v>65</v>
      </c>
      <c r="Z24" s="108"/>
      <c r="AA24" s="108" t="s">
        <v>65</v>
      </c>
      <c r="AB24" s="108"/>
      <c r="AC24" s="108"/>
      <c r="AD24" s="108"/>
      <c r="AE24" s="108"/>
      <c r="AF24" s="109"/>
      <c r="AG24" s="111"/>
      <c r="AH24" s="6" t="e">
        <f>+AG24/#REF!</f>
        <v>#REF!</v>
      </c>
      <c r="AI24" s="99"/>
      <c r="AJ24" s="7" t="e">
        <f>+AI24/#REF!</f>
        <v>#REF!</v>
      </c>
      <c r="AK24" s="99"/>
      <c r="AL24" s="112"/>
      <c r="AM24" s="97" t="e">
        <f>+AL24/#REF!</f>
        <v>#REF!</v>
      </c>
      <c r="AN24" s="113"/>
      <c r="AO24" s="6" t="e">
        <f>+AN24/#REF!</f>
        <v>#REF!</v>
      </c>
      <c r="AP24" s="99"/>
      <c r="AQ24" s="7" t="e">
        <f>+AP24/#REF!</f>
        <v>#REF!</v>
      </c>
      <c r="AR24" s="99"/>
      <c r="AS24" s="99"/>
      <c r="AT24" s="97" t="e">
        <f>+AS24/#REF!</f>
        <v>#REF!</v>
      </c>
      <c r="AU24" s="113"/>
      <c r="AV24" s="6" t="e">
        <f>+AU24/#REF!</f>
        <v>#REF!</v>
      </c>
      <c r="AW24" s="99"/>
      <c r="AX24" s="7" t="e">
        <f>+AW24/#REF!</f>
        <v>#REF!</v>
      </c>
      <c r="AY24" s="99"/>
      <c r="AZ24" s="112"/>
      <c r="BA24" s="97" t="e">
        <f>+AZ24/#REF!</f>
        <v>#REF!</v>
      </c>
      <c r="BB24" s="113"/>
      <c r="BC24" s="6" t="e">
        <f>+BB24/#REF!</f>
        <v>#REF!</v>
      </c>
      <c r="BD24" s="99"/>
      <c r="BE24" s="7" t="e">
        <f>+BD24/#REF!</f>
        <v>#REF!</v>
      </c>
      <c r="BF24" s="99"/>
      <c r="BG24" s="99"/>
      <c r="BH24" s="8" t="e">
        <f>+BG24/#REF!</f>
        <v>#REF!</v>
      </c>
      <c r="BI24" s="113">
        <v>6</v>
      </c>
      <c r="BJ24" s="6" t="e">
        <f>+BI24/#REF!</f>
        <v>#REF!</v>
      </c>
      <c r="BK24" s="99">
        <v>6</v>
      </c>
      <c r="BL24" s="7" t="e">
        <f>+BK24/#REF!</f>
        <v>#REF!</v>
      </c>
      <c r="BM24" s="99">
        <v>10234</v>
      </c>
      <c r="BN24" s="99">
        <f>BI24*4</f>
        <v>24</v>
      </c>
      <c r="BO24" s="8" t="e">
        <f>+BN24/#REF!</f>
        <v>#REF!</v>
      </c>
      <c r="BP24" s="113">
        <v>15</v>
      </c>
      <c r="BQ24" s="6" t="e">
        <f>+BP24/#REF!</f>
        <v>#REF!</v>
      </c>
      <c r="BR24" s="99">
        <v>5</v>
      </c>
      <c r="BS24" s="7" t="e">
        <f>+BR24/#REF!</f>
        <v>#REF!</v>
      </c>
      <c r="BT24" s="99">
        <v>10490</v>
      </c>
      <c r="BU24" s="99">
        <f>BP24*4</f>
        <v>60</v>
      </c>
      <c r="BV24" s="8" t="e">
        <f>+BU24/#REF!</f>
        <v>#REF!</v>
      </c>
      <c r="BW24" s="113"/>
      <c r="BX24" s="6" t="e">
        <f>+BW24/#REF!</f>
        <v>#REF!</v>
      </c>
      <c r="BY24" s="99"/>
      <c r="BZ24" s="7" t="e">
        <f>+BY24/#REF!</f>
        <v>#REF!</v>
      </c>
      <c r="CA24" s="99"/>
      <c r="CB24" s="99"/>
      <c r="CC24" s="8" t="e">
        <f>+CB24/#REF!</f>
        <v>#REF!</v>
      </c>
      <c r="CD24" s="113">
        <v>4</v>
      </c>
      <c r="CE24" s="6" t="e">
        <f>+CD24/#REF!</f>
        <v>#REF!</v>
      </c>
      <c r="CF24" s="99">
        <v>1</v>
      </c>
      <c r="CG24" s="7" t="e">
        <f>+CF24/#REF!</f>
        <v>#REF!</v>
      </c>
      <c r="CH24" s="99">
        <v>8454</v>
      </c>
      <c r="CI24" s="99">
        <f>CD24*3</f>
        <v>12</v>
      </c>
      <c r="CJ24" s="8" t="e">
        <f>+CI24/#REF!</f>
        <v>#REF!</v>
      </c>
      <c r="CK24" s="113">
        <v>1</v>
      </c>
      <c r="CL24" s="6" t="e">
        <f>+CK24/#REF!</f>
        <v>#REF!</v>
      </c>
      <c r="CM24" s="99">
        <v>1</v>
      </c>
      <c r="CN24" s="100" t="e">
        <f>+CM24/#REF!</f>
        <v>#REF!</v>
      </c>
      <c r="CO24" s="113">
        <v>15113</v>
      </c>
      <c r="CP24" s="115">
        <f>CK24*5</f>
        <v>5</v>
      </c>
      <c r="CQ24" s="8" t="e">
        <f>+CP24/#REF!</f>
        <v>#REF!</v>
      </c>
      <c r="CR24" s="113">
        <v>2</v>
      </c>
      <c r="CS24" s="6" t="e">
        <f>+CR24/#REF!</f>
        <v>#REF!</v>
      </c>
      <c r="CT24" s="99">
        <v>1</v>
      </c>
      <c r="CU24" s="7" t="e">
        <f>+CT24/#REF!</f>
        <v>#REF!</v>
      </c>
      <c r="CV24" s="99">
        <v>15113</v>
      </c>
      <c r="CW24" s="92">
        <f>CR24*5</f>
        <v>10</v>
      </c>
      <c r="CX24" s="8" t="e">
        <f>+CW24/#REF!</f>
        <v>#REF!</v>
      </c>
      <c r="CY24" s="113"/>
      <c r="CZ24" s="6" t="e">
        <f>+CY24/#REF!</f>
        <v>#REF!</v>
      </c>
      <c r="DA24" s="99"/>
      <c r="DB24" s="7" t="e">
        <f>+DA24/#REF!</f>
        <v>#REF!</v>
      </c>
      <c r="DC24" s="111"/>
      <c r="DD24" s="99"/>
      <c r="DE24" s="8" t="e">
        <f>+DD24/#REF!</f>
        <v>#REF!</v>
      </c>
      <c r="DF24" s="113"/>
      <c r="DG24" s="6" t="e">
        <f>+DF24/#REF!</f>
        <v>#REF!</v>
      </c>
      <c r="DH24" s="99"/>
      <c r="DI24" s="7" t="e">
        <f>+DH24/#REF!</f>
        <v>#REF!</v>
      </c>
      <c r="DJ24" s="99"/>
      <c r="DK24" s="92"/>
      <c r="DL24" s="8" t="e">
        <f>+DK24/#REF!</f>
        <v>#REF!</v>
      </c>
      <c r="DM24" s="113">
        <v>25</v>
      </c>
      <c r="DN24" s="6" t="e">
        <f>+DM24/#REF!</f>
        <v>#REF!</v>
      </c>
      <c r="DO24" s="99">
        <v>5</v>
      </c>
      <c r="DP24" s="100" t="e">
        <f>+DO24/#REF!</f>
        <v>#REF!</v>
      </c>
      <c r="DQ24" s="113">
        <v>13517</v>
      </c>
      <c r="DR24" s="115">
        <f>DM24*5</f>
        <v>125</v>
      </c>
      <c r="DS24" s="8" t="e">
        <f>+DR24/#REF!</f>
        <v>#REF!</v>
      </c>
      <c r="DT24" s="113">
        <v>11</v>
      </c>
      <c r="DU24" s="6" t="e">
        <f>+DT24/#REF!</f>
        <v>#REF!</v>
      </c>
      <c r="DV24" s="99">
        <v>3</v>
      </c>
      <c r="DW24" s="7" t="e">
        <f>+DV24/#REF!</f>
        <v>#REF!</v>
      </c>
      <c r="DX24" s="99">
        <v>12502</v>
      </c>
      <c r="DY24" s="92">
        <f>DT24*5</f>
        <v>55</v>
      </c>
      <c r="DZ24" s="8" t="e">
        <f>+DY24/#REF!</f>
        <v>#REF!</v>
      </c>
      <c r="EA24" s="113"/>
      <c r="EB24" s="6" t="e">
        <f>+EA24/#REF!</f>
        <v>#REF!</v>
      </c>
      <c r="EC24" s="99"/>
      <c r="ED24" s="100" t="e">
        <f>+EC24/#REF!</f>
        <v>#REF!</v>
      </c>
      <c r="EE24" s="113"/>
      <c r="EF24" s="115">
        <f>EA24*5</f>
        <v>0</v>
      </c>
      <c r="EG24" s="8" t="e">
        <f>+EF24/#REF!</f>
        <v>#REF!</v>
      </c>
      <c r="EH24" s="113"/>
      <c r="EI24" s="6" t="e">
        <f>+EH24/#REF!</f>
        <v>#REF!</v>
      </c>
      <c r="EJ24" s="99"/>
      <c r="EK24" s="7" t="e">
        <f>+EJ24/#REF!</f>
        <v>#REF!</v>
      </c>
      <c r="EL24" s="99"/>
      <c r="EM24" s="92"/>
      <c r="EN24" s="8" t="e">
        <f>+EM24/#REF!</f>
        <v>#REF!</v>
      </c>
    </row>
    <row r="25" spans="2:169" s="1" customFormat="1" ht="16.95" customHeight="1">
      <c r="B25" s="104" t="s">
        <v>88</v>
      </c>
      <c r="C25" s="18"/>
      <c r="D25" s="19"/>
      <c r="E25" s="19" t="s">
        <v>65</v>
      </c>
      <c r="F25" s="19"/>
      <c r="G25" s="19"/>
      <c r="H25" s="20"/>
      <c r="I25" s="19"/>
      <c r="J25" s="25"/>
      <c r="K25" s="84">
        <v>30</v>
      </c>
      <c r="L25" s="85">
        <v>70</v>
      </c>
      <c r="M25" s="86">
        <v>40</v>
      </c>
      <c r="N25" s="87">
        <v>40</v>
      </c>
      <c r="O25" s="87">
        <v>30</v>
      </c>
      <c r="P25" s="87">
        <v>20</v>
      </c>
      <c r="Q25" s="87">
        <v>20</v>
      </c>
      <c r="R25" s="87">
        <v>30</v>
      </c>
      <c r="S25" s="87">
        <v>50</v>
      </c>
      <c r="T25" s="109"/>
      <c r="U25" s="109"/>
      <c r="V25" s="89">
        <f t="shared" si="1"/>
        <v>3.8333333333333335</v>
      </c>
      <c r="W25" s="110" t="s">
        <v>73</v>
      </c>
      <c r="X25" s="105" t="s">
        <v>65</v>
      </c>
      <c r="Y25" s="108" t="s">
        <v>65</v>
      </c>
      <c r="Z25" s="108"/>
      <c r="AA25" s="108" t="s">
        <v>65</v>
      </c>
      <c r="AB25" s="108"/>
      <c r="AC25" s="108"/>
      <c r="AD25" s="108"/>
      <c r="AE25" s="108"/>
      <c r="AF25" s="109"/>
      <c r="AG25" s="111"/>
      <c r="AH25" s="6" t="e">
        <f>+AG25/#REF!</f>
        <v>#REF!</v>
      </c>
      <c r="AI25" s="99"/>
      <c r="AJ25" s="7" t="e">
        <f>+AI25/#REF!</f>
        <v>#REF!</v>
      </c>
      <c r="AK25" s="99"/>
      <c r="AL25" s="112"/>
      <c r="AM25" s="97" t="e">
        <f>+AL25/#REF!</f>
        <v>#REF!</v>
      </c>
      <c r="AN25" s="113"/>
      <c r="AO25" s="6" t="e">
        <f>+AN25/#REF!</f>
        <v>#REF!</v>
      </c>
      <c r="AP25" s="99"/>
      <c r="AQ25" s="7" t="e">
        <f>+AP25/#REF!</f>
        <v>#REF!</v>
      </c>
      <c r="AR25" s="99"/>
      <c r="AS25" s="99"/>
      <c r="AT25" s="97" t="e">
        <f>+AS25/#REF!</f>
        <v>#REF!</v>
      </c>
      <c r="AU25" s="113">
        <v>2</v>
      </c>
      <c r="AV25" s="6" t="e">
        <f>+AU25/#REF!</f>
        <v>#REF!</v>
      </c>
      <c r="AW25" s="99">
        <v>2</v>
      </c>
      <c r="AX25" s="7" t="e">
        <f>+AW25/#REF!</f>
        <v>#REF!</v>
      </c>
      <c r="AY25" s="99"/>
      <c r="AZ25" s="112">
        <f t="shared" si="4"/>
        <v>4</v>
      </c>
      <c r="BA25" s="97" t="e">
        <f>+AZ25/#REF!</f>
        <v>#REF!</v>
      </c>
      <c r="BB25" s="113"/>
      <c r="BC25" s="6" t="e">
        <f>+BB25/#REF!</f>
        <v>#REF!</v>
      </c>
      <c r="BD25" s="99"/>
      <c r="BE25" s="7" t="e">
        <f>+BD25/#REF!</f>
        <v>#REF!</v>
      </c>
      <c r="BF25" s="99"/>
      <c r="BG25" s="99"/>
      <c r="BH25" s="8" t="e">
        <f>+BG25/#REF!</f>
        <v>#REF!</v>
      </c>
      <c r="BI25" s="113"/>
      <c r="BJ25" s="6" t="e">
        <f>+BI25/#REF!</f>
        <v>#REF!</v>
      </c>
      <c r="BK25" s="99"/>
      <c r="BL25" s="7" t="e">
        <f>+BK25/#REF!</f>
        <v>#REF!</v>
      </c>
      <c r="BM25" s="99"/>
      <c r="BN25" s="99"/>
      <c r="BO25" s="8" t="e">
        <f>+BN25/#REF!</f>
        <v>#REF!</v>
      </c>
      <c r="BP25" s="113"/>
      <c r="BQ25" s="6" t="e">
        <f>+BP25/#REF!</f>
        <v>#REF!</v>
      </c>
      <c r="BR25" s="99"/>
      <c r="BS25" s="7" t="e">
        <f>+BR25/#REF!</f>
        <v>#REF!</v>
      </c>
      <c r="BT25" s="99"/>
      <c r="BU25" s="99"/>
      <c r="BV25" s="8" t="e">
        <f>+BU25/#REF!</f>
        <v>#REF!</v>
      </c>
      <c r="BW25" s="113"/>
      <c r="BX25" s="6" t="e">
        <f>+BW25/#REF!</f>
        <v>#REF!</v>
      </c>
      <c r="BY25" s="99"/>
      <c r="BZ25" s="7" t="e">
        <f>+BY25/#REF!</f>
        <v>#REF!</v>
      </c>
      <c r="CA25" s="99"/>
      <c r="CB25" s="99"/>
      <c r="CC25" s="8" t="e">
        <f>+CB25/#REF!</f>
        <v>#REF!</v>
      </c>
      <c r="CD25" s="113"/>
      <c r="CE25" s="6" t="e">
        <f>+CD25/#REF!</f>
        <v>#REF!</v>
      </c>
      <c r="CF25" s="99"/>
      <c r="CG25" s="7" t="e">
        <f>+CF25/#REF!</f>
        <v>#REF!</v>
      </c>
      <c r="CH25" s="99"/>
      <c r="CI25" s="99"/>
      <c r="CJ25" s="8" t="e">
        <f>+CI25/#REF!</f>
        <v>#REF!</v>
      </c>
      <c r="CK25" s="113"/>
      <c r="CL25" s="6" t="e">
        <f>+CK25/#REF!</f>
        <v>#REF!</v>
      </c>
      <c r="CM25" s="99"/>
      <c r="CN25" s="100" t="e">
        <f>+CM25/#REF!</f>
        <v>#REF!</v>
      </c>
      <c r="CO25" s="113"/>
      <c r="CP25" s="115"/>
      <c r="CQ25" s="8" t="e">
        <f>+CP25/#REF!</f>
        <v>#REF!</v>
      </c>
      <c r="CR25" s="113"/>
      <c r="CS25" s="6" t="e">
        <f>+CR25/#REF!</f>
        <v>#REF!</v>
      </c>
      <c r="CT25" s="99"/>
      <c r="CU25" s="7" t="e">
        <f>+CT25/#REF!</f>
        <v>#REF!</v>
      </c>
      <c r="CV25" s="99"/>
      <c r="CW25" s="92"/>
      <c r="CX25" s="8" t="e">
        <f>+CW25/#REF!</f>
        <v>#REF!</v>
      </c>
      <c r="CY25" s="113"/>
      <c r="CZ25" s="6" t="e">
        <f>+CY25/#REF!</f>
        <v>#REF!</v>
      </c>
      <c r="DA25" s="99"/>
      <c r="DB25" s="7" t="e">
        <f>+DA25/#REF!</f>
        <v>#REF!</v>
      </c>
      <c r="DC25" s="111"/>
      <c r="DD25" s="99"/>
      <c r="DE25" s="8" t="e">
        <f>+DD25/#REF!</f>
        <v>#REF!</v>
      </c>
      <c r="DF25" s="113"/>
      <c r="DG25" s="6" t="e">
        <f>+DF25/#REF!</f>
        <v>#REF!</v>
      </c>
      <c r="DH25" s="99"/>
      <c r="DI25" s="7" t="e">
        <f>+DH25/#REF!</f>
        <v>#REF!</v>
      </c>
      <c r="DJ25" s="99"/>
      <c r="DK25" s="92"/>
      <c r="DL25" s="8" t="e">
        <f>+DK25/#REF!</f>
        <v>#REF!</v>
      </c>
      <c r="DM25" s="113"/>
      <c r="DN25" s="6" t="e">
        <f>+DM25/#REF!</f>
        <v>#REF!</v>
      </c>
      <c r="DO25" s="99"/>
      <c r="DP25" s="100" t="e">
        <f>+DO25/#REF!</f>
        <v>#REF!</v>
      </c>
      <c r="DQ25" s="113"/>
      <c r="DR25" s="115"/>
      <c r="DS25" s="8" t="e">
        <f>+DR25/#REF!</f>
        <v>#REF!</v>
      </c>
      <c r="DT25" s="113"/>
      <c r="DU25" s="6" t="e">
        <f>+DT25/#REF!</f>
        <v>#REF!</v>
      </c>
      <c r="DV25" s="99"/>
      <c r="DW25" s="7" t="e">
        <f>+DV25/#REF!</f>
        <v>#REF!</v>
      </c>
      <c r="DX25" s="99"/>
      <c r="DY25" s="92"/>
      <c r="DZ25" s="8" t="e">
        <f>+DY25/#REF!</f>
        <v>#REF!</v>
      </c>
      <c r="EA25" s="113"/>
      <c r="EB25" s="6" t="e">
        <f>+EA25/#REF!</f>
        <v>#REF!</v>
      </c>
      <c r="EC25" s="99"/>
      <c r="ED25" s="100" t="e">
        <f>+EC25/#REF!</f>
        <v>#REF!</v>
      </c>
      <c r="EE25" s="113"/>
      <c r="EF25" s="115"/>
      <c r="EG25" s="8" t="e">
        <f>+EF25/#REF!</f>
        <v>#REF!</v>
      </c>
      <c r="EH25" s="113"/>
      <c r="EI25" s="6" t="e">
        <f>+EH25/#REF!</f>
        <v>#REF!</v>
      </c>
      <c r="EJ25" s="99"/>
      <c r="EK25" s="7" t="e">
        <f>+EJ25/#REF!</f>
        <v>#REF!</v>
      </c>
      <c r="EL25" s="99"/>
      <c r="EM25" s="92"/>
      <c r="EN25" s="8" t="e">
        <f>+EM25/#REF!</f>
        <v>#REF!</v>
      </c>
    </row>
    <row r="26" spans="2:169" s="1" customFormat="1" ht="16.95" customHeight="1">
      <c r="B26" s="104" t="s">
        <v>89</v>
      </c>
      <c r="C26" s="18"/>
      <c r="D26" s="19"/>
      <c r="E26" s="19" t="s">
        <v>65</v>
      </c>
      <c r="F26" s="19"/>
      <c r="G26" s="19"/>
      <c r="H26" s="20"/>
      <c r="I26" s="19"/>
      <c r="J26" s="25"/>
      <c r="K26" s="84">
        <v>30</v>
      </c>
      <c r="L26" s="85">
        <v>70</v>
      </c>
      <c r="M26" s="86">
        <v>40</v>
      </c>
      <c r="N26" s="87">
        <v>40</v>
      </c>
      <c r="O26" s="87">
        <v>30</v>
      </c>
      <c r="P26" s="87">
        <v>20</v>
      </c>
      <c r="Q26" s="87">
        <v>20</v>
      </c>
      <c r="R26" s="87">
        <v>30</v>
      </c>
      <c r="S26" s="87">
        <v>50</v>
      </c>
      <c r="T26" s="109"/>
      <c r="U26" s="109"/>
      <c r="V26" s="89">
        <f t="shared" si="1"/>
        <v>3.8333333333333335</v>
      </c>
      <c r="W26" s="110">
        <v>7</v>
      </c>
      <c r="X26" s="105" t="s">
        <v>65</v>
      </c>
      <c r="Y26" s="108" t="s">
        <v>65</v>
      </c>
      <c r="Z26" s="108"/>
      <c r="AA26" s="108" t="s">
        <v>65</v>
      </c>
      <c r="AB26" s="108"/>
      <c r="AC26" s="108"/>
      <c r="AD26" s="108" t="s">
        <v>65</v>
      </c>
      <c r="AE26" s="108"/>
      <c r="AF26" s="109" t="s">
        <v>65</v>
      </c>
      <c r="AG26" s="111"/>
      <c r="AH26" s="6" t="e">
        <f>+AG26/#REF!</f>
        <v>#REF!</v>
      </c>
      <c r="AI26" s="99"/>
      <c r="AJ26" s="7" t="e">
        <f>+AI26/#REF!</f>
        <v>#REF!</v>
      </c>
      <c r="AK26" s="99"/>
      <c r="AL26" s="112"/>
      <c r="AM26" s="97" t="e">
        <f>+AL26/#REF!</f>
        <v>#REF!</v>
      </c>
      <c r="AN26" s="113"/>
      <c r="AO26" s="6" t="e">
        <f>+AN26/#REF!</f>
        <v>#REF!</v>
      </c>
      <c r="AP26" s="99"/>
      <c r="AQ26" s="7" t="e">
        <f>+AP26/#REF!</f>
        <v>#REF!</v>
      </c>
      <c r="AR26" s="99"/>
      <c r="AS26" s="99"/>
      <c r="AT26" s="97" t="e">
        <f>+AS26/#REF!</f>
        <v>#REF!</v>
      </c>
      <c r="AU26" s="113"/>
      <c r="AV26" s="6" t="e">
        <f>+AU26/#REF!</f>
        <v>#REF!</v>
      </c>
      <c r="AW26" s="99"/>
      <c r="AX26" s="7" t="e">
        <f>+AW26/#REF!</f>
        <v>#REF!</v>
      </c>
      <c r="AY26" s="99"/>
      <c r="AZ26" s="112"/>
      <c r="BA26" s="97" t="e">
        <f>+AZ26/#REF!</f>
        <v>#REF!</v>
      </c>
      <c r="BB26" s="113"/>
      <c r="BC26" s="6" t="e">
        <f>+BB26/#REF!</f>
        <v>#REF!</v>
      </c>
      <c r="BD26" s="99"/>
      <c r="BE26" s="7" t="e">
        <f>+BD26/#REF!</f>
        <v>#REF!</v>
      </c>
      <c r="BF26" s="99"/>
      <c r="BG26" s="99"/>
      <c r="BH26" s="8" t="e">
        <f>+BG26/#REF!</f>
        <v>#REF!</v>
      </c>
      <c r="BI26" s="113"/>
      <c r="BJ26" s="6" t="e">
        <f>+BI26/#REF!</f>
        <v>#REF!</v>
      </c>
      <c r="BK26" s="99"/>
      <c r="BL26" s="7" t="e">
        <f>+BK26/#REF!</f>
        <v>#REF!</v>
      </c>
      <c r="BM26" s="99"/>
      <c r="BN26" s="99"/>
      <c r="BO26" s="8" t="e">
        <f>+BN26/#REF!</f>
        <v>#REF!</v>
      </c>
      <c r="BP26" s="113"/>
      <c r="BQ26" s="6" t="e">
        <f>+BP26/#REF!</f>
        <v>#REF!</v>
      </c>
      <c r="BR26" s="99"/>
      <c r="BS26" s="7" t="e">
        <f>+BR26/#REF!</f>
        <v>#REF!</v>
      </c>
      <c r="BT26" s="99"/>
      <c r="BU26" s="99"/>
      <c r="BV26" s="8" t="e">
        <f>+BU26/#REF!</f>
        <v>#REF!</v>
      </c>
      <c r="BW26" s="113"/>
      <c r="BX26" s="6" t="e">
        <f>+BW26/#REF!</f>
        <v>#REF!</v>
      </c>
      <c r="BY26" s="99"/>
      <c r="BZ26" s="7" t="e">
        <f>+BY26/#REF!</f>
        <v>#REF!</v>
      </c>
      <c r="CA26" s="99"/>
      <c r="CB26" s="99"/>
      <c r="CC26" s="8" t="e">
        <f>+CB26/#REF!</f>
        <v>#REF!</v>
      </c>
      <c r="CD26" s="113"/>
      <c r="CE26" s="6" t="e">
        <f>+CD26/#REF!</f>
        <v>#REF!</v>
      </c>
      <c r="CF26" s="99"/>
      <c r="CG26" s="7" t="e">
        <f>+CF26/#REF!</f>
        <v>#REF!</v>
      </c>
      <c r="CH26" s="99"/>
      <c r="CI26" s="99"/>
      <c r="CJ26" s="8" t="e">
        <f>+CI26/#REF!</f>
        <v>#REF!</v>
      </c>
      <c r="CK26" s="113"/>
      <c r="CL26" s="6" t="e">
        <f>+CK26/#REF!</f>
        <v>#REF!</v>
      </c>
      <c r="CM26" s="99"/>
      <c r="CN26" s="100" t="e">
        <f>+CM26/#REF!</f>
        <v>#REF!</v>
      </c>
      <c r="CO26" s="113"/>
      <c r="CP26" s="115"/>
      <c r="CQ26" s="8" t="e">
        <f>+CP26/#REF!</f>
        <v>#REF!</v>
      </c>
      <c r="CR26" s="113"/>
      <c r="CS26" s="6" t="e">
        <f>+CR26/#REF!</f>
        <v>#REF!</v>
      </c>
      <c r="CT26" s="99"/>
      <c r="CU26" s="7" t="e">
        <f>+CT26/#REF!</f>
        <v>#REF!</v>
      </c>
      <c r="CV26" s="99"/>
      <c r="CW26" s="92"/>
      <c r="CX26" s="8" t="e">
        <f>+CW26/#REF!</f>
        <v>#REF!</v>
      </c>
      <c r="CY26" s="113">
        <v>2</v>
      </c>
      <c r="CZ26" s="6" t="e">
        <f>+CY26/#REF!</f>
        <v>#REF!</v>
      </c>
      <c r="DA26" s="99">
        <v>2</v>
      </c>
      <c r="DB26" s="7" t="e">
        <f>+DA26/#REF!</f>
        <v>#REF!</v>
      </c>
      <c r="DC26" s="111">
        <v>8210</v>
      </c>
      <c r="DD26" s="99">
        <f>CY26*3</f>
        <v>6</v>
      </c>
      <c r="DE26" s="8" t="e">
        <f>+DD26/#REF!</f>
        <v>#REF!</v>
      </c>
      <c r="DF26" s="113"/>
      <c r="DG26" s="6" t="e">
        <f>+DF26/#REF!</f>
        <v>#REF!</v>
      </c>
      <c r="DH26" s="99"/>
      <c r="DI26" s="7" t="e">
        <f>+DH26/#REF!</f>
        <v>#REF!</v>
      </c>
      <c r="DJ26" s="99"/>
      <c r="DK26" s="92"/>
      <c r="DL26" s="8" t="e">
        <f>+DK26/#REF!</f>
        <v>#REF!</v>
      </c>
      <c r="DM26" s="113"/>
      <c r="DN26" s="6" t="e">
        <f>+DM26/#REF!</f>
        <v>#REF!</v>
      </c>
      <c r="DO26" s="99"/>
      <c r="DP26" s="100" t="e">
        <f>+DO26/#REF!</f>
        <v>#REF!</v>
      </c>
      <c r="DQ26" s="113"/>
      <c r="DR26" s="115"/>
      <c r="DS26" s="8" t="e">
        <f>+DR26/#REF!</f>
        <v>#REF!</v>
      </c>
      <c r="DT26" s="113"/>
      <c r="DU26" s="6" t="e">
        <f>+DT26/#REF!</f>
        <v>#REF!</v>
      </c>
      <c r="DV26" s="99"/>
      <c r="DW26" s="7" t="e">
        <f>+DV26/#REF!</f>
        <v>#REF!</v>
      </c>
      <c r="DX26" s="99"/>
      <c r="DY26" s="92"/>
      <c r="DZ26" s="8" t="e">
        <f>+DY26/#REF!</f>
        <v>#REF!</v>
      </c>
      <c r="EA26" s="113"/>
      <c r="EB26" s="6" t="e">
        <f>+EA26/#REF!</f>
        <v>#REF!</v>
      </c>
      <c r="EC26" s="99"/>
      <c r="ED26" s="100" t="e">
        <f>+EC26/#REF!</f>
        <v>#REF!</v>
      </c>
      <c r="EE26" s="113"/>
      <c r="EF26" s="115"/>
      <c r="EG26" s="8" t="e">
        <f>+EF26/#REF!</f>
        <v>#REF!</v>
      </c>
      <c r="EH26" s="113"/>
      <c r="EI26" s="6" t="e">
        <f>+EH26/#REF!</f>
        <v>#REF!</v>
      </c>
      <c r="EJ26" s="99"/>
      <c r="EK26" s="7" t="e">
        <f>+EJ26/#REF!</f>
        <v>#REF!</v>
      </c>
      <c r="EL26" s="99"/>
      <c r="EM26" s="92"/>
      <c r="EN26" s="8" t="e">
        <f>+EM26/#REF!</f>
        <v>#REF!</v>
      </c>
    </row>
    <row r="27" spans="2:169" s="1" customFormat="1" ht="16.95" customHeight="1">
      <c r="B27" s="104" t="s">
        <v>90</v>
      </c>
      <c r="C27" s="18"/>
      <c r="D27" s="19"/>
      <c r="E27" s="19" t="s">
        <v>65</v>
      </c>
      <c r="F27" s="19"/>
      <c r="G27" s="19"/>
      <c r="H27" s="20"/>
      <c r="I27" s="19"/>
      <c r="J27" s="25"/>
      <c r="K27" s="105">
        <v>35</v>
      </c>
      <c r="L27" s="106">
        <v>65</v>
      </c>
      <c r="M27" s="107">
        <v>70</v>
      </c>
      <c r="N27" s="108">
        <v>50</v>
      </c>
      <c r="O27" s="108">
        <v>40</v>
      </c>
      <c r="P27" s="108">
        <v>20</v>
      </c>
      <c r="Q27" s="108">
        <v>20</v>
      </c>
      <c r="R27" s="108">
        <v>20</v>
      </c>
      <c r="S27" s="108">
        <v>40</v>
      </c>
      <c r="T27" s="109"/>
      <c r="U27" s="109"/>
      <c r="V27" s="89">
        <f t="shared" si="1"/>
        <v>4.333333333333333</v>
      </c>
      <c r="W27" s="110">
        <v>14</v>
      </c>
      <c r="X27" s="105" t="s">
        <v>65</v>
      </c>
      <c r="Y27" s="108"/>
      <c r="Z27" s="108"/>
      <c r="AA27" s="108" t="s">
        <v>65</v>
      </c>
      <c r="AB27" s="108"/>
      <c r="AC27" s="108"/>
      <c r="AD27" s="108" t="s">
        <v>65</v>
      </c>
      <c r="AE27" s="108" t="s">
        <v>65</v>
      </c>
      <c r="AF27" s="109" t="s">
        <v>65</v>
      </c>
      <c r="AG27" s="111"/>
      <c r="AH27" s="6" t="e">
        <f>+AG27/#REF!</f>
        <v>#REF!</v>
      </c>
      <c r="AI27" s="99"/>
      <c r="AJ27" s="7" t="e">
        <f>+AI27/#REF!</f>
        <v>#REF!</v>
      </c>
      <c r="AK27" s="99"/>
      <c r="AL27" s="112"/>
      <c r="AM27" s="97" t="e">
        <f>+AL27/#REF!</f>
        <v>#REF!</v>
      </c>
      <c r="AN27" s="113"/>
      <c r="AO27" s="6" t="e">
        <f>+AN27/#REF!</f>
        <v>#REF!</v>
      </c>
      <c r="AP27" s="99"/>
      <c r="AQ27" s="7" t="e">
        <f>+AP27/#REF!</f>
        <v>#REF!</v>
      </c>
      <c r="AR27" s="99"/>
      <c r="AS27" s="99"/>
      <c r="AT27" s="97" t="e">
        <f>+AS27/#REF!</f>
        <v>#REF!</v>
      </c>
      <c r="AU27" s="113">
        <v>7</v>
      </c>
      <c r="AV27" s="6" t="e">
        <f>+AU27/#REF!</f>
        <v>#REF!</v>
      </c>
      <c r="AW27" s="99">
        <v>7</v>
      </c>
      <c r="AX27" s="7" t="e">
        <f>+AW27/#REF!</f>
        <v>#REF!</v>
      </c>
      <c r="AY27" s="99">
        <v>6522</v>
      </c>
      <c r="AZ27" s="112">
        <f>AU27*2</f>
        <v>14</v>
      </c>
      <c r="BA27" s="97" t="e">
        <f>+AZ27/#REF!</f>
        <v>#REF!</v>
      </c>
      <c r="BB27" s="113">
        <v>60</v>
      </c>
      <c r="BC27" s="6" t="e">
        <f>+BB27/#REF!</f>
        <v>#REF!</v>
      </c>
      <c r="BD27" s="99">
        <v>20</v>
      </c>
      <c r="BE27" s="7" t="e">
        <f>+BD27/#REF!</f>
        <v>#REF!</v>
      </c>
      <c r="BF27" s="99">
        <v>7556</v>
      </c>
      <c r="BG27" s="99">
        <f>BB27*2</f>
        <v>120</v>
      </c>
      <c r="BH27" s="8" t="e">
        <f>+BG27/#REF!</f>
        <v>#REF!</v>
      </c>
      <c r="BI27" s="113">
        <v>10</v>
      </c>
      <c r="BJ27" s="6" t="e">
        <f>+BI27/#REF!</f>
        <v>#REF!</v>
      </c>
      <c r="BK27" s="99">
        <v>10</v>
      </c>
      <c r="BL27" s="7" t="e">
        <f>+BK27/#REF!</f>
        <v>#REF!</v>
      </c>
      <c r="BM27" s="99">
        <v>6522</v>
      </c>
      <c r="BN27" s="99">
        <f t="shared" ref="BN27:BN28" si="5">BI27*2</f>
        <v>20</v>
      </c>
      <c r="BO27" s="8" t="e">
        <f>+BN27/#REF!</f>
        <v>#REF!</v>
      </c>
      <c r="BP27" s="113">
        <v>54</v>
      </c>
      <c r="BQ27" s="6" t="e">
        <f>+BP27/#REF!</f>
        <v>#REF!</v>
      </c>
      <c r="BR27" s="99">
        <v>19</v>
      </c>
      <c r="BS27" s="7" t="e">
        <f>+BR27/#REF!</f>
        <v>#REF!</v>
      </c>
      <c r="BT27" s="99">
        <v>9654</v>
      </c>
      <c r="BU27" s="99">
        <f>BP27*3</f>
        <v>162</v>
      </c>
      <c r="BV27" s="8" t="e">
        <f>+BU27/#REF!</f>
        <v>#REF!</v>
      </c>
      <c r="BW27" s="113">
        <v>31</v>
      </c>
      <c r="BX27" s="6" t="e">
        <f>+BW27/#REF!</f>
        <v>#REF!</v>
      </c>
      <c r="BY27" s="99">
        <v>30</v>
      </c>
      <c r="BZ27" s="7" t="e">
        <f>+BY27/#REF!</f>
        <v>#REF!</v>
      </c>
      <c r="CA27" s="99">
        <v>8709</v>
      </c>
      <c r="CB27" s="99">
        <f>BW27*3</f>
        <v>93</v>
      </c>
      <c r="CC27" s="8" t="e">
        <f>+CB27/#REF!</f>
        <v>#REF!</v>
      </c>
      <c r="CD27" s="113">
        <v>56</v>
      </c>
      <c r="CE27" s="6" t="e">
        <f>+CD27/#REF!</f>
        <v>#REF!</v>
      </c>
      <c r="CF27" s="99">
        <v>16</v>
      </c>
      <c r="CG27" s="7" t="e">
        <f>+CF27/#REF!</f>
        <v>#REF!</v>
      </c>
      <c r="CH27" s="99">
        <v>9281</v>
      </c>
      <c r="CI27" s="99">
        <f>CD27*3</f>
        <v>168</v>
      </c>
      <c r="CJ27" s="8" t="e">
        <f>+CI27/#REF!</f>
        <v>#REF!</v>
      </c>
      <c r="CK27" s="113">
        <v>65</v>
      </c>
      <c r="CL27" s="6" t="e">
        <f>+CK27/#REF!</f>
        <v>#REF!</v>
      </c>
      <c r="CM27" s="99">
        <v>36</v>
      </c>
      <c r="CN27" s="100" t="e">
        <f>+CM27/#REF!</f>
        <v>#REF!</v>
      </c>
      <c r="CO27" s="113">
        <v>13961</v>
      </c>
      <c r="CP27" s="115">
        <f>CK27*5</f>
        <v>325</v>
      </c>
      <c r="CQ27" s="8" t="e">
        <f>+CP27/#REF!</f>
        <v>#REF!</v>
      </c>
      <c r="CR27" s="113">
        <v>139</v>
      </c>
      <c r="CS27" s="6" t="e">
        <f>+CR27/#REF!</f>
        <v>#REF!</v>
      </c>
      <c r="CT27" s="99">
        <v>40</v>
      </c>
      <c r="CU27" s="7" t="e">
        <f>+CT27/#REF!</f>
        <v>#REF!</v>
      </c>
      <c r="CV27" s="99">
        <v>13178</v>
      </c>
      <c r="CW27" s="92">
        <f>CR27*5</f>
        <v>695</v>
      </c>
      <c r="CX27" s="8" t="e">
        <f>+CW27/#REF!</f>
        <v>#REF!</v>
      </c>
      <c r="CY27" s="113">
        <v>25</v>
      </c>
      <c r="CZ27" s="6" t="e">
        <f>+CY27/#REF!</f>
        <v>#REF!</v>
      </c>
      <c r="DA27" s="99">
        <v>16</v>
      </c>
      <c r="DB27" s="7" t="e">
        <f>+DA27/#REF!</f>
        <v>#REF!</v>
      </c>
      <c r="DC27" s="111">
        <v>13068</v>
      </c>
      <c r="DD27" s="99">
        <f>CY27*5</f>
        <v>125</v>
      </c>
      <c r="DE27" s="8" t="e">
        <f>+DD27/#REF!</f>
        <v>#REF!</v>
      </c>
      <c r="DF27" s="113">
        <v>52</v>
      </c>
      <c r="DG27" s="6" t="e">
        <f>+DF27/#REF!</f>
        <v>#REF!</v>
      </c>
      <c r="DH27" s="99">
        <v>19</v>
      </c>
      <c r="DI27" s="7" t="e">
        <f>+DH27/#REF!</f>
        <v>#REF!</v>
      </c>
      <c r="DJ27" s="99">
        <v>11036</v>
      </c>
      <c r="DK27" s="92">
        <f>DF27*4</f>
        <v>208</v>
      </c>
      <c r="DL27" s="8" t="e">
        <f>+DK27/#REF!</f>
        <v>#REF!</v>
      </c>
      <c r="DM27" s="113">
        <v>42</v>
      </c>
      <c r="DN27" s="6" t="e">
        <f>+DM27/#REF!</f>
        <v>#REF!</v>
      </c>
      <c r="DO27" s="99">
        <v>37</v>
      </c>
      <c r="DP27" s="100" t="e">
        <f>+DO27/#REF!</f>
        <v>#REF!</v>
      </c>
      <c r="DQ27" s="113">
        <v>9838</v>
      </c>
      <c r="DR27" s="115">
        <f>DM27*3</f>
        <v>126</v>
      </c>
      <c r="DS27" s="8" t="e">
        <f>+DR27/#REF!</f>
        <v>#REF!</v>
      </c>
      <c r="DT27" s="113">
        <v>120</v>
      </c>
      <c r="DU27" s="6" t="e">
        <f>+DT27/#REF!</f>
        <v>#REF!</v>
      </c>
      <c r="DV27" s="99">
        <v>38</v>
      </c>
      <c r="DW27" s="7" t="e">
        <f>+DV27/#REF!</f>
        <v>#REF!</v>
      </c>
      <c r="DX27" s="99">
        <v>12316</v>
      </c>
      <c r="DY27" s="92">
        <f>DT27*5</f>
        <v>600</v>
      </c>
      <c r="DZ27" s="8" t="e">
        <f>+DY27/#REF!</f>
        <v>#REF!</v>
      </c>
      <c r="EA27" s="113">
        <v>34</v>
      </c>
      <c r="EB27" s="6" t="e">
        <f>+EA27/#REF!</f>
        <v>#REF!</v>
      </c>
      <c r="EC27" s="99">
        <v>28</v>
      </c>
      <c r="ED27" s="100" t="e">
        <f>+EC27/#REF!</f>
        <v>#REF!</v>
      </c>
      <c r="EE27" s="113"/>
      <c r="EF27" s="115">
        <f>EA27*3</f>
        <v>102</v>
      </c>
      <c r="EG27" s="8" t="e">
        <f>+EF27/#REF!</f>
        <v>#REF!</v>
      </c>
      <c r="EH27" s="113">
        <v>132</v>
      </c>
      <c r="EI27" s="6" t="e">
        <f>+EH27/#REF!</f>
        <v>#REF!</v>
      </c>
      <c r="EJ27" s="99">
        <v>48</v>
      </c>
      <c r="EK27" s="7" t="e">
        <f>+EJ27/#REF!</f>
        <v>#REF!</v>
      </c>
      <c r="EL27" s="99"/>
      <c r="EM27" s="92"/>
      <c r="EN27" s="8" t="e">
        <f>+EM27/#REF!</f>
        <v>#REF!</v>
      </c>
    </row>
    <row r="28" spans="2:169" s="1" customFormat="1" ht="16.95" customHeight="1">
      <c r="B28" s="104" t="s">
        <v>90</v>
      </c>
      <c r="C28" s="18"/>
      <c r="D28" s="19"/>
      <c r="E28" s="19"/>
      <c r="F28" s="19"/>
      <c r="G28" s="19"/>
      <c r="H28" s="19" t="s">
        <v>65</v>
      </c>
      <c r="I28" s="19"/>
      <c r="J28" s="25"/>
      <c r="K28" s="105">
        <v>35</v>
      </c>
      <c r="L28" s="106">
        <v>65</v>
      </c>
      <c r="M28" s="107">
        <v>70</v>
      </c>
      <c r="N28" s="108">
        <v>50</v>
      </c>
      <c r="O28" s="108">
        <v>40</v>
      </c>
      <c r="P28" s="108">
        <v>20</v>
      </c>
      <c r="Q28" s="108">
        <v>20</v>
      </c>
      <c r="R28" s="108">
        <v>20</v>
      </c>
      <c r="S28" s="108">
        <v>40</v>
      </c>
      <c r="T28" s="109"/>
      <c r="U28" s="109"/>
      <c r="V28" s="89">
        <f t="shared" si="1"/>
        <v>4.333333333333333</v>
      </c>
      <c r="W28" s="110">
        <v>14</v>
      </c>
      <c r="X28" s="105" t="s">
        <v>65</v>
      </c>
      <c r="Y28" s="108"/>
      <c r="Z28" s="108"/>
      <c r="AA28" s="108" t="s">
        <v>65</v>
      </c>
      <c r="AB28" s="108"/>
      <c r="AC28" s="108"/>
      <c r="AD28" s="108" t="s">
        <v>65</v>
      </c>
      <c r="AE28" s="108" t="s">
        <v>65</v>
      </c>
      <c r="AF28" s="109" t="s">
        <v>65</v>
      </c>
      <c r="AG28" s="111"/>
      <c r="AH28" s="6" t="e">
        <f>+AG28/#REF!</f>
        <v>#REF!</v>
      </c>
      <c r="AI28" s="99"/>
      <c r="AJ28" s="7" t="e">
        <f>+AI28/#REF!</f>
        <v>#REF!</v>
      </c>
      <c r="AK28" s="99"/>
      <c r="AL28" s="112"/>
      <c r="AM28" s="97" t="e">
        <f>+AL28/#REF!</f>
        <v>#REF!</v>
      </c>
      <c r="AN28" s="113"/>
      <c r="AO28" s="6" t="e">
        <f>+AN28/#REF!</f>
        <v>#REF!</v>
      </c>
      <c r="AP28" s="99"/>
      <c r="AQ28" s="7" t="e">
        <f>+AP28/#REF!</f>
        <v>#REF!</v>
      </c>
      <c r="AR28" s="99"/>
      <c r="AS28" s="99"/>
      <c r="AT28" s="97" t="e">
        <f>+AS28/#REF!</f>
        <v>#REF!</v>
      </c>
      <c r="AU28" s="113"/>
      <c r="AV28" s="6" t="e">
        <f>+AU28/#REF!</f>
        <v>#REF!</v>
      </c>
      <c r="AW28" s="99"/>
      <c r="AX28" s="7" t="e">
        <f>+AW28/#REF!</f>
        <v>#REF!</v>
      </c>
      <c r="AY28" s="99"/>
      <c r="AZ28" s="112">
        <f>AU28*2</f>
        <v>0</v>
      </c>
      <c r="BA28" s="97" t="e">
        <f>+AZ28/#REF!</f>
        <v>#REF!</v>
      </c>
      <c r="BB28" s="113"/>
      <c r="BC28" s="6" t="e">
        <f>+BB28/#REF!</f>
        <v>#REF!</v>
      </c>
      <c r="BD28" s="99"/>
      <c r="BE28" s="7" t="e">
        <f>+BD28/#REF!</f>
        <v>#REF!</v>
      </c>
      <c r="BF28" s="99"/>
      <c r="BG28" s="99">
        <f>BB28*2</f>
        <v>0</v>
      </c>
      <c r="BH28" s="8" t="e">
        <f>+BG28/#REF!</f>
        <v>#REF!</v>
      </c>
      <c r="BI28" s="113"/>
      <c r="BJ28" s="6" t="e">
        <f>+BI28/#REF!</f>
        <v>#REF!</v>
      </c>
      <c r="BK28" s="99"/>
      <c r="BL28" s="7" t="e">
        <f>+BK28/#REF!</f>
        <v>#REF!</v>
      </c>
      <c r="BM28" s="99"/>
      <c r="BN28" s="99">
        <f t="shared" si="5"/>
        <v>0</v>
      </c>
      <c r="BO28" s="8" t="e">
        <f>+BN28/#REF!</f>
        <v>#REF!</v>
      </c>
      <c r="BP28" s="113"/>
      <c r="BQ28" s="6" t="e">
        <f>+BP28/#REF!</f>
        <v>#REF!</v>
      </c>
      <c r="BR28" s="99">
        <v>19</v>
      </c>
      <c r="BS28" s="7" t="e">
        <f>+BR28/#REF!</f>
        <v>#REF!</v>
      </c>
      <c r="BT28" s="99"/>
      <c r="BU28" s="99">
        <f>BP28*3</f>
        <v>0</v>
      </c>
      <c r="BV28" s="8" t="e">
        <f>+BU28/#REF!</f>
        <v>#REF!</v>
      </c>
      <c r="BW28" s="113"/>
      <c r="BX28" s="6" t="e">
        <f>+BW28/#REF!</f>
        <v>#REF!</v>
      </c>
      <c r="BY28" s="99"/>
      <c r="BZ28" s="7" t="e">
        <f>+BY28/#REF!</f>
        <v>#REF!</v>
      </c>
      <c r="CA28" s="99">
        <v>8709</v>
      </c>
      <c r="CB28" s="99">
        <f>BW28*3</f>
        <v>0</v>
      </c>
      <c r="CC28" s="8" t="e">
        <f>+CB28/#REF!</f>
        <v>#REF!</v>
      </c>
      <c r="CD28" s="113"/>
      <c r="CE28" s="6" t="e">
        <f>+CD28/#REF!</f>
        <v>#REF!</v>
      </c>
      <c r="CF28" s="99"/>
      <c r="CG28" s="7" t="e">
        <f>+CF28/#REF!</f>
        <v>#REF!</v>
      </c>
      <c r="CH28" s="99"/>
      <c r="CI28" s="99">
        <f>CD28*3</f>
        <v>0</v>
      </c>
      <c r="CJ28" s="8" t="e">
        <f>+CI28/#REF!</f>
        <v>#REF!</v>
      </c>
      <c r="CK28" s="113"/>
      <c r="CL28" s="6" t="e">
        <f>+CK28/#REF!</f>
        <v>#REF!</v>
      </c>
      <c r="CM28" s="99"/>
      <c r="CN28" s="100" t="e">
        <f>+CM28/#REF!</f>
        <v>#REF!</v>
      </c>
      <c r="CO28" s="113"/>
      <c r="CP28" s="115">
        <f>CK28*5</f>
        <v>0</v>
      </c>
      <c r="CQ28" s="8" t="e">
        <f>+CP28/#REF!</f>
        <v>#REF!</v>
      </c>
      <c r="CR28" s="113"/>
      <c r="CS28" s="6" t="e">
        <f>+CR28/#REF!</f>
        <v>#REF!</v>
      </c>
      <c r="CT28" s="99"/>
      <c r="CU28" s="7" t="e">
        <f>+CT28/#REF!</f>
        <v>#REF!</v>
      </c>
      <c r="CV28" s="99"/>
      <c r="CW28" s="92">
        <f>CR28*5</f>
        <v>0</v>
      </c>
      <c r="CX28" s="8" t="e">
        <f>+CW28/#REF!</f>
        <v>#REF!</v>
      </c>
      <c r="CY28" s="113"/>
      <c r="CZ28" s="6" t="e">
        <f>+CY28/#REF!</f>
        <v>#REF!</v>
      </c>
      <c r="DA28" s="99"/>
      <c r="DB28" s="7" t="e">
        <f>+DA28/#REF!</f>
        <v>#REF!</v>
      </c>
      <c r="DC28" s="111"/>
      <c r="DD28" s="99">
        <f>CY28*5</f>
        <v>0</v>
      </c>
      <c r="DE28" s="8" t="e">
        <f>+DD28/#REF!</f>
        <v>#REF!</v>
      </c>
      <c r="DF28" s="113"/>
      <c r="DG28" s="6" t="e">
        <f>+DF28/#REF!</f>
        <v>#REF!</v>
      </c>
      <c r="DH28" s="99">
        <v>19</v>
      </c>
      <c r="DI28" s="7" t="e">
        <f>+DH28/#REF!</f>
        <v>#REF!</v>
      </c>
      <c r="DJ28" s="99">
        <v>11036</v>
      </c>
      <c r="DK28" s="92">
        <f>DF28*4</f>
        <v>0</v>
      </c>
      <c r="DL28" s="8" t="e">
        <f>+DK28/#REF!</f>
        <v>#REF!</v>
      </c>
      <c r="DM28" s="113">
        <v>42</v>
      </c>
      <c r="DN28" s="6" t="e">
        <f>+DM28/#REF!</f>
        <v>#REF!</v>
      </c>
      <c r="DO28" s="99">
        <v>37</v>
      </c>
      <c r="DP28" s="100" t="e">
        <f>+DO28/#REF!</f>
        <v>#REF!</v>
      </c>
      <c r="DQ28" s="113">
        <v>9838</v>
      </c>
      <c r="DR28" s="115">
        <f>DM28*3</f>
        <v>126</v>
      </c>
      <c r="DS28" s="8" t="e">
        <f>+DR28/#REF!</f>
        <v>#REF!</v>
      </c>
      <c r="DT28" s="113">
        <v>120</v>
      </c>
      <c r="DU28" s="6" t="e">
        <f>+DT28/#REF!</f>
        <v>#REF!</v>
      </c>
      <c r="DV28" s="99">
        <v>38</v>
      </c>
      <c r="DW28" s="7" t="e">
        <f>+DV28/#REF!</f>
        <v>#REF!</v>
      </c>
      <c r="DX28" s="99">
        <v>12316</v>
      </c>
      <c r="DY28" s="92">
        <f>DT28*5</f>
        <v>600</v>
      </c>
      <c r="DZ28" s="8" t="e">
        <f>+DY28/#REF!</f>
        <v>#REF!</v>
      </c>
      <c r="EA28" s="113">
        <v>2</v>
      </c>
      <c r="EB28" s="6" t="e">
        <f>+EA28/#REF!</f>
        <v>#REF!</v>
      </c>
      <c r="EC28" s="99">
        <v>1</v>
      </c>
      <c r="ED28" s="100" t="e">
        <f>+EC28/#REF!</f>
        <v>#REF!</v>
      </c>
      <c r="EE28" s="113"/>
      <c r="EF28" s="115"/>
      <c r="EG28" s="8" t="e">
        <f>+EF28/#REF!</f>
        <v>#REF!</v>
      </c>
      <c r="EH28" s="113"/>
      <c r="EI28" s="6" t="e">
        <f>+EH28/#REF!</f>
        <v>#REF!</v>
      </c>
      <c r="EJ28" s="99"/>
      <c r="EK28" s="7" t="e">
        <f>+EJ28/#REF!</f>
        <v>#REF!</v>
      </c>
      <c r="EL28" s="99"/>
      <c r="EM28" s="92"/>
      <c r="EN28" s="8" t="e">
        <f>+EM28/#REF!</f>
        <v>#REF!</v>
      </c>
    </row>
    <row r="29" spans="2:169" s="1" customFormat="1" ht="16.95" customHeight="1">
      <c r="B29" s="104" t="s">
        <v>91</v>
      </c>
      <c r="C29" s="18"/>
      <c r="D29" s="19"/>
      <c r="E29" s="19"/>
      <c r="F29" s="19"/>
      <c r="G29" s="19"/>
      <c r="H29" s="20"/>
      <c r="I29" s="19"/>
      <c r="J29" s="25"/>
      <c r="K29" s="105">
        <v>20</v>
      </c>
      <c r="L29" s="106">
        <v>80</v>
      </c>
      <c r="M29" s="107">
        <v>40</v>
      </c>
      <c r="N29" s="108">
        <v>10</v>
      </c>
      <c r="O29" s="108"/>
      <c r="P29" s="108">
        <v>10</v>
      </c>
      <c r="Q29" s="108">
        <v>10</v>
      </c>
      <c r="R29" s="108">
        <v>20</v>
      </c>
      <c r="S29" s="108">
        <v>20</v>
      </c>
      <c r="T29" s="109"/>
      <c r="U29" s="109"/>
      <c r="V29" s="89">
        <f t="shared" si="1"/>
        <v>1.8333333333333333</v>
      </c>
      <c r="W29" s="110">
        <v>7</v>
      </c>
      <c r="X29" s="105" t="s">
        <v>65</v>
      </c>
      <c r="Y29" s="108" t="s">
        <v>65</v>
      </c>
      <c r="Z29" s="108"/>
      <c r="AA29" s="108" t="s">
        <v>65</v>
      </c>
      <c r="AB29" s="108"/>
      <c r="AC29" s="108"/>
      <c r="AD29" s="108" t="s">
        <v>65</v>
      </c>
      <c r="AE29" s="108" t="s">
        <v>65</v>
      </c>
      <c r="AF29" s="109" t="s">
        <v>65</v>
      </c>
      <c r="AG29" s="111"/>
      <c r="AH29" s="6" t="e">
        <f>+AG29/#REF!</f>
        <v>#REF!</v>
      </c>
      <c r="AI29" s="99"/>
      <c r="AJ29" s="7" t="e">
        <f>+AI29/#REF!</f>
        <v>#REF!</v>
      </c>
      <c r="AK29" s="99"/>
      <c r="AL29" s="112"/>
      <c r="AM29" s="97" t="e">
        <f>+AL29/#REF!</f>
        <v>#REF!</v>
      </c>
      <c r="AN29" s="113"/>
      <c r="AO29" s="6" t="e">
        <f>+AN29/#REF!</f>
        <v>#REF!</v>
      </c>
      <c r="AP29" s="99"/>
      <c r="AQ29" s="7" t="e">
        <f>+AP29/#REF!</f>
        <v>#REF!</v>
      </c>
      <c r="AR29" s="99"/>
      <c r="AS29" s="99"/>
      <c r="AT29" s="97" t="e">
        <f>+AS29/#REF!</f>
        <v>#REF!</v>
      </c>
      <c r="AU29" s="113"/>
      <c r="AV29" s="6" t="e">
        <f>+AU29/#REF!</f>
        <v>#REF!</v>
      </c>
      <c r="AW29" s="99"/>
      <c r="AX29" s="7" t="e">
        <f>+AW29/#REF!</f>
        <v>#REF!</v>
      </c>
      <c r="AY29" s="99"/>
      <c r="AZ29" s="112"/>
      <c r="BA29" s="97" t="e">
        <f>+AZ29/#REF!</f>
        <v>#REF!</v>
      </c>
      <c r="BB29" s="113"/>
      <c r="BC29" s="6" t="e">
        <f>+BB29/#REF!</f>
        <v>#REF!</v>
      </c>
      <c r="BD29" s="99"/>
      <c r="BE29" s="7" t="e">
        <f>+BD29/#REF!</f>
        <v>#REF!</v>
      </c>
      <c r="BF29" s="99"/>
      <c r="BG29" s="99"/>
      <c r="BH29" s="8" t="e">
        <f>+BG29/#REF!</f>
        <v>#REF!</v>
      </c>
      <c r="BI29" s="113">
        <v>1</v>
      </c>
      <c r="BJ29" s="6" t="e">
        <f>+BI29/#REF!</f>
        <v>#REF!</v>
      </c>
      <c r="BK29" s="99">
        <v>1</v>
      </c>
      <c r="BL29" s="7" t="e">
        <f>+BK29/#REF!</f>
        <v>#REF!</v>
      </c>
      <c r="BM29" s="99"/>
      <c r="BN29" s="99"/>
      <c r="BO29" s="8" t="e">
        <f>+BN29/#REF!</f>
        <v>#REF!</v>
      </c>
      <c r="BP29" s="113"/>
      <c r="BQ29" s="6" t="e">
        <f>+BP29/#REF!</f>
        <v>#REF!</v>
      </c>
      <c r="BR29" s="99"/>
      <c r="BS29" s="7" t="e">
        <f>+BR29/#REF!</f>
        <v>#REF!</v>
      </c>
      <c r="BT29" s="99"/>
      <c r="BU29" s="99"/>
      <c r="BV29" s="8" t="e">
        <f>+BU29/#REF!</f>
        <v>#REF!</v>
      </c>
      <c r="BW29" s="113"/>
      <c r="BX29" s="6" t="e">
        <f>+BW29/#REF!</f>
        <v>#REF!</v>
      </c>
      <c r="BY29" s="99"/>
      <c r="BZ29" s="7" t="e">
        <f>+BY29/#REF!</f>
        <v>#REF!</v>
      </c>
      <c r="CA29" s="99"/>
      <c r="CB29" s="99"/>
      <c r="CC29" s="8" t="e">
        <f>+CB29/#REF!</f>
        <v>#REF!</v>
      </c>
      <c r="CD29" s="113"/>
      <c r="CE29" s="6" t="e">
        <f>+CD29/#REF!</f>
        <v>#REF!</v>
      </c>
      <c r="CF29" s="99"/>
      <c r="CG29" s="7" t="e">
        <f>+CF29/#REF!</f>
        <v>#REF!</v>
      </c>
      <c r="CH29" s="99"/>
      <c r="CI29" s="99"/>
      <c r="CJ29" s="8" t="e">
        <f>+CI29/#REF!</f>
        <v>#REF!</v>
      </c>
      <c r="CK29" s="113"/>
      <c r="CL29" s="6" t="e">
        <f>+CK29/#REF!</f>
        <v>#REF!</v>
      </c>
      <c r="CM29" s="99"/>
      <c r="CN29" s="100" t="e">
        <f>+CM29/#REF!</f>
        <v>#REF!</v>
      </c>
      <c r="CO29" s="113"/>
      <c r="CP29" s="115"/>
      <c r="CQ29" s="8" t="e">
        <f>+CP29/#REF!</f>
        <v>#REF!</v>
      </c>
      <c r="CR29" s="113"/>
      <c r="CS29" s="6" t="e">
        <f>+CR29/#REF!</f>
        <v>#REF!</v>
      </c>
      <c r="CT29" s="99"/>
      <c r="CU29" s="7" t="e">
        <f>+CT29/#REF!</f>
        <v>#REF!</v>
      </c>
      <c r="CV29" s="99"/>
      <c r="CW29" s="92"/>
      <c r="CX29" s="8" t="e">
        <f>+CW29/#REF!</f>
        <v>#REF!</v>
      </c>
      <c r="CY29" s="113"/>
      <c r="CZ29" s="6" t="e">
        <f>+CY29/#REF!</f>
        <v>#REF!</v>
      </c>
      <c r="DA29" s="99"/>
      <c r="DB29" s="7" t="e">
        <f>+DA29/#REF!</f>
        <v>#REF!</v>
      </c>
      <c r="DC29" s="111"/>
      <c r="DD29" s="99"/>
      <c r="DE29" s="8" t="e">
        <f>+DD29/#REF!</f>
        <v>#REF!</v>
      </c>
      <c r="DF29" s="113"/>
      <c r="DG29" s="6" t="e">
        <f>+DF29/#REF!</f>
        <v>#REF!</v>
      </c>
      <c r="DH29" s="99"/>
      <c r="DI29" s="7" t="e">
        <f>+DH29/#REF!</f>
        <v>#REF!</v>
      </c>
      <c r="DJ29" s="99"/>
      <c r="DK29" s="92"/>
      <c r="DL29" s="8" t="e">
        <f>+DK29/#REF!</f>
        <v>#REF!</v>
      </c>
      <c r="DM29" s="113"/>
      <c r="DN29" s="6" t="e">
        <f>+DM29/#REF!</f>
        <v>#REF!</v>
      </c>
      <c r="DO29" s="99"/>
      <c r="DP29" s="100" t="e">
        <f>+DO29/#REF!</f>
        <v>#REF!</v>
      </c>
      <c r="DQ29" s="113"/>
      <c r="DR29" s="115"/>
      <c r="DS29" s="8" t="e">
        <f>+DR29/#REF!</f>
        <v>#REF!</v>
      </c>
      <c r="DT29" s="113"/>
      <c r="DU29" s="6" t="e">
        <f>+DT29/#REF!</f>
        <v>#REF!</v>
      </c>
      <c r="DV29" s="99"/>
      <c r="DW29" s="7" t="e">
        <f>+DV29/#REF!</f>
        <v>#REF!</v>
      </c>
      <c r="DX29" s="99"/>
      <c r="DY29" s="92"/>
      <c r="DZ29" s="8" t="e">
        <f>+DY29/#REF!</f>
        <v>#REF!</v>
      </c>
      <c r="EA29" s="113"/>
      <c r="EB29" s="6" t="e">
        <f>+EA29/#REF!</f>
        <v>#REF!</v>
      </c>
      <c r="EC29" s="99"/>
      <c r="ED29" s="100" t="e">
        <f>+EC29/#REF!</f>
        <v>#REF!</v>
      </c>
      <c r="EE29" s="113"/>
      <c r="EF29" s="115"/>
      <c r="EG29" s="8" t="e">
        <f>+EF29/#REF!</f>
        <v>#REF!</v>
      </c>
      <c r="EH29" s="113"/>
      <c r="EI29" s="6" t="e">
        <f>+EH29/#REF!</f>
        <v>#REF!</v>
      </c>
      <c r="EJ29" s="99"/>
      <c r="EK29" s="7" t="e">
        <f>+EJ29/#REF!</f>
        <v>#REF!</v>
      </c>
      <c r="EL29" s="99"/>
      <c r="EM29" s="92"/>
      <c r="EN29" s="8" t="e">
        <f>+EM29/#REF!</f>
        <v>#REF!</v>
      </c>
    </row>
    <row r="30" spans="2:169" s="1" customFormat="1" ht="16.95" customHeight="1">
      <c r="B30" s="104" t="s">
        <v>92</v>
      </c>
      <c r="C30" s="18" t="s">
        <v>65</v>
      </c>
      <c r="D30" s="19"/>
      <c r="E30" s="19"/>
      <c r="F30" s="19"/>
      <c r="G30" s="19"/>
      <c r="H30" s="20"/>
      <c r="I30" s="19"/>
      <c r="J30" s="25"/>
      <c r="K30" s="84">
        <v>30</v>
      </c>
      <c r="L30" s="85">
        <v>70</v>
      </c>
      <c r="M30" s="86">
        <v>40</v>
      </c>
      <c r="N30" s="87">
        <v>40</v>
      </c>
      <c r="O30" s="87">
        <v>30</v>
      </c>
      <c r="P30" s="87">
        <v>20</v>
      </c>
      <c r="Q30" s="87">
        <v>20</v>
      </c>
      <c r="R30" s="87">
        <v>30</v>
      </c>
      <c r="S30" s="87">
        <v>50</v>
      </c>
      <c r="T30" s="109"/>
      <c r="U30" s="109"/>
      <c r="V30" s="89">
        <f t="shared" si="1"/>
        <v>3.8333333333333335</v>
      </c>
      <c r="W30" s="110">
        <v>7</v>
      </c>
      <c r="X30" s="105" t="s">
        <v>65</v>
      </c>
      <c r="Y30" s="108" t="s">
        <v>65</v>
      </c>
      <c r="Z30" s="108"/>
      <c r="AA30" s="108" t="s">
        <v>65</v>
      </c>
      <c r="AB30" s="108"/>
      <c r="AC30" s="108"/>
      <c r="AD30" s="108"/>
      <c r="AE30" s="108"/>
      <c r="AF30" s="109"/>
      <c r="AG30" s="111">
        <v>1</v>
      </c>
      <c r="AH30" s="6" t="e">
        <f>+AG30/#REF!</f>
        <v>#REF!</v>
      </c>
      <c r="AI30" s="99">
        <v>1</v>
      </c>
      <c r="AJ30" s="7" t="e">
        <f>+AI30/#REF!</f>
        <v>#REF!</v>
      </c>
      <c r="AK30" s="99"/>
      <c r="AL30" s="112"/>
      <c r="AM30" s="97" t="e">
        <f>+AL30/#REF!</f>
        <v>#REF!</v>
      </c>
      <c r="AN30" s="113"/>
      <c r="AO30" s="6" t="e">
        <f>+AN30/#REF!</f>
        <v>#REF!</v>
      </c>
      <c r="AP30" s="99"/>
      <c r="AQ30" s="7" t="e">
        <f>+AP30/#REF!</f>
        <v>#REF!</v>
      </c>
      <c r="AR30" s="99"/>
      <c r="AS30" s="99"/>
      <c r="AT30" s="97" t="e">
        <f>+AS30/#REF!</f>
        <v>#REF!</v>
      </c>
      <c r="AU30" s="113"/>
      <c r="AV30" s="6" t="e">
        <f>+AU30/#REF!</f>
        <v>#REF!</v>
      </c>
      <c r="AW30" s="99"/>
      <c r="AX30" s="7" t="e">
        <f>+AW30/#REF!</f>
        <v>#REF!</v>
      </c>
      <c r="AY30" s="99"/>
      <c r="AZ30" s="112"/>
      <c r="BA30" s="97" t="e">
        <f>+AZ30/#REF!</f>
        <v>#REF!</v>
      </c>
      <c r="BB30" s="113"/>
      <c r="BC30" s="6" t="e">
        <f>+BB30/#REF!</f>
        <v>#REF!</v>
      </c>
      <c r="BD30" s="99"/>
      <c r="BE30" s="7" t="e">
        <f>+BD30/#REF!</f>
        <v>#REF!</v>
      </c>
      <c r="BF30" s="99"/>
      <c r="BG30" s="99"/>
      <c r="BH30" s="8" t="e">
        <f>+BG30/#REF!</f>
        <v>#REF!</v>
      </c>
      <c r="BI30" s="113"/>
      <c r="BJ30" s="6" t="e">
        <f>+BI30/#REF!</f>
        <v>#REF!</v>
      </c>
      <c r="BK30" s="99"/>
      <c r="BL30" s="7" t="e">
        <f>+BK30/#REF!</f>
        <v>#REF!</v>
      </c>
      <c r="BM30" s="99"/>
      <c r="BN30" s="99"/>
      <c r="BO30" s="8" t="e">
        <f>+BN30/#REF!</f>
        <v>#REF!</v>
      </c>
      <c r="BP30" s="113">
        <v>5</v>
      </c>
      <c r="BQ30" s="6" t="e">
        <f>+BP30/#REF!</f>
        <v>#REF!</v>
      </c>
      <c r="BR30" s="99">
        <v>2</v>
      </c>
      <c r="BS30" s="7" t="e">
        <f>+BR30/#REF!</f>
        <v>#REF!</v>
      </c>
      <c r="BT30" s="99"/>
      <c r="BU30" s="99"/>
      <c r="BV30" s="8" t="e">
        <f>+BU30/#REF!</f>
        <v>#REF!</v>
      </c>
      <c r="BW30" s="113">
        <v>1</v>
      </c>
      <c r="BX30" s="6" t="e">
        <f>+BW30/#REF!</f>
        <v>#REF!</v>
      </c>
      <c r="BY30" s="99">
        <v>1</v>
      </c>
      <c r="BZ30" s="7" t="e">
        <f>+BY30/#REF!</f>
        <v>#REF!</v>
      </c>
      <c r="CA30" s="99">
        <v>9543</v>
      </c>
      <c r="CB30" s="99">
        <f>BW30*3</f>
        <v>3</v>
      </c>
      <c r="CC30" s="8" t="e">
        <f>+CB30/#REF!</f>
        <v>#REF!</v>
      </c>
      <c r="CD30" s="113"/>
      <c r="CE30" s="6" t="e">
        <f>+CD30/#REF!</f>
        <v>#REF!</v>
      </c>
      <c r="CF30" s="99"/>
      <c r="CG30" s="7" t="e">
        <f>+CF30/#REF!</f>
        <v>#REF!</v>
      </c>
      <c r="CH30" s="99"/>
      <c r="CI30" s="99"/>
      <c r="CJ30" s="8" t="e">
        <f>+CI30/#REF!</f>
        <v>#REF!</v>
      </c>
      <c r="CK30" s="113"/>
      <c r="CL30" s="6" t="e">
        <f>+CK30/#REF!</f>
        <v>#REF!</v>
      </c>
      <c r="CM30" s="99"/>
      <c r="CN30" s="100" t="e">
        <f>+CM30/#REF!</f>
        <v>#REF!</v>
      </c>
      <c r="CO30" s="113"/>
      <c r="CP30" s="115"/>
      <c r="CQ30" s="8" t="e">
        <f>+CP30/#REF!</f>
        <v>#REF!</v>
      </c>
      <c r="CR30" s="113"/>
      <c r="CS30" s="6" t="e">
        <f>+CR30/#REF!</f>
        <v>#REF!</v>
      </c>
      <c r="CT30" s="99"/>
      <c r="CU30" s="7" t="e">
        <f>+CT30/#REF!</f>
        <v>#REF!</v>
      </c>
      <c r="CV30" s="99"/>
      <c r="CW30" s="92"/>
      <c r="CX30" s="8" t="e">
        <f>+CW30/#REF!</f>
        <v>#REF!</v>
      </c>
      <c r="CY30" s="113"/>
      <c r="CZ30" s="6" t="e">
        <f>+CY30/#REF!</f>
        <v>#REF!</v>
      </c>
      <c r="DA30" s="99"/>
      <c r="DB30" s="7" t="e">
        <f>+DA30/#REF!</f>
        <v>#REF!</v>
      </c>
      <c r="DC30" s="111"/>
      <c r="DD30" s="99"/>
      <c r="DE30" s="8" t="e">
        <f>+DD30/#REF!</f>
        <v>#REF!</v>
      </c>
      <c r="DF30" s="113"/>
      <c r="DG30" s="6" t="e">
        <f>+DF30/#REF!</f>
        <v>#REF!</v>
      </c>
      <c r="DH30" s="99"/>
      <c r="DI30" s="7" t="e">
        <f>+DH30/#REF!</f>
        <v>#REF!</v>
      </c>
      <c r="DJ30" s="99"/>
      <c r="DK30" s="92"/>
      <c r="DL30" s="8" t="e">
        <f>+DK30/#REF!</f>
        <v>#REF!</v>
      </c>
      <c r="DM30" s="113"/>
      <c r="DN30" s="6" t="e">
        <f>+DM30/#REF!</f>
        <v>#REF!</v>
      </c>
      <c r="DO30" s="99"/>
      <c r="DP30" s="100" t="e">
        <f>+DO30/#REF!</f>
        <v>#REF!</v>
      </c>
      <c r="DQ30" s="113"/>
      <c r="DR30" s="115"/>
      <c r="DS30" s="8" t="e">
        <f>+DR30/#REF!</f>
        <v>#REF!</v>
      </c>
      <c r="DT30" s="113"/>
      <c r="DU30" s="6" t="e">
        <f>+DT30/#REF!</f>
        <v>#REF!</v>
      </c>
      <c r="DV30" s="99"/>
      <c r="DW30" s="7" t="e">
        <f>+DV30/#REF!</f>
        <v>#REF!</v>
      </c>
      <c r="DX30" s="99"/>
      <c r="DY30" s="92"/>
      <c r="DZ30" s="8" t="e">
        <f>+DY30/#REF!</f>
        <v>#REF!</v>
      </c>
      <c r="EA30" s="113"/>
      <c r="EB30" s="6" t="e">
        <f>+EA30/#REF!</f>
        <v>#REF!</v>
      </c>
      <c r="EC30" s="99"/>
      <c r="ED30" s="100" t="e">
        <f>+EC30/#REF!</f>
        <v>#REF!</v>
      </c>
      <c r="EE30" s="113"/>
      <c r="EF30" s="115"/>
      <c r="EG30" s="8" t="e">
        <f>+EF30/#REF!</f>
        <v>#REF!</v>
      </c>
      <c r="EH30" s="113"/>
      <c r="EI30" s="6" t="e">
        <f>+EH30/#REF!</f>
        <v>#REF!</v>
      </c>
      <c r="EJ30" s="99"/>
      <c r="EK30" s="7" t="e">
        <f>+EJ30/#REF!</f>
        <v>#REF!</v>
      </c>
      <c r="EL30" s="99"/>
      <c r="EM30" s="92"/>
      <c r="EN30" s="8" t="e">
        <f>+EM30/#REF!</f>
        <v>#REF!</v>
      </c>
    </row>
    <row r="31" spans="2:169" s="1" customFormat="1" ht="16.95" customHeight="1">
      <c r="B31" s="104" t="s">
        <v>93</v>
      </c>
      <c r="C31" s="18"/>
      <c r="D31" s="19"/>
      <c r="E31" s="19" t="s">
        <v>65</v>
      </c>
      <c r="F31" s="19"/>
      <c r="G31" s="19"/>
      <c r="H31" s="20"/>
      <c r="I31" s="19"/>
      <c r="J31" s="25" t="s">
        <v>65</v>
      </c>
      <c r="K31" s="105">
        <v>30</v>
      </c>
      <c r="L31" s="106">
        <v>70</v>
      </c>
      <c r="M31" s="107">
        <v>30</v>
      </c>
      <c r="N31" s="108">
        <v>10</v>
      </c>
      <c r="O31" s="108"/>
      <c r="P31" s="108">
        <v>10</v>
      </c>
      <c r="Q31" s="108">
        <v>10</v>
      </c>
      <c r="R31" s="108">
        <v>20</v>
      </c>
      <c r="S31" s="108">
        <v>40</v>
      </c>
      <c r="T31" s="109"/>
      <c r="U31" s="109"/>
      <c r="V31" s="89">
        <f t="shared" si="1"/>
        <v>2</v>
      </c>
      <c r="W31" s="110">
        <v>5</v>
      </c>
      <c r="X31" s="105" t="s">
        <v>65</v>
      </c>
      <c r="Y31" s="108"/>
      <c r="Z31" s="108"/>
      <c r="AA31" s="108" t="s">
        <v>65</v>
      </c>
      <c r="AB31" s="108"/>
      <c r="AC31" s="108"/>
      <c r="AD31" s="108" t="s">
        <v>65</v>
      </c>
      <c r="AE31" s="108"/>
      <c r="AF31" s="109" t="s">
        <v>65</v>
      </c>
      <c r="AG31" s="111">
        <v>2</v>
      </c>
      <c r="AH31" s="6" t="e">
        <f>+AG31/#REF!</f>
        <v>#REF!</v>
      </c>
      <c r="AI31" s="99">
        <v>2</v>
      </c>
      <c r="AJ31" s="7" t="e">
        <f>+AI31/#REF!</f>
        <v>#REF!</v>
      </c>
      <c r="AK31" s="99">
        <v>8027</v>
      </c>
      <c r="AL31" s="112">
        <v>4</v>
      </c>
      <c r="AM31" s="97" t="e">
        <f>+AL31/#REF!</f>
        <v>#REF!</v>
      </c>
      <c r="AN31" s="113">
        <v>8</v>
      </c>
      <c r="AO31" s="6" t="e">
        <f>+AN31/#REF!</f>
        <v>#REF!</v>
      </c>
      <c r="AP31" s="99">
        <v>2</v>
      </c>
      <c r="AQ31" s="7" t="e">
        <f>+AP31/#REF!</f>
        <v>#REF!</v>
      </c>
      <c r="AR31" s="99">
        <v>8213</v>
      </c>
      <c r="AS31" s="99">
        <f>AN31*3</f>
        <v>24</v>
      </c>
      <c r="AT31" s="97" t="e">
        <f>+AS31/#REF!</f>
        <v>#REF!</v>
      </c>
      <c r="AU31" s="113"/>
      <c r="AV31" s="6" t="e">
        <f>+AU31/#REF!</f>
        <v>#REF!</v>
      </c>
      <c r="AW31" s="99"/>
      <c r="AX31" s="7" t="e">
        <f>+AW31/#REF!</f>
        <v>#REF!</v>
      </c>
      <c r="AY31" s="99"/>
      <c r="AZ31" s="112"/>
      <c r="BA31" s="97" t="e">
        <f>+AZ31/#REF!</f>
        <v>#REF!</v>
      </c>
      <c r="BB31" s="113"/>
      <c r="BC31" s="6" t="e">
        <f>+BB31/#REF!</f>
        <v>#REF!</v>
      </c>
      <c r="BD31" s="99"/>
      <c r="BE31" s="7" t="e">
        <f>+BD31/#REF!</f>
        <v>#REF!</v>
      </c>
      <c r="BF31" s="99"/>
      <c r="BG31" s="99"/>
      <c r="BH31" s="8" t="e">
        <f>+BG31/#REF!</f>
        <v>#REF!</v>
      </c>
      <c r="BI31" s="113">
        <v>1</v>
      </c>
      <c r="BJ31" s="6" t="e">
        <f>+BI31/#REF!</f>
        <v>#REF!</v>
      </c>
      <c r="BK31" s="99">
        <v>1</v>
      </c>
      <c r="BL31" s="7" t="e">
        <f>+BK31/#REF!</f>
        <v>#REF!</v>
      </c>
      <c r="BM31" s="99">
        <v>7433</v>
      </c>
      <c r="BN31" s="99">
        <f>BI31*2</f>
        <v>2</v>
      </c>
      <c r="BO31" s="8" t="e">
        <f>+BN31/#REF!</f>
        <v>#REF!</v>
      </c>
      <c r="BP31" s="113">
        <v>16</v>
      </c>
      <c r="BQ31" s="6" t="e">
        <f>+BP31/#REF!</f>
        <v>#REF!</v>
      </c>
      <c r="BR31" s="99">
        <v>1</v>
      </c>
      <c r="BS31" s="7" t="e">
        <f>+BR31/#REF!</f>
        <v>#REF!</v>
      </c>
      <c r="BT31" s="99">
        <v>7662</v>
      </c>
      <c r="BU31" s="99">
        <f>BP31*2</f>
        <v>32</v>
      </c>
      <c r="BV31" s="8" t="e">
        <f>+BU31/#REF!</f>
        <v>#REF!</v>
      </c>
      <c r="BW31" s="113"/>
      <c r="BX31" s="6" t="e">
        <f>+BW31/#REF!</f>
        <v>#REF!</v>
      </c>
      <c r="BY31" s="99"/>
      <c r="BZ31" s="7" t="e">
        <f>+BY31/#REF!</f>
        <v>#REF!</v>
      </c>
      <c r="CA31" s="99"/>
      <c r="CB31" s="99"/>
      <c r="CC31" s="8" t="e">
        <f>+CB31/#REF!</f>
        <v>#REF!</v>
      </c>
      <c r="CD31" s="113"/>
      <c r="CE31" s="6" t="e">
        <f>+CD31/#REF!</f>
        <v>#REF!</v>
      </c>
      <c r="CF31" s="99"/>
      <c r="CG31" s="7" t="e">
        <f>+CF31/#REF!</f>
        <v>#REF!</v>
      </c>
      <c r="CH31" s="99"/>
      <c r="CI31" s="99"/>
      <c r="CJ31" s="8" t="e">
        <f>+CI31/#REF!</f>
        <v>#REF!</v>
      </c>
      <c r="CK31" s="113">
        <v>3</v>
      </c>
      <c r="CL31" s="6" t="e">
        <f>+CK31/#REF!</f>
        <v>#REF!</v>
      </c>
      <c r="CM31" s="99">
        <v>3</v>
      </c>
      <c r="CN31" s="100" t="e">
        <f>+CM31/#REF!</f>
        <v>#REF!</v>
      </c>
      <c r="CO31" s="113">
        <v>10914</v>
      </c>
      <c r="CP31" s="115">
        <f>CK31*4</f>
        <v>12</v>
      </c>
      <c r="CQ31" s="8" t="e">
        <f>+CP31/#REF!</f>
        <v>#REF!</v>
      </c>
      <c r="CR31" s="113">
        <v>18</v>
      </c>
      <c r="CS31" s="6" t="e">
        <f>+CR31/#REF!</f>
        <v>#REF!</v>
      </c>
      <c r="CT31" s="99">
        <v>2</v>
      </c>
      <c r="CU31" s="7" t="e">
        <f>+CT31/#REF!</f>
        <v>#REF!</v>
      </c>
      <c r="CV31" s="99">
        <v>9999</v>
      </c>
      <c r="CW31" s="92">
        <f t="shared" ref="CW31:CW46" si="6">CR31*3</f>
        <v>54</v>
      </c>
      <c r="CX31" s="8" t="e">
        <f>+CW31/#REF!</f>
        <v>#REF!</v>
      </c>
      <c r="CY31" s="113"/>
      <c r="CZ31" s="6" t="e">
        <f>+CY31/#REF!</f>
        <v>#REF!</v>
      </c>
      <c r="DA31" s="99"/>
      <c r="DB31" s="7" t="e">
        <f>+DA31/#REF!</f>
        <v>#REF!</v>
      </c>
      <c r="DC31" s="111"/>
      <c r="DD31" s="99"/>
      <c r="DE31" s="8" t="e">
        <f>+DD31/#REF!</f>
        <v>#REF!</v>
      </c>
      <c r="DF31" s="113"/>
      <c r="DG31" s="6" t="e">
        <f>+DF31/#REF!</f>
        <v>#REF!</v>
      </c>
      <c r="DH31" s="99"/>
      <c r="DI31" s="7" t="e">
        <f>+DH31/#REF!</f>
        <v>#REF!</v>
      </c>
      <c r="DJ31" s="99"/>
      <c r="DK31" s="92"/>
      <c r="DL31" s="8" t="e">
        <f>+DK31/#REF!</f>
        <v>#REF!</v>
      </c>
      <c r="DM31" s="113"/>
      <c r="DN31" s="6" t="e">
        <f>+DM31/#REF!</f>
        <v>#REF!</v>
      </c>
      <c r="DO31" s="99"/>
      <c r="DP31" s="100" t="e">
        <f>+DO31/#REF!</f>
        <v>#REF!</v>
      </c>
      <c r="DQ31" s="113"/>
      <c r="DR31" s="115"/>
      <c r="DS31" s="8" t="e">
        <f>+DR31/#REF!</f>
        <v>#REF!</v>
      </c>
      <c r="DT31" s="113"/>
      <c r="DU31" s="6" t="e">
        <f>+DT31/#REF!</f>
        <v>#REF!</v>
      </c>
      <c r="DV31" s="99"/>
      <c r="DW31" s="7" t="e">
        <f>+DV31/#REF!</f>
        <v>#REF!</v>
      </c>
      <c r="DX31" s="99"/>
      <c r="DY31" s="92"/>
      <c r="DZ31" s="8" t="e">
        <f>+DY31/#REF!</f>
        <v>#REF!</v>
      </c>
      <c r="EA31" s="113"/>
      <c r="EB31" s="6" t="e">
        <f>+EA31/#REF!</f>
        <v>#REF!</v>
      </c>
      <c r="EC31" s="99"/>
      <c r="ED31" s="100" t="e">
        <f>+EC31/#REF!</f>
        <v>#REF!</v>
      </c>
      <c r="EE31" s="113"/>
      <c r="EF31" s="115"/>
      <c r="EG31" s="8" t="e">
        <f>+EF31/#REF!</f>
        <v>#REF!</v>
      </c>
      <c r="EH31" s="113"/>
      <c r="EI31" s="6" t="e">
        <f>+EH31/#REF!</f>
        <v>#REF!</v>
      </c>
      <c r="EJ31" s="99"/>
      <c r="EK31" s="7" t="e">
        <f>+EJ31/#REF!</f>
        <v>#REF!</v>
      </c>
      <c r="EL31" s="99"/>
      <c r="EM31" s="92"/>
      <c r="EN31" s="8" t="e">
        <f>+EM31/#REF!</f>
        <v>#REF!</v>
      </c>
    </row>
    <row r="32" spans="2:169" s="1" customFormat="1" ht="16.95" customHeight="1">
      <c r="B32" s="104">
        <v>241</v>
      </c>
      <c r="C32" s="18"/>
      <c r="D32" s="19"/>
      <c r="E32" s="19"/>
      <c r="F32" s="19"/>
      <c r="G32" s="19"/>
      <c r="H32" s="20"/>
      <c r="I32" s="19"/>
      <c r="J32" s="25"/>
      <c r="K32" s="105">
        <v>30</v>
      </c>
      <c r="L32" s="106">
        <v>70</v>
      </c>
      <c r="M32" s="107">
        <v>20</v>
      </c>
      <c r="N32" s="108">
        <v>20</v>
      </c>
      <c r="O32" s="108">
        <v>10</v>
      </c>
      <c r="P32" s="108">
        <v>10</v>
      </c>
      <c r="Q32" s="108">
        <v>10</v>
      </c>
      <c r="R32" s="108">
        <v>10</v>
      </c>
      <c r="S32" s="108">
        <v>10</v>
      </c>
      <c r="T32" s="109"/>
      <c r="U32" s="109"/>
      <c r="V32" s="89">
        <f t="shared" si="1"/>
        <v>1.5</v>
      </c>
      <c r="W32" s="110">
        <v>10</v>
      </c>
      <c r="X32" s="105" t="s">
        <v>65</v>
      </c>
      <c r="Y32" s="108" t="s">
        <v>65</v>
      </c>
      <c r="Z32" s="108"/>
      <c r="AA32" s="108" t="s">
        <v>65</v>
      </c>
      <c r="AB32" s="108"/>
      <c r="AC32" s="108"/>
      <c r="AD32" s="108" t="s">
        <v>65</v>
      </c>
      <c r="AE32" s="108" t="s">
        <v>65</v>
      </c>
      <c r="AF32" s="109" t="s">
        <v>65</v>
      </c>
      <c r="AG32" s="111"/>
      <c r="AH32" s="6" t="e">
        <f>+AG32/#REF!</f>
        <v>#REF!</v>
      </c>
      <c r="AI32" s="99"/>
      <c r="AJ32" s="7" t="e">
        <f>+AI32/#REF!</f>
        <v>#REF!</v>
      </c>
      <c r="AK32" s="99"/>
      <c r="AL32" s="112"/>
      <c r="AM32" s="97" t="e">
        <f>+AL32/#REF!</f>
        <v>#REF!</v>
      </c>
      <c r="AN32" s="113">
        <v>28</v>
      </c>
      <c r="AO32" s="6" t="e">
        <f>+AN32/#REF!</f>
        <v>#REF!</v>
      </c>
      <c r="AP32" s="99">
        <v>10</v>
      </c>
      <c r="AQ32" s="7" t="e">
        <f>+AP32/#REF!</f>
        <v>#REF!</v>
      </c>
      <c r="AR32" s="99">
        <v>12919</v>
      </c>
      <c r="AS32" s="99">
        <f>AN32*5</f>
        <v>140</v>
      </c>
      <c r="AT32" s="97" t="e">
        <f>+AS32/#REF!</f>
        <v>#REF!</v>
      </c>
      <c r="AU32" s="113">
        <v>41</v>
      </c>
      <c r="AV32" s="6" t="e">
        <f>+AU32/#REF!</f>
        <v>#REF!</v>
      </c>
      <c r="AW32" s="99">
        <v>14</v>
      </c>
      <c r="AX32" s="7" t="e">
        <f>+AW32/#REF!</f>
        <v>#REF!</v>
      </c>
      <c r="AY32" s="99">
        <v>7054</v>
      </c>
      <c r="AZ32" s="112">
        <f>AU32*2</f>
        <v>82</v>
      </c>
      <c r="BA32" s="97" t="e">
        <f>+AZ32/#REF!</f>
        <v>#REF!</v>
      </c>
      <c r="BB32" s="113">
        <v>3</v>
      </c>
      <c r="BC32" s="6" t="e">
        <f>+BB32/#REF!</f>
        <v>#REF!</v>
      </c>
      <c r="BD32" s="99">
        <v>3</v>
      </c>
      <c r="BE32" s="7" t="e">
        <f>+BD32/#REF!</f>
        <v>#REF!</v>
      </c>
      <c r="BF32" s="99">
        <v>7054</v>
      </c>
      <c r="BG32" s="99">
        <f t="shared" ref="BG32" si="7">BB32*2</f>
        <v>6</v>
      </c>
      <c r="BH32" s="8" t="e">
        <f>+BG32/#REF!</f>
        <v>#REF!</v>
      </c>
      <c r="BI32" s="113"/>
      <c r="BJ32" s="6" t="e">
        <f>+BI32/#REF!</f>
        <v>#REF!</v>
      </c>
      <c r="BK32" s="99"/>
      <c r="BL32" s="7" t="e">
        <f>+BK32/#REF!</f>
        <v>#REF!</v>
      </c>
      <c r="BM32" s="99"/>
      <c r="BN32" s="99"/>
      <c r="BO32" s="8" t="e">
        <f>+BN32/#REF!</f>
        <v>#REF!</v>
      </c>
      <c r="BP32" s="113">
        <v>50</v>
      </c>
      <c r="BQ32" s="6" t="e">
        <f>+BP32/#REF!</f>
        <v>#REF!</v>
      </c>
      <c r="BR32" s="99">
        <v>9</v>
      </c>
      <c r="BS32" s="7" t="e">
        <f>+BR32/#REF!</f>
        <v>#REF!</v>
      </c>
      <c r="BT32" s="99">
        <v>12008</v>
      </c>
      <c r="BU32" s="99">
        <f>BP32*5</f>
        <v>250</v>
      </c>
      <c r="BV32" s="8" t="e">
        <f>+BU32/#REF!</f>
        <v>#REF!</v>
      </c>
      <c r="BW32" s="113"/>
      <c r="BX32" s="6" t="e">
        <f>+BW32/#REF!</f>
        <v>#REF!</v>
      </c>
      <c r="BY32" s="99"/>
      <c r="BZ32" s="7" t="e">
        <f>+BY32/#REF!</f>
        <v>#REF!</v>
      </c>
      <c r="CA32" s="99"/>
      <c r="CB32" s="99"/>
      <c r="CC32" s="8" t="e">
        <f>+CB32/#REF!</f>
        <v>#REF!</v>
      </c>
      <c r="CD32" s="113"/>
      <c r="CE32" s="6" t="e">
        <f>+CD32/#REF!</f>
        <v>#REF!</v>
      </c>
      <c r="CF32" s="99"/>
      <c r="CG32" s="7" t="e">
        <f>+CF32/#REF!</f>
        <v>#REF!</v>
      </c>
      <c r="CH32" s="99"/>
      <c r="CI32" s="99"/>
      <c r="CJ32" s="8" t="e">
        <f>+CI32/#REF!</f>
        <v>#REF!</v>
      </c>
      <c r="CK32" s="113"/>
      <c r="CL32" s="6" t="e">
        <f>+CK32/#REF!</f>
        <v>#REF!</v>
      </c>
      <c r="CM32" s="99"/>
      <c r="CN32" s="100" t="e">
        <f>+CM32/#REF!</f>
        <v>#REF!</v>
      </c>
      <c r="CO32" s="113"/>
      <c r="CP32" s="115"/>
      <c r="CQ32" s="8" t="e">
        <f>+CP32/#REF!</f>
        <v>#REF!</v>
      </c>
      <c r="CR32" s="113"/>
      <c r="CS32" s="6" t="e">
        <f>+CR32/#REF!</f>
        <v>#REF!</v>
      </c>
      <c r="CT32" s="99"/>
      <c r="CU32" s="7" t="e">
        <f>+CT32/#REF!</f>
        <v>#REF!</v>
      </c>
      <c r="CV32" s="99"/>
      <c r="CW32" s="92"/>
      <c r="CX32" s="8" t="e">
        <f>+CW32/#REF!</f>
        <v>#REF!</v>
      </c>
      <c r="CY32" s="113"/>
      <c r="CZ32" s="6" t="e">
        <f>+CY32/#REF!</f>
        <v>#REF!</v>
      </c>
      <c r="DA32" s="99"/>
      <c r="DB32" s="7" t="e">
        <f>+DA32/#REF!</f>
        <v>#REF!</v>
      </c>
      <c r="DC32" s="111"/>
      <c r="DD32" s="99"/>
      <c r="DE32" s="8" t="e">
        <f>+DD32/#REF!</f>
        <v>#REF!</v>
      </c>
      <c r="DF32" s="113"/>
      <c r="DG32" s="6" t="e">
        <f>+DF32/#REF!</f>
        <v>#REF!</v>
      </c>
      <c r="DH32" s="99"/>
      <c r="DI32" s="7" t="e">
        <f>+DH32/#REF!</f>
        <v>#REF!</v>
      </c>
      <c r="DJ32" s="99"/>
      <c r="DK32" s="92"/>
      <c r="DL32" s="8" t="e">
        <f>+DK32/#REF!</f>
        <v>#REF!</v>
      </c>
      <c r="DM32" s="113"/>
      <c r="DN32" s="6" t="e">
        <f>+DM32/#REF!</f>
        <v>#REF!</v>
      </c>
      <c r="DO32" s="99"/>
      <c r="DP32" s="100" t="e">
        <f>+DO32/#REF!</f>
        <v>#REF!</v>
      </c>
      <c r="DQ32" s="113"/>
      <c r="DR32" s="115"/>
      <c r="DS32" s="8" t="e">
        <f>+DR32/#REF!</f>
        <v>#REF!</v>
      </c>
      <c r="DT32" s="113"/>
      <c r="DU32" s="6" t="e">
        <f>+DT32/#REF!</f>
        <v>#REF!</v>
      </c>
      <c r="DV32" s="99"/>
      <c r="DW32" s="7" t="e">
        <f>+DV32/#REF!</f>
        <v>#REF!</v>
      </c>
      <c r="DX32" s="99"/>
      <c r="DY32" s="92"/>
      <c r="DZ32" s="8" t="e">
        <f>+DY32/#REF!</f>
        <v>#REF!</v>
      </c>
      <c r="EA32" s="113"/>
      <c r="EB32" s="6" t="e">
        <f>+EA32/#REF!</f>
        <v>#REF!</v>
      </c>
      <c r="EC32" s="99"/>
      <c r="ED32" s="100" t="e">
        <f>+EC32/#REF!</f>
        <v>#REF!</v>
      </c>
      <c r="EE32" s="113"/>
      <c r="EF32" s="115"/>
      <c r="EG32" s="8" t="e">
        <f>+EF32/#REF!</f>
        <v>#REF!</v>
      </c>
      <c r="EH32" s="113"/>
      <c r="EI32" s="6" t="e">
        <f>+EH32/#REF!</f>
        <v>#REF!</v>
      </c>
      <c r="EJ32" s="99"/>
      <c r="EK32" s="7" t="e">
        <f>+EJ32/#REF!</f>
        <v>#REF!</v>
      </c>
      <c r="EL32" s="99"/>
      <c r="EM32" s="92"/>
      <c r="EN32" s="8" t="e">
        <f>+EM32/#REF!</f>
        <v>#REF!</v>
      </c>
    </row>
    <row r="33" spans="1:144" s="1" customFormat="1" ht="16.95" customHeight="1">
      <c r="B33" s="104" t="s">
        <v>94</v>
      </c>
      <c r="C33" s="31"/>
      <c r="D33" s="32"/>
      <c r="E33" s="32"/>
      <c r="F33" s="19"/>
      <c r="G33" s="33" t="s">
        <v>65</v>
      </c>
      <c r="H33" s="20"/>
      <c r="I33" s="19"/>
      <c r="J33" s="34"/>
      <c r="K33" s="105">
        <v>30</v>
      </c>
      <c r="L33" s="106">
        <v>70</v>
      </c>
      <c r="M33" s="107">
        <v>15</v>
      </c>
      <c r="N33" s="108">
        <v>10</v>
      </c>
      <c r="O33" s="108"/>
      <c r="P33" s="108">
        <v>10</v>
      </c>
      <c r="Q33" s="108">
        <v>10</v>
      </c>
      <c r="R33" s="108">
        <v>10</v>
      </c>
      <c r="S33" s="108">
        <v>10</v>
      </c>
      <c r="T33" s="109"/>
      <c r="U33" s="109"/>
      <c r="V33" s="89">
        <f t="shared" si="1"/>
        <v>1.0833333333333333</v>
      </c>
      <c r="W33" s="110" t="s">
        <v>95</v>
      </c>
      <c r="X33" s="105" t="s">
        <v>65</v>
      </c>
      <c r="Y33" s="108"/>
      <c r="Z33" s="108"/>
      <c r="AA33" s="108"/>
      <c r="AB33" s="108"/>
      <c r="AC33" s="108"/>
      <c r="AD33" s="108"/>
      <c r="AE33" s="108"/>
      <c r="AF33" s="109"/>
      <c r="AG33" s="111">
        <v>4</v>
      </c>
      <c r="AH33" s="6" t="e">
        <f>+AG33/#REF!</f>
        <v>#REF!</v>
      </c>
      <c r="AI33" s="99">
        <v>2</v>
      </c>
      <c r="AJ33" s="7" t="e">
        <f>+AI33/#REF!</f>
        <v>#REF!</v>
      </c>
      <c r="AK33" s="99">
        <v>7574</v>
      </c>
      <c r="AL33" s="112">
        <v>8</v>
      </c>
      <c r="AM33" s="97" t="e">
        <f>+AL33/#REF!</f>
        <v>#REF!</v>
      </c>
      <c r="AN33" s="113">
        <v>138</v>
      </c>
      <c r="AO33" s="6" t="e">
        <f>+AN33/#REF!</f>
        <v>#REF!</v>
      </c>
      <c r="AP33" s="99">
        <v>15</v>
      </c>
      <c r="AQ33" s="7" t="e">
        <f>+AP33/#REF!</f>
        <v>#REF!</v>
      </c>
      <c r="AR33" s="99">
        <v>7639</v>
      </c>
      <c r="AS33" s="99">
        <f>AN33*2</f>
        <v>276</v>
      </c>
      <c r="AT33" s="97" t="e">
        <f>+AS33/#REF!</f>
        <v>#REF!</v>
      </c>
      <c r="AU33" s="113"/>
      <c r="AV33" s="6" t="e">
        <f>+AU33/#REF!</f>
        <v>#REF!</v>
      </c>
      <c r="AW33" s="99"/>
      <c r="AX33" s="7" t="e">
        <f>+AW33/#REF!</f>
        <v>#REF!</v>
      </c>
      <c r="AY33" s="99"/>
      <c r="AZ33" s="112"/>
      <c r="BA33" s="97" t="e">
        <f>+AZ33/#REF!</f>
        <v>#REF!</v>
      </c>
      <c r="BB33" s="113"/>
      <c r="BC33" s="6" t="e">
        <f>+BB33/#REF!</f>
        <v>#REF!</v>
      </c>
      <c r="BD33" s="99"/>
      <c r="BE33" s="7" t="e">
        <f>+BD33/#REF!</f>
        <v>#REF!</v>
      </c>
      <c r="BF33" s="99"/>
      <c r="BG33" s="99"/>
      <c r="BH33" s="8" t="e">
        <f>+BG33/#REF!</f>
        <v>#REF!</v>
      </c>
      <c r="BI33" s="113">
        <v>2</v>
      </c>
      <c r="BJ33" s="6" t="e">
        <f>+BI33/#REF!</f>
        <v>#REF!</v>
      </c>
      <c r="BK33" s="99">
        <v>2</v>
      </c>
      <c r="BL33" s="7" t="e">
        <f>+BK33/#REF!</f>
        <v>#REF!</v>
      </c>
      <c r="BM33" s="99">
        <v>3157</v>
      </c>
      <c r="BN33" s="99">
        <v>2</v>
      </c>
      <c r="BO33" s="8" t="e">
        <f>+BN33/#REF!</f>
        <v>#REF!</v>
      </c>
      <c r="BP33" s="113">
        <v>36</v>
      </c>
      <c r="BQ33" s="6" t="e">
        <f>+BP33/#REF!</f>
        <v>#REF!</v>
      </c>
      <c r="BR33" s="99">
        <v>3</v>
      </c>
      <c r="BS33" s="7" t="e">
        <f>+BR33/#REF!</f>
        <v>#REF!</v>
      </c>
      <c r="BT33" s="99">
        <v>13405</v>
      </c>
      <c r="BU33" s="99">
        <f>BP33*6</f>
        <v>216</v>
      </c>
      <c r="BV33" s="8" t="e">
        <f>+BU33/#REF!</f>
        <v>#REF!</v>
      </c>
      <c r="BW33" s="113"/>
      <c r="BX33" s="6" t="e">
        <f>+BW33/#REF!</f>
        <v>#REF!</v>
      </c>
      <c r="BY33" s="99"/>
      <c r="BZ33" s="7" t="e">
        <f>+BY33/#REF!</f>
        <v>#REF!</v>
      </c>
      <c r="CA33" s="99"/>
      <c r="CB33" s="99"/>
      <c r="CC33" s="8" t="e">
        <f>+CB33/#REF!</f>
        <v>#REF!</v>
      </c>
      <c r="CD33" s="113"/>
      <c r="CE33" s="6" t="e">
        <f>+CD33/#REF!</f>
        <v>#REF!</v>
      </c>
      <c r="CF33" s="99"/>
      <c r="CG33" s="7" t="e">
        <f>+CF33/#REF!</f>
        <v>#REF!</v>
      </c>
      <c r="CH33" s="99"/>
      <c r="CI33" s="99"/>
      <c r="CJ33" s="8" t="e">
        <f>+CI33/#REF!</f>
        <v>#REF!</v>
      </c>
      <c r="CK33" s="113"/>
      <c r="CL33" s="6" t="e">
        <f>+CK33/#REF!</f>
        <v>#REF!</v>
      </c>
      <c r="CM33" s="99"/>
      <c r="CN33" s="100" t="e">
        <f>+CM33/#REF!</f>
        <v>#REF!</v>
      </c>
      <c r="CO33" s="113"/>
      <c r="CP33" s="115"/>
      <c r="CQ33" s="8" t="e">
        <f>+CP33/#REF!</f>
        <v>#REF!</v>
      </c>
      <c r="CR33" s="113"/>
      <c r="CS33" s="6" t="e">
        <f>+CR33/#REF!</f>
        <v>#REF!</v>
      </c>
      <c r="CT33" s="99"/>
      <c r="CU33" s="7" t="e">
        <f>+CT33/#REF!</f>
        <v>#REF!</v>
      </c>
      <c r="CV33" s="99"/>
      <c r="CW33" s="92"/>
      <c r="CX33" s="8" t="e">
        <f>+CW33/#REF!</f>
        <v>#REF!</v>
      </c>
      <c r="CY33" s="113"/>
      <c r="CZ33" s="6" t="e">
        <f>+CY33/#REF!</f>
        <v>#REF!</v>
      </c>
      <c r="DA33" s="99"/>
      <c r="DB33" s="7" t="e">
        <f>+DA33/#REF!</f>
        <v>#REF!</v>
      </c>
      <c r="DC33" s="111"/>
      <c r="DD33" s="99"/>
      <c r="DE33" s="8" t="e">
        <f>+DD33/#REF!</f>
        <v>#REF!</v>
      </c>
      <c r="DF33" s="113"/>
      <c r="DG33" s="6" t="e">
        <f>+DF33/#REF!</f>
        <v>#REF!</v>
      </c>
      <c r="DH33" s="99"/>
      <c r="DI33" s="7" t="e">
        <f>+DH33/#REF!</f>
        <v>#REF!</v>
      </c>
      <c r="DJ33" s="99"/>
      <c r="DK33" s="92"/>
      <c r="DL33" s="8" t="e">
        <f>+DK33/#REF!</f>
        <v>#REF!</v>
      </c>
      <c r="DM33" s="113"/>
      <c r="DN33" s="6" t="e">
        <f>+DM33/#REF!</f>
        <v>#REF!</v>
      </c>
      <c r="DO33" s="99"/>
      <c r="DP33" s="100" t="e">
        <f>+DO33/#REF!</f>
        <v>#REF!</v>
      </c>
      <c r="DQ33" s="113"/>
      <c r="DR33" s="115"/>
      <c r="DS33" s="8" t="e">
        <f>+DR33/#REF!</f>
        <v>#REF!</v>
      </c>
      <c r="DT33" s="113"/>
      <c r="DU33" s="6" t="e">
        <f>+DT33/#REF!</f>
        <v>#REF!</v>
      </c>
      <c r="DV33" s="99"/>
      <c r="DW33" s="7" t="e">
        <f>+DV33/#REF!</f>
        <v>#REF!</v>
      </c>
      <c r="DX33" s="99"/>
      <c r="DY33" s="92"/>
      <c r="DZ33" s="8" t="e">
        <f>+DY33/#REF!</f>
        <v>#REF!</v>
      </c>
      <c r="EA33" s="113"/>
      <c r="EB33" s="6" t="e">
        <f>+EA33/#REF!</f>
        <v>#REF!</v>
      </c>
      <c r="EC33" s="99"/>
      <c r="ED33" s="100" t="e">
        <f>+EC33/#REF!</f>
        <v>#REF!</v>
      </c>
      <c r="EE33" s="113"/>
      <c r="EF33" s="115"/>
      <c r="EG33" s="8" t="e">
        <f>+EF33/#REF!</f>
        <v>#REF!</v>
      </c>
      <c r="EH33" s="113"/>
      <c r="EI33" s="6" t="e">
        <f>+EH33/#REF!</f>
        <v>#REF!</v>
      </c>
      <c r="EJ33" s="99"/>
      <c r="EK33" s="7" t="e">
        <f>+EJ33/#REF!</f>
        <v>#REF!</v>
      </c>
      <c r="EL33" s="99"/>
      <c r="EM33" s="92"/>
      <c r="EN33" s="8" t="e">
        <f>+EM33/#REF!</f>
        <v>#REF!</v>
      </c>
    </row>
    <row r="34" spans="1:144" s="1" customFormat="1" ht="16.95" customHeight="1">
      <c r="B34" s="104" t="s">
        <v>96</v>
      </c>
      <c r="C34" s="31"/>
      <c r="D34" s="32"/>
      <c r="E34" s="32"/>
      <c r="F34" s="19"/>
      <c r="G34" s="19" t="s">
        <v>65</v>
      </c>
      <c r="H34" s="20"/>
      <c r="I34" s="19"/>
      <c r="J34" s="34"/>
      <c r="K34" s="105">
        <v>30</v>
      </c>
      <c r="L34" s="106">
        <v>70</v>
      </c>
      <c r="M34" s="107">
        <v>15</v>
      </c>
      <c r="N34" s="108">
        <v>10</v>
      </c>
      <c r="O34" s="108"/>
      <c r="P34" s="108">
        <v>10</v>
      </c>
      <c r="Q34" s="108">
        <v>10</v>
      </c>
      <c r="R34" s="108">
        <v>10</v>
      </c>
      <c r="S34" s="108">
        <v>10</v>
      </c>
      <c r="T34" s="109"/>
      <c r="U34" s="109"/>
      <c r="V34" s="89">
        <f t="shared" si="1"/>
        <v>1.0833333333333333</v>
      </c>
      <c r="W34" s="110" t="s">
        <v>95</v>
      </c>
      <c r="X34" s="105" t="s">
        <v>65</v>
      </c>
      <c r="Y34" s="108"/>
      <c r="Z34" s="108"/>
      <c r="AA34" s="108" t="s">
        <v>65</v>
      </c>
      <c r="AB34" s="108"/>
      <c r="AC34" s="108"/>
      <c r="AD34" s="108" t="s">
        <v>65</v>
      </c>
      <c r="AE34" s="108"/>
      <c r="AF34" s="109" t="s">
        <v>65</v>
      </c>
      <c r="AG34" s="111"/>
      <c r="AH34" s="6" t="e">
        <f>+AG34/#REF!</f>
        <v>#REF!</v>
      </c>
      <c r="AI34" s="99"/>
      <c r="AJ34" s="7" t="e">
        <f>+AI34/#REF!</f>
        <v>#REF!</v>
      </c>
      <c r="AK34" s="99"/>
      <c r="AL34" s="112"/>
      <c r="AM34" s="97" t="e">
        <f>+AL34/#REF!</f>
        <v>#REF!</v>
      </c>
      <c r="AN34" s="113"/>
      <c r="AO34" s="6" t="e">
        <f>+AN34/#REF!</f>
        <v>#REF!</v>
      </c>
      <c r="AP34" s="99"/>
      <c r="AQ34" s="7" t="e">
        <f>+AP34/#REF!</f>
        <v>#REF!</v>
      </c>
      <c r="AR34" s="99"/>
      <c r="AS34" s="99"/>
      <c r="AT34" s="97" t="e">
        <f>+AS34/#REF!</f>
        <v>#REF!</v>
      </c>
      <c r="AU34" s="113"/>
      <c r="AV34" s="6" t="e">
        <f>+AU34/#REF!</f>
        <v>#REF!</v>
      </c>
      <c r="AW34" s="99"/>
      <c r="AX34" s="7" t="e">
        <f>+AW34/#REF!</f>
        <v>#REF!</v>
      </c>
      <c r="AY34" s="99"/>
      <c r="AZ34" s="112"/>
      <c r="BA34" s="97" t="e">
        <f>+AZ34/#REF!</f>
        <v>#REF!</v>
      </c>
      <c r="BB34" s="113"/>
      <c r="BC34" s="6" t="e">
        <f>+BB34/#REF!</f>
        <v>#REF!</v>
      </c>
      <c r="BD34" s="99"/>
      <c r="BE34" s="7" t="e">
        <f>+BD34/#REF!</f>
        <v>#REF!</v>
      </c>
      <c r="BF34" s="99"/>
      <c r="BG34" s="99"/>
      <c r="BH34" s="8" t="e">
        <f>+BG34/#REF!</f>
        <v>#REF!</v>
      </c>
      <c r="BI34" s="113"/>
      <c r="BJ34" s="6" t="e">
        <f>+BI34/#REF!</f>
        <v>#REF!</v>
      </c>
      <c r="BK34" s="99"/>
      <c r="BL34" s="7" t="e">
        <f>+BK34/#REF!</f>
        <v>#REF!</v>
      </c>
      <c r="BM34" s="99"/>
      <c r="BN34" s="99"/>
      <c r="BO34" s="8" t="e">
        <f>+BN34/#REF!</f>
        <v>#REF!</v>
      </c>
      <c r="BP34" s="113"/>
      <c r="BQ34" s="6" t="e">
        <f>+BP34/#REF!</f>
        <v>#REF!</v>
      </c>
      <c r="BR34" s="99"/>
      <c r="BS34" s="7" t="e">
        <f>+BR34/#REF!</f>
        <v>#REF!</v>
      </c>
      <c r="BT34" s="99"/>
      <c r="BU34" s="99"/>
      <c r="BV34" s="8" t="e">
        <f>+BU34/#REF!</f>
        <v>#REF!</v>
      </c>
      <c r="BW34" s="113"/>
      <c r="BX34" s="6" t="e">
        <f>+BW34/#REF!</f>
        <v>#REF!</v>
      </c>
      <c r="BY34" s="99"/>
      <c r="BZ34" s="7" t="e">
        <f>+BY34/#REF!</f>
        <v>#REF!</v>
      </c>
      <c r="CA34" s="99"/>
      <c r="CB34" s="99"/>
      <c r="CC34" s="8" t="e">
        <f>+CB34/#REF!</f>
        <v>#REF!</v>
      </c>
      <c r="CD34" s="113"/>
      <c r="CE34" s="6" t="e">
        <f>+CD34/#REF!</f>
        <v>#REF!</v>
      </c>
      <c r="CF34" s="99"/>
      <c r="CG34" s="7" t="e">
        <f>+CF34/#REF!</f>
        <v>#REF!</v>
      </c>
      <c r="CH34" s="99"/>
      <c r="CI34" s="99"/>
      <c r="CJ34" s="8" t="e">
        <f>+CI34/#REF!</f>
        <v>#REF!</v>
      </c>
      <c r="CK34" s="113"/>
      <c r="CL34" s="6" t="e">
        <f>+CK34/#REF!</f>
        <v>#REF!</v>
      </c>
      <c r="CM34" s="99"/>
      <c r="CN34" s="100" t="e">
        <f>+CM34/#REF!</f>
        <v>#REF!</v>
      </c>
      <c r="CO34" s="113"/>
      <c r="CP34" s="115"/>
      <c r="CQ34" s="8" t="e">
        <f>+CP34/#REF!</f>
        <v>#REF!</v>
      </c>
      <c r="CR34" s="113"/>
      <c r="CS34" s="6" t="e">
        <f>+CR34/#REF!</f>
        <v>#REF!</v>
      </c>
      <c r="CT34" s="99"/>
      <c r="CU34" s="7" t="e">
        <f>+CT34/#REF!</f>
        <v>#REF!</v>
      </c>
      <c r="CV34" s="99"/>
      <c r="CW34" s="92"/>
      <c r="CX34" s="8" t="e">
        <f>+CW34/#REF!</f>
        <v>#REF!</v>
      </c>
      <c r="CY34" s="113"/>
      <c r="CZ34" s="6" t="e">
        <f>+CY34/#REF!</f>
        <v>#REF!</v>
      </c>
      <c r="DA34" s="99"/>
      <c r="DB34" s="7" t="e">
        <f>+DA34/#REF!</f>
        <v>#REF!</v>
      </c>
      <c r="DC34" s="111"/>
      <c r="DD34" s="99"/>
      <c r="DE34" s="8" t="e">
        <f>+DD34/#REF!</f>
        <v>#REF!</v>
      </c>
      <c r="DF34" s="113"/>
      <c r="DG34" s="6" t="e">
        <f>+DF34/#REF!</f>
        <v>#REF!</v>
      </c>
      <c r="DH34" s="99"/>
      <c r="DI34" s="7" t="e">
        <f>+DH34/#REF!</f>
        <v>#REF!</v>
      </c>
      <c r="DJ34" s="99"/>
      <c r="DK34" s="92"/>
      <c r="DL34" s="8" t="e">
        <f>+DK34/#REF!</f>
        <v>#REF!</v>
      </c>
      <c r="DM34" s="113"/>
      <c r="DN34" s="6" t="e">
        <f>+DM34/#REF!</f>
        <v>#REF!</v>
      </c>
      <c r="DO34" s="99"/>
      <c r="DP34" s="100" t="e">
        <f>+DO34/#REF!</f>
        <v>#REF!</v>
      </c>
      <c r="DQ34" s="113"/>
      <c r="DR34" s="115"/>
      <c r="DS34" s="8" t="e">
        <f>+DR34/#REF!</f>
        <v>#REF!</v>
      </c>
      <c r="DT34" s="113"/>
      <c r="DU34" s="6" t="e">
        <f>+DT34/#REF!</f>
        <v>#REF!</v>
      </c>
      <c r="DV34" s="99"/>
      <c r="DW34" s="7" t="e">
        <f>+DV34/#REF!</f>
        <v>#REF!</v>
      </c>
      <c r="DX34" s="99"/>
      <c r="DY34" s="92"/>
      <c r="DZ34" s="8" t="e">
        <f>+DY34/#REF!</f>
        <v>#REF!</v>
      </c>
      <c r="EA34" s="113"/>
      <c r="EB34" s="6" t="e">
        <f>+EA34/#REF!</f>
        <v>#REF!</v>
      </c>
      <c r="EC34" s="99"/>
      <c r="ED34" s="100" t="e">
        <f>+EC34/#REF!</f>
        <v>#REF!</v>
      </c>
      <c r="EE34" s="113"/>
      <c r="EF34" s="115"/>
      <c r="EG34" s="8" t="e">
        <f>+EF34/#REF!</f>
        <v>#REF!</v>
      </c>
      <c r="EH34" s="113"/>
      <c r="EI34" s="6" t="e">
        <f>+EH34/#REF!</f>
        <v>#REF!</v>
      </c>
      <c r="EJ34" s="99"/>
      <c r="EK34" s="7" t="e">
        <f>+EJ34/#REF!</f>
        <v>#REF!</v>
      </c>
      <c r="EL34" s="99"/>
      <c r="EM34" s="92"/>
      <c r="EN34" s="8" t="e">
        <f>+EM34/#REF!</f>
        <v>#REF!</v>
      </c>
    </row>
    <row r="35" spans="1:144" s="1" customFormat="1" ht="16.95" customHeight="1">
      <c r="B35" s="104" t="s">
        <v>97</v>
      </c>
      <c r="C35" s="18"/>
      <c r="D35" s="32"/>
      <c r="E35" s="32"/>
      <c r="F35" s="19"/>
      <c r="G35" s="19"/>
      <c r="H35" s="20"/>
      <c r="I35" s="19"/>
      <c r="J35" s="34"/>
      <c r="K35" s="105">
        <v>30</v>
      </c>
      <c r="L35" s="106">
        <v>70</v>
      </c>
      <c r="M35" s="107">
        <v>15</v>
      </c>
      <c r="N35" s="108">
        <v>10</v>
      </c>
      <c r="O35" s="108"/>
      <c r="P35" s="108">
        <v>10</v>
      </c>
      <c r="Q35" s="108">
        <v>10</v>
      </c>
      <c r="R35" s="108">
        <v>10</v>
      </c>
      <c r="S35" s="108">
        <v>10</v>
      </c>
      <c r="T35" s="109"/>
      <c r="U35" s="109"/>
      <c r="V35" s="89">
        <f t="shared" si="1"/>
        <v>1.0833333333333333</v>
      </c>
      <c r="W35" s="110" t="s">
        <v>73</v>
      </c>
      <c r="X35" s="105" t="s">
        <v>65</v>
      </c>
      <c r="Y35" s="108"/>
      <c r="Z35" s="108"/>
      <c r="AA35" s="108" t="s">
        <v>65</v>
      </c>
      <c r="AB35" s="108"/>
      <c r="AC35" s="108"/>
      <c r="AD35" s="108" t="s">
        <v>65</v>
      </c>
      <c r="AE35" s="108"/>
      <c r="AF35" s="109" t="s">
        <v>65</v>
      </c>
      <c r="AG35" s="111">
        <v>4</v>
      </c>
      <c r="AH35" s="6" t="e">
        <f>+AG35/#REF!</f>
        <v>#REF!</v>
      </c>
      <c r="AI35" s="99">
        <v>4</v>
      </c>
      <c r="AJ35" s="7" t="e">
        <f>+AI35/#REF!</f>
        <v>#REF!</v>
      </c>
      <c r="AK35" s="99"/>
      <c r="AL35" s="112"/>
      <c r="AM35" s="97" t="e">
        <f>+AL35/#REF!</f>
        <v>#REF!</v>
      </c>
      <c r="AN35" s="113"/>
      <c r="AO35" s="6" t="e">
        <f>+AN35/#REF!</f>
        <v>#REF!</v>
      </c>
      <c r="AP35" s="99"/>
      <c r="AQ35" s="7" t="e">
        <f>+AP35/#REF!</f>
        <v>#REF!</v>
      </c>
      <c r="AR35" s="99"/>
      <c r="AS35" s="99"/>
      <c r="AT35" s="97" t="e">
        <f>+AS35/#REF!</f>
        <v>#REF!</v>
      </c>
      <c r="AU35" s="113"/>
      <c r="AV35" s="6" t="e">
        <f>+AU35/#REF!</f>
        <v>#REF!</v>
      </c>
      <c r="AW35" s="99"/>
      <c r="AX35" s="7" t="e">
        <f>+AW35/#REF!</f>
        <v>#REF!</v>
      </c>
      <c r="AY35" s="99"/>
      <c r="AZ35" s="112"/>
      <c r="BA35" s="97" t="e">
        <f>+AZ35/#REF!</f>
        <v>#REF!</v>
      </c>
      <c r="BB35" s="113"/>
      <c r="BC35" s="6" t="e">
        <f>+BB35/#REF!</f>
        <v>#REF!</v>
      </c>
      <c r="BD35" s="99"/>
      <c r="BE35" s="7" t="e">
        <f>+BD35/#REF!</f>
        <v>#REF!</v>
      </c>
      <c r="BF35" s="99"/>
      <c r="BG35" s="99"/>
      <c r="BH35" s="8" t="e">
        <f>+BG35/#REF!</f>
        <v>#REF!</v>
      </c>
      <c r="BI35" s="113"/>
      <c r="BJ35" s="6" t="e">
        <f>+BI35/#REF!</f>
        <v>#REF!</v>
      </c>
      <c r="BK35" s="99"/>
      <c r="BL35" s="7" t="e">
        <f>+BK35/#REF!</f>
        <v>#REF!</v>
      </c>
      <c r="BM35" s="99"/>
      <c r="BN35" s="99"/>
      <c r="BO35" s="8" t="e">
        <f>+BN35/#REF!</f>
        <v>#REF!</v>
      </c>
      <c r="BP35" s="113">
        <v>18</v>
      </c>
      <c r="BQ35" s="6" t="e">
        <f>+BP35/#REF!</f>
        <v>#REF!</v>
      </c>
      <c r="BR35" s="99">
        <v>14</v>
      </c>
      <c r="BS35" s="7" t="e">
        <f>+BR35/#REF!</f>
        <v>#REF!</v>
      </c>
      <c r="BT35" s="99">
        <v>9012</v>
      </c>
      <c r="BU35" s="99">
        <f>BP35*3</f>
        <v>54</v>
      </c>
      <c r="BV35" s="8" t="e">
        <f>+BU35/#REF!</f>
        <v>#REF!</v>
      </c>
      <c r="BW35" s="113"/>
      <c r="BX35" s="6" t="e">
        <f>+BW35/#REF!</f>
        <v>#REF!</v>
      </c>
      <c r="BY35" s="99"/>
      <c r="BZ35" s="7" t="e">
        <f>+BY35/#REF!</f>
        <v>#REF!</v>
      </c>
      <c r="CA35" s="99"/>
      <c r="CB35" s="99"/>
      <c r="CC35" s="8" t="e">
        <f>+CB35/#REF!</f>
        <v>#REF!</v>
      </c>
      <c r="CD35" s="113"/>
      <c r="CE35" s="6" t="e">
        <f>+CD35/#REF!</f>
        <v>#REF!</v>
      </c>
      <c r="CF35" s="99"/>
      <c r="CG35" s="7" t="e">
        <f>+CF35/#REF!</f>
        <v>#REF!</v>
      </c>
      <c r="CH35" s="99"/>
      <c r="CI35" s="99"/>
      <c r="CJ35" s="8" t="e">
        <f>+CI35/#REF!</f>
        <v>#REF!</v>
      </c>
      <c r="CK35" s="113"/>
      <c r="CL35" s="6" t="e">
        <f>+CK35/#REF!</f>
        <v>#REF!</v>
      </c>
      <c r="CM35" s="99"/>
      <c r="CN35" s="100" t="e">
        <f>+CM35/#REF!</f>
        <v>#REF!</v>
      </c>
      <c r="CO35" s="113"/>
      <c r="CP35" s="115"/>
      <c r="CQ35" s="8" t="e">
        <f>+CP35/#REF!</f>
        <v>#REF!</v>
      </c>
      <c r="CR35" s="113"/>
      <c r="CS35" s="6" t="e">
        <f>+CR35/#REF!</f>
        <v>#REF!</v>
      </c>
      <c r="CT35" s="99"/>
      <c r="CU35" s="7" t="e">
        <f>+CT35/#REF!</f>
        <v>#REF!</v>
      </c>
      <c r="CV35" s="99"/>
      <c r="CW35" s="92"/>
      <c r="CX35" s="8" t="e">
        <f>+CW35/#REF!</f>
        <v>#REF!</v>
      </c>
      <c r="CY35" s="113"/>
      <c r="CZ35" s="6" t="e">
        <f>+CY35/#REF!</f>
        <v>#REF!</v>
      </c>
      <c r="DA35" s="99"/>
      <c r="DB35" s="7" t="e">
        <f>+DA35/#REF!</f>
        <v>#REF!</v>
      </c>
      <c r="DC35" s="111"/>
      <c r="DD35" s="99"/>
      <c r="DE35" s="8" t="e">
        <f>+DD35/#REF!</f>
        <v>#REF!</v>
      </c>
      <c r="DF35" s="113"/>
      <c r="DG35" s="6" t="e">
        <f>+DF35/#REF!</f>
        <v>#REF!</v>
      </c>
      <c r="DH35" s="99"/>
      <c r="DI35" s="7" t="e">
        <f>+DH35/#REF!</f>
        <v>#REF!</v>
      </c>
      <c r="DJ35" s="99"/>
      <c r="DK35" s="92"/>
      <c r="DL35" s="8" t="e">
        <f>+DK35/#REF!</f>
        <v>#REF!</v>
      </c>
      <c r="DM35" s="113"/>
      <c r="DN35" s="6" t="e">
        <f>+DM35/#REF!</f>
        <v>#REF!</v>
      </c>
      <c r="DO35" s="99"/>
      <c r="DP35" s="100" t="e">
        <f>+DO35/#REF!</f>
        <v>#REF!</v>
      </c>
      <c r="DQ35" s="113"/>
      <c r="DR35" s="115"/>
      <c r="DS35" s="8" t="e">
        <f>+DR35/#REF!</f>
        <v>#REF!</v>
      </c>
      <c r="DT35" s="113"/>
      <c r="DU35" s="6" t="e">
        <f>+DT35/#REF!</f>
        <v>#REF!</v>
      </c>
      <c r="DV35" s="99"/>
      <c r="DW35" s="7" t="e">
        <f>+DV35/#REF!</f>
        <v>#REF!</v>
      </c>
      <c r="DX35" s="99"/>
      <c r="DY35" s="92"/>
      <c r="DZ35" s="8" t="e">
        <f>+DY35/#REF!</f>
        <v>#REF!</v>
      </c>
      <c r="EA35" s="113"/>
      <c r="EB35" s="6" t="e">
        <f>+EA35/#REF!</f>
        <v>#REF!</v>
      </c>
      <c r="EC35" s="99"/>
      <c r="ED35" s="100" t="e">
        <f>+EC35/#REF!</f>
        <v>#REF!</v>
      </c>
      <c r="EE35" s="113"/>
      <c r="EF35" s="115"/>
      <c r="EG35" s="8" t="e">
        <f>+EF35/#REF!</f>
        <v>#REF!</v>
      </c>
      <c r="EH35" s="113"/>
      <c r="EI35" s="6" t="e">
        <f>+EH35/#REF!</f>
        <v>#REF!</v>
      </c>
      <c r="EJ35" s="99"/>
      <c r="EK35" s="7" t="e">
        <f>+EJ35/#REF!</f>
        <v>#REF!</v>
      </c>
      <c r="EL35" s="99"/>
      <c r="EM35" s="92"/>
      <c r="EN35" s="8" t="e">
        <f>+EM35/#REF!</f>
        <v>#REF!</v>
      </c>
    </row>
    <row r="36" spans="1:144" s="1" customFormat="1" ht="16.95" customHeight="1">
      <c r="B36" s="104" t="s">
        <v>98</v>
      </c>
      <c r="C36" s="18"/>
      <c r="D36" s="19"/>
      <c r="E36" s="19"/>
      <c r="F36" s="19"/>
      <c r="G36" s="19"/>
      <c r="H36" s="20"/>
      <c r="I36" s="19"/>
      <c r="J36" s="25"/>
      <c r="K36" s="105">
        <v>30</v>
      </c>
      <c r="L36" s="106">
        <v>70</v>
      </c>
      <c r="M36" s="107">
        <v>15</v>
      </c>
      <c r="N36" s="108">
        <v>10</v>
      </c>
      <c r="O36" s="108"/>
      <c r="P36" s="108">
        <v>10</v>
      </c>
      <c r="Q36" s="108">
        <v>10</v>
      </c>
      <c r="R36" s="108">
        <v>10</v>
      </c>
      <c r="S36" s="108">
        <v>20</v>
      </c>
      <c r="T36" s="109"/>
      <c r="U36" s="109"/>
      <c r="V36" s="89">
        <f t="shared" si="1"/>
        <v>1.25</v>
      </c>
      <c r="W36" s="110" t="s">
        <v>82</v>
      </c>
      <c r="X36" s="105" t="s">
        <v>65</v>
      </c>
      <c r="Y36" s="108" t="s">
        <v>65</v>
      </c>
      <c r="Z36" s="108"/>
      <c r="AA36" s="108" t="s">
        <v>65</v>
      </c>
      <c r="AB36" s="108"/>
      <c r="AC36" s="108"/>
      <c r="AD36" s="108" t="s">
        <v>65</v>
      </c>
      <c r="AE36" s="108"/>
      <c r="AF36" s="109" t="s">
        <v>65</v>
      </c>
      <c r="AG36" s="111">
        <v>5</v>
      </c>
      <c r="AH36" s="6" t="e">
        <f>+AG36/#REF!</f>
        <v>#REF!</v>
      </c>
      <c r="AI36" s="99">
        <v>2</v>
      </c>
      <c r="AJ36" s="7" t="e">
        <f>+AI36/#REF!</f>
        <v>#REF!</v>
      </c>
      <c r="AK36" s="99"/>
      <c r="AL36" s="112"/>
      <c r="AM36" s="97" t="e">
        <f>+AL36/#REF!</f>
        <v>#REF!</v>
      </c>
      <c r="AN36" s="113"/>
      <c r="AO36" s="6" t="e">
        <f>+AN36/#REF!</f>
        <v>#REF!</v>
      </c>
      <c r="AP36" s="99"/>
      <c r="AQ36" s="7" t="e">
        <f>+AP36/#REF!</f>
        <v>#REF!</v>
      </c>
      <c r="AR36" s="99"/>
      <c r="AS36" s="99"/>
      <c r="AT36" s="97" t="e">
        <f>+AS36/#REF!</f>
        <v>#REF!</v>
      </c>
      <c r="AU36" s="113">
        <v>3</v>
      </c>
      <c r="AV36" s="6" t="e">
        <f>+AU36/#REF!</f>
        <v>#REF!</v>
      </c>
      <c r="AW36" s="99">
        <v>2</v>
      </c>
      <c r="AX36" s="7" t="e">
        <f>+AW36/#REF!</f>
        <v>#REF!</v>
      </c>
      <c r="AY36" s="99">
        <v>5734</v>
      </c>
      <c r="AZ36" s="112">
        <v>3</v>
      </c>
      <c r="BA36" s="97" t="e">
        <f>+AZ36/#REF!</f>
        <v>#REF!</v>
      </c>
      <c r="BB36" s="113"/>
      <c r="BC36" s="6" t="e">
        <f>+BB36/#REF!</f>
        <v>#REF!</v>
      </c>
      <c r="BD36" s="99"/>
      <c r="BE36" s="7" t="e">
        <f>+BD36/#REF!</f>
        <v>#REF!</v>
      </c>
      <c r="BF36" s="99"/>
      <c r="BG36" s="99"/>
      <c r="BH36" s="8" t="e">
        <f>+BG36/#REF!</f>
        <v>#REF!</v>
      </c>
      <c r="BI36" s="113"/>
      <c r="BJ36" s="6" t="e">
        <f>+BI36/#REF!</f>
        <v>#REF!</v>
      </c>
      <c r="BK36" s="99"/>
      <c r="BL36" s="7" t="e">
        <f>+BK36/#REF!</f>
        <v>#REF!</v>
      </c>
      <c r="BM36" s="99"/>
      <c r="BN36" s="99"/>
      <c r="BO36" s="8" t="e">
        <f>+BN36/#REF!</f>
        <v>#REF!</v>
      </c>
      <c r="BP36" s="113"/>
      <c r="BQ36" s="6" t="e">
        <f>+BP36/#REF!</f>
        <v>#REF!</v>
      </c>
      <c r="BR36" s="99"/>
      <c r="BS36" s="7" t="e">
        <f>+BR36/#REF!</f>
        <v>#REF!</v>
      </c>
      <c r="BT36" s="99"/>
      <c r="BU36" s="99"/>
      <c r="BV36" s="8" t="e">
        <f>+BU36/#REF!</f>
        <v>#REF!</v>
      </c>
      <c r="BW36" s="113"/>
      <c r="BX36" s="6" t="e">
        <f>+BW36/#REF!</f>
        <v>#REF!</v>
      </c>
      <c r="BY36" s="99"/>
      <c r="BZ36" s="7" t="e">
        <f>+BY36/#REF!</f>
        <v>#REF!</v>
      </c>
      <c r="CA36" s="99"/>
      <c r="CB36" s="99"/>
      <c r="CC36" s="8" t="e">
        <f>+CB36/#REF!</f>
        <v>#REF!</v>
      </c>
      <c r="CD36" s="113"/>
      <c r="CE36" s="6" t="e">
        <f>+CD36/#REF!</f>
        <v>#REF!</v>
      </c>
      <c r="CF36" s="99"/>
      <c r="CG36" s="7" t="e">
        <f>+CF36/#REF!</f>
        <v>#REF!</v>
      </c>
      <c r="CH36" s="99"/>
      <c r="CI36" s="99"/>
      <c r="CJ36" s="8" t="e">
        <f>+CI36/#REF!</f>
        <v>#REF!</v>
      </c>
      <c r="CK36" s="113"/>
      <c r="CL36" s="6" t="e">
        <f>+CK36/#REF!</f>
        <v>#REF!</v>
      </c>
      <c r="CM36" s="99"/>
      <c r="CN36" s="100" t="e">
        <f>+CM36/#REF!</f>
        <v>#REF!</v>
      </c>
      <c r="CO36" s="113"/>
      <c r="CP36" s="115"/>
      <c r="CQ36" s="8" t="e">
        <f>+CP36/#REF!</f>
        <v>#REF!</v>
      </c>
      <c r="CR36" s="113"/>
      <c r="CS36" s="6" t="e">
        <f>+CR36/#REF!</f>
        <v>#REF!</v>
      </c>
      <c r="CT36" s="99"/>
      <c r="CU36" s="7" t="e">
        <f>+CT36/#REF!</f>
        <v>#REF!</v>
      </c>
      <c r="CV36" s="99"/>
      <c r="CW36" s="92"/>
      <c r="CX36" s="8" t="e">
        <f>+CW36/#REF!</f>
        <v>#REF!</v>
      </c>
      <c r="CY36" s="113"/>
      <c r="CZ36" s="6" t="e">
        <f>+CY36/#REF!</f>
        <v>#REF!</v>
      </c>
      <c r="DA36" s="99"/>
      <c r="DB36" s="7" t="e">
        <f>+DA36/#REF!</f>
        <v>#REF!</v>
      </c>
      <c r="DC36" s="111"/>
      <c r="DD36" s="99"/>
      <c r="DE36" s="8" t="e">
        <f>+DD36/#REF!</f>
        <v>#REF!</v>
      </c>
      <c r="DF36" s="113"/>
      <c r="DG36" s="6" t="e">
        <f>+DF36/#REF!</f>
        <v>#REF!</v>
      </c>
      <c r="DH36" s="99"/>
      <c r="DI36" s="7" t="e">
        <f>+DH36/#REF!</f>
        <v>#REF!</v>
      </c>
      <c r="DJ36" s="99"/>
      <c r="DK36" s="92"/>
      <c r="DL36" s="8" t="e">
        <f>+DK36/#REF!</f>
        <v>#REF!</v>
      </c>
      <c r="DM36" s="113"/>
      <c r="DN36" s="6" t="e">
        <f>+DM36/#REF!</f>
        <v>#REF!</v>
      </c>
      <c r="DO36" s="99"/>
      <c r="DP36" s="100" t="e">
        <f>+DO36/#REF!</f>
        <v>#REF!</v>
      </c>
      <c r="DQ36" s="113"/>
      <c r="DR36" s="115"/>
      <c r="DS36" s="8" t="e">
        <f>+DR36/#REF!</f>
        <v>#REF!</v>
      </c>
      <c r="DT36" s="113"/>
      <c r="DU36" s="6" t="e">
        <f>+DT36/#REF!</f>
        <v>#REF!</v>
      </c>
      <c r="DV36" s="99"/>
      <c r="DW36" s="7" t="e">
        <f>+DV36/#REF!</f>
        <v>#REF!</v>
      </c>
      <c r="DX36" s="99"/>
      <c r="DY36" s="92"/>
      <c r="DZ36" s="8" t="e">
        <f>+DY36/#REF!</f>
        <v>#REF!</v>
      </c>
      <c r="EA36" s="113"/>
      <c r="EB36" s="6" t="e">
        <f>+EA36/#REF!</f>
        <v>#REF!</v>
      </c>
      <c r="EC36" s="99"/>
      <c r="ED36" s="100" t="e">
        <f>+EC36/#REF!</f>
        <v>#REF!</v>
      </c>
      <c r="EE36" s="113"/>
      <c r="EF36" s="115"/>
      <c r="EG36" s="8" t="e">
        <f>+EF36/#REF!</f>
        <v>#REF!</v>
      </c>
      <c r="EH36" s="113"/>
      <c r="EI36" s="6" t="e">
        <f>+EH36/#REF!</f>
        <v>#REF!</v>
      </c>
      <c r="EJ36" s="99"/>
      <c r="EK36" s="7" t="e">
        <f>+EJ36/#REF!</f>
        <v>#REF!</v>
      </c>
      <c r="EL36" s="99"/>
      <c r="EM36" s="92"/>
      <c r="EN36" s="8" t="e">
        <f>+EM36/#REF!</f>
        <v>#REF!</v>
      </c>
    </row>
    <row r="37" spans="1:144" s="1" customFormat="1" ht="16.95" customHeight="1">
      <c r="B37" s="104" t="s">
        <v>89</v>
      </c>
      <c r="C37" s="18"/>
      <c r="D37" s="19"/>
      <c r="E37" s="19"/>
      <c r="F37" s="19"/>
      <c r="G37" s="19"/>
      <c r="H37" s="20"/>
      <c r="I37" s="19"/>
      <c r="J37" s="25"/>
      <c r="K37" s="105">
        <v>30</v>
      </c>
      <c r="L37" s="106">
        <v>70</v>
      </c>
      <c r="M37" s="107">
        <v>40</v>
      </c>
      <c r="N37" s="108">
        <v>40</v>
      </c>
      <c r="O37" s="108"/>
      <c r="P37" s="108">
        <v>10</v>
      </c>
      <c r="Q37" s="108">
        <v>10</v>
      </c>
      <c r="R37" s="108">
        <v>60</v>
      </c>
      <c r="S37" s="108">
        <v>20</v>
      </c>
      <c r="T37" s="109"/>
      <c r="U37" s="109"/>
      <c r="V37" s="89">
        <f t="shared" si="1"/>
        <v>3</v>
      </c>
      <c r="W37" s="121" t="s">
        <v>99</v>
      </c>
      <c r="X37" s="105" t="s">
        <v>65</v>
      </c>
      <c r="Y37" s="108" t="s">
        <v>65</v>
      </c>
      <c r="Z37" s="108"/>
      <c r="AA37" s="108" t="s">
        <v>65</v>
      </c>
      <c r="AB37" s="108"/>
      <c r="AC37" s="108"/>
      <c r="AD37" s="108" t="s">
        <v>65</v>
      </c>
      <c r="AE37" s="108"/>
      <c r="AF37" s="109" t="s">
        <v>65</v>
      </c>
      <c r="AG37" s="111"/>
      <c r="AH37" s="6" t="e">
        <f>+AG37/#REF!</f>
        <v>#REF!</v>
      </c>
      <c r="AI37" s="99"/>
      <c r="AJ37" s="7" t="e">
        <f>+AI37/#REF!</f>
        <v>#REF!</v>
      </c>
      <c r="AK37" s="99"/>
      <c r="AL37" s="112"/>
      <c r="AM37" s="97" t="e">
        <f>+AL37/#REF!</f>
        <v>#REF!</v>
      </c>
      <c r="AN37" s="113"/>
      <c r="AO37" s="6" t="e">
        <f>+AN37/#REF!</f>
        <v>#REF!</v>
      </c>
      <c r="AP37" s="99"/>
      <c r="AQ37" s="7" t="e">
        <f>+AP37/#REF!</f>
        <v>#REF!</v>
      </c>
      <c r="AR37" s="99"/>
      <c r="AS37" s="99"/>
      <c r="AT37" s="97" t="e">
        <f>+AS37/#REF!</f>
        <v>#REF!</v>
      </c>
      <c r="AU37" s="113">
        <v>1</v>
      </c>
      <c r="AV37" s="6" t="e">
        <f>+AU37/#REF!</f>
        <v>#REF!</v>
      </c>
      <c r="AW37" s="99">
        <v>1</v>
      </c>
      <c r="AX37" s="7" t="e">
        <f>+AW37/#REF!</f>
        <v>#REF!</v>
      </c>
      <c r="AY37" s="99">
        <v>1227</v>
      </c>
      <c r="AZ37" s="112">
        <v>2</v>
      </c>
      <c r="BA37" s="97" t="e">
        <f>+AZ37/#REF!</f>
        <v>#REF!</v>
      </c>
      <c r="BB37" s="113"/>
      <c r="BC37" s="6" t="e">
        <f>+BB37/#REF!</f>
        <v>#REF!</v>
      </c>
      <c r="BD37" s="99"/>
      <c r="BE37" s="7" t="e">
        <f>+BD37/#REF!</f>
        <v>#REF!</v>
      </c>
      <c r="BF37" s="99"/>
      <c r="BG37" s="99"/>
      <c r="BH37" s="8" t="e">
        <f>+BG37/#REF!</f>
        <v>#REF!</v>
      </c>
      <c r="BI37" s="113">
        <v>1</v>
      </c>
      <c r="BJ37" s="6" t="e">
        <f>+BI37/#REF!</f>
        <v>#REF!</v>
      </c>
      <c r="BK37" s="99">
        <v>1</v>
      </c>
      <c r="BL37" s="7" t="e">
        <f>+BK37/#REF!</f>
        <v>#REF!</v>
      </c>
      <c r="BM37" s="99">
        <v>4507</v>
      </c>
      <c r="BN37" s="99">
        <v>2</v>
      </c>
      <c r="BO37" s="8" t="e">
        <f>+BN37/#REF!</f>
        <v>#REF!</v>
      </c>
      <c r="BP37" s="113"/>
      <c r="BQ37" s="6" t="e">
        <f>+BP37/#REF!</f>
        <v>#REF!</v>
      </c>
      <c r="BR37" s="99"/>
      <c r="BS37" s="7" t="e">
        <f>+BR37/#REF!</f>
        <v>#REF!</v>
      </c>
      <c r="BT37" s="99"/>
      <c r="BU37" s="99"/>
      <c r="BV37" s="8" t="e">
        <f>+BU37/#REF!</f>
        <v>#REF!</v>
      </c>
      <c r="BW37" s="113"/>
      <c r="BX37" s="6" t="e">
        <f>+BW37/#REF!</f>
        <v>#REF!</v>
      </c>
      <c r="BY37" s="99"/>
      <c r="BZ37" s="7" t="e">
        <f>+BY37/#REF!</f>
        <v>#REF!</v>
      </c>
      <c r="CA37" s="99"/>
      <c r="CB37" s="99"/>
      <c r="CC37" s="8" t="e">
        <f>+CB37/#REF!</f>
        <v>#REF!</v>
      </c>
      <c r="CD37" s="113"/>
      <c r="CE37" s="6" t="e">
        <f>+CD37/#REF!</f>
        <v>#REF!</v>
      </c>
      <c r="CF37" s="99"/>
      <c r="CG37" s="7" t="e">
        <f>+CF37/#REF!</f>
        <v>#REF!</v>
      </c>
      <c r="CH37" s="99"/>
      <c r="CI37" s="99"/>
      <c r="CJ37" s="8" t="e">
        <f>+CI37/#REF!</f>
        <v>#REF!</v>
      </c>
      <c r="CK37" s="113"/>
      <c r="CL37" s="6" t="e">
        <f>+CK37/#REF!</f>
        <v>#REF!</v>
      </c>
      <c r="CM37" s="99"/>
      <c r="CN37" s="100" t="e">
        <f>+CM37/#REF!</f>
        <v>#REF!</v>
      </c>
      <c r="CO37" s="113"/>
      <c r="CP37" s="115"/>
      <c r="CQ37" s="8" t="e">
        <f>+CP37/#REF!</f>
        <v>#REF!</v>
      </c>
      <c r="CR37" s="113"/>
      <c r="CS37" s="6" t="e">
        <f>+CR37/#REF!</f>
        <v>#REF!</v>
      </c>
      <c r="CT37" s="99"/>
      <c r="CU37" s="7" t="e">
        <f>+CT37/#REF!</f>
        <v>#REF!</v>
      </c>
      <c r="CV37" s="99"/>
      <c r="CW37" s="92"/>
      <c r="CX37" s="8" t="e">
        <f>+CW37/#REF!</f>
        <v>#REF!</v>
      </c>
      <c r="CY37" s="113"/>
      <c r="CZ37" s="6" t="e">
        <f>+CY37/#REF!</f>
        <v>#REF!</v>
      </c>
      <c r="DA37" s="99"/>
      <c r="DB37" s="7" t="e">
        <f>+DA37/#REF!</f>
        <v>#REF!</v>
      </c>
      <c r="DC37" s="111"/>
      <c r="DD37" s="99"/>
      <c r="DE37" s="8" t="e">
        <f>+DD37/#REF!</f>
        <v>#REF!</v>
      </c>
      <c r="DF37" s="113"/>
      <c r="DG37" s="6" t="e">
        <f>+DF37/#REF!</f>
        <v>#REF!</v>
      </c>
      <c r="DH37" s="99"/>
      <c r="DI37" s="7" t="e">
        <f>+DH37/#REF!</f>
        <v>#REF!</v>
      </c>
      <c r="DJ37" s="99"/>
      <c r="DK37" s="92"/>
      <c r="DL37" s="8" t="e">
        <f>+DK37/#REF!</f>
        <v>#REF!</v>
      </c>
      <c r="DM37" s="113"/>
      <c r="DN37" s="6" t="e">
        <f>+DM37/#REF!</f>
        <v>#REF!</v>
      </c>
      <c r="DO37" s="99"/>
      <c r="DP37" s="100" t="e">
        <f>+DO37/#REF!</f>
        <v>#REF!</v>
      </c>
      <c r="DQ37" s="113"/>
      <c r="DR37" s="115"/>
      <c r="DS37" s="8" t="e">
        <f>+DR37/#REF!</f>
        <v>#REF!</v>
      </c>
      <c r="DT37" s="113"/>
      <c r="DU37" s="6" t="e">
        <f>+DT37/#REF!</f>
        <v>#REF!</v>
      </c>
      <c r="DV37" s="99"/>
      <c r="DW37" s="7" t="e">
        <f>+DV37/#REF!</f>
        <v>#REF!</v>
      </c>
      <c r="DX37" s="99"/>
      <c r="DY37" s="92"/>
      <c r="DZ37" s="8" t="e">
        <f>+DY37/#REF!</f>
        <v>#REF!</v>
      </c>
      <c r="EA37" s="113"/>
      <c r="EB37" s="6" t="e">
        <f>+EA37/#REF!</f>
        <v>#REF!</v>
      </c>
      <c r="EC37" s="99"/>
      <c r="ED37" s="100" t="e">
        <f>+EC37/#REF!</f>
        <v>#REF!</v>
      </c>
      <c r="EE37" s="113"/>
      <c r="EF37" s="115"/>
      <c r="EG37" s="8" t="e">
        <f>+EF37/#REF!</f>
        <v>#REF!</v>
      </c>
      <c r="EH37" s="113"/>
      <c r="EI37" s="6" t="e">
        <f>+EH37/#REF!</f>
        <v>#REF!</v>
      </c>
      <c r="EJ37" s="99"/>
      <c r="EK37" s="7" t="e">
        <f>+EJ37/#REF!</f>
        <v>#REF!</v>
      </c>
      <c r="EL37" s="99"/>
      <c r="EM37" s="92"/>
      <c r="EN37" s="8" t="e">
        <f>+EM37/#REF!</f>
        <v>#REF!</v>
      </c>
    </row>
    <row r="38" spans="1:144" s="1" customFormat="1" ht="16.95" customHeight="1">
      <c r="B38" s="104" t="s">
        <v>100</v>
      </c>
      <c r="C38" s="18"/>
      <c r="D38" s="19"/>
      <c r="E38" s="19"/>
      <c r="F38" s="19"/>
      <c r="G38" s="32" t="s">
        <v>65</v>
      </c>
      <c r="H38" s="20"/>
      <c r="I38" s="19"/>
      <c r="J38" s="25" t="s">
        <v>65</v>
      </c>
      <c r="K38" s="105">
        <v>30</v>
      </c>
      <c r="L38" s="106">
        <v>70</v>
      </c>
      <c r="M38" s="107">
        <v>40</v>
      </c>
      <c r="N38" s="108">
        <v>40</v>
      </c>
      <c r="O38" s="108"/>
      <c r="P38" s="108">
        <v>15</v>
      </c>
      <c r="Q38" s="108">
        <v>15</v>
      </c>
      <c r="R38" s="108">
        <v>30</v>
      </c>
      <c r="S38" s="108">
        <v>30</v>
      </c>
      <c r="T38" s="109"/>
      <c r="U38" s="109"/>
      <c r="V38" s="89">
        <f t="shared" si="1"/>
        <v>2.8333333333333335</v>
      </c>
      <c r="W38" s="110" t="s">
        <v>101</v>
      </c>
      <c r="X38" s="105" t="s">
        <v>65</v>
      </c>
      <c r="Y38" s="108" t="s">
        <v>65</v>
      </c>
      <c r="Z38" s="108"/>
      <c r="AA38" s="108" t="s">
        <v>65</v>
      </c>
      <c r="AB38" s="108"/>
      <c r="AC38" s="108"/>
      <c r="AD38" s="108" t="s">
        <v>65</v>
      </c>
      <c r="AE38" s="108"/>
      <c r="AF38" s="109" t="s">
        <v>65</v>
      </c>
      <c r="AG38" s="111"/>
      <c r="AH38" s="6" t="e">
        <f>+AG38/#REF!</f>
        <v>#REF!</v>
      </c>
      <c r="AI38" s="99"/>
      <c r="AJ38" s="7" t="e">
        <f>+AI38/#REF!</f>
        <v>#REF!</v>
      </c>
      <c r="AK38" s="99"/>
      <c r="AL38" s="112"/>
      <c r="AM38" s="97" t="e">
        <f>+AL38/#REF!</f>
        <v>#REF!</v>
      </c>
      <c r="AN38" s="113"/>
      <c r="AO38" s="6" t="e">
        <f>+AN38/#REF!</f>
        <v>#REF!</v>
      </c>
      <c r="AP38" s="99"/>
      <c r="AQ38" s="7" t="e">
        <f>+AP38/#REF!</f>
        <v>#REF!</v>
      </c>
      <c r="AR38" s="99"/>
      <c r="AS38" s="99"/>
      <c r="AT38" s="97" t="e">
        <f>+AS38/#REF!</f>
        <v>#REF!</v>
      </c>
      <c r="AU38" s="113"/>
      <c r="AV38" s="6" t="e">
        <f>+AU38/#REF!</f>
        <v>#REF!</v>
      </c>
      <c r="AW38" s="99"/>
      <c r="AX38" s="7" t="e">
        <f>+AW38/#REF!</f>
        <v>#REF!</v>
      </c>
      <c r="AY38" s="99"/>
      <c r="AZ38" s="112"/>
      <c r="BA38" s="97" t="e">
        <f>+AZ38/#REF!</f>
        <v>#REF!</v>
      </c>
      <c r="BB38" s="113"/>
      <c r="BC38" s="6" t="e">
        <f>+BB38/#REF!</f>
        <v>#REF!</v>
      </c>
      <c r="BD38" s="99"/>
      <c r="BE38" s="7" t="e">
        <f>+BD38/#REF!</f>
        <v>#REF!</v>
      </c>
      <c r="BF38" s="99"/>
      <c r="BG38" s="99"/>
      <c r="BH38" s="8" t="e">
        <f>+BG38/#REF!</f>
        <v>#REF!</v>
      </c>
      <c r="BI38" s="113"/>
      <c r="BJ38" s="6" t="e">
        <f>+BI38/#REF!</f>
        <v>#REF!</v>
      </c>
      <c r="BK38" s="99"/>
      <c r="BL38" s="7" t="e">
        <f>+BK38/#REF!</f>
        <v>#REF!</v>
      </c>
      <c r="BM38" s="99"/>
      <c r="BN38" s="99"/>
      <c r="BO38" s="8" t="e">
        <f>+BN38/#REF!</f>
        <v>#REF!</v>
      </c>
      <c r="BP38" s="113"/>
      <c r="BQ38" s="6" t="e">
        <f>+BP38/#REF!</f>
        <v>#REF!</v>
      </c>
      <c r="BR38" s="99"/>
      <c r="BS38" s="7" t="e">
        <f>+BR38/#REF!</f>
        <v>#REF!</v>
      </c>
      <c r="BT38" s="99"/>
      <c r="BU38" s="99"/>
      <c r="BV38" s="8" t="e">
        <f>+BU38/#REF!</f>
        <v>#REF!</v>
      </c>
      <c r="BW38" s="113"/>
      <c r="BX38" s="6" t="e">
        <f>+BW38/#REF!</f>
        <v>#REF!</v>
      </c>
      <c r="BY38" s="99"/>
      <c r="BZ38" s="7" t="e">
        <f>+BY38/#REF!</f>
        <v>#REF!</v>
      </c>
      <c r="CA38" s="99"/>
      <c r="CB38" s="99"/>
      <c r="CC38" s="8" t="e">
        <f>+CB38/#REF!</f>
        <v>#REF!</v>
      </c>
      <c r="CD38" s="113"/>
      <c r="CE38" s="6" t="e">
        <f>+CD38/#REF!</f>
        <v>#REF!</v>
      </c>
      <c r="CF38" s="99"/>
      <c r="CG38" s="7" t="e">
        <f>+CF38/#REF!</f>
        <v>#REF!</v>
      </c>
      <c r="CH38" s="99"/>
      <c r="CI38" s="99"/>
      <c r="CJ38" s="8" t="e">
        <f>+CI38/#REF!</f>
        <v>#REF!</v>
      </c>
      <c r="CK38" s="113"/>
      <c r="CL38" s="6" t="e">
        <f>+CK38/#REF!</f>
        <v>#REF!</v>
      </c>
      <c r="CM38" s="99"/>
      <c r="CN38" s="100" t="e">
        <f>+CM38/#REF!</f>
        <v>#REF!</v>
      </c>
      <c r="CO38" s="113"/>
      <c r="CP38" s="115"/>
      <c r="CQ38" s="8" t="e">
        <f>+CP38/#REF!</f>
        <v>#REF!</v>
      </c>
      <c r="CR38" s="113"/>
      <c r="CS38" s="6" t="e">
        <f>+CR38/#REF!</f>
        <v>#REF!</v>
      </c>
      <c r="CT38" s="99"/>
      <c r="CU38" s="7" t="e">
        <f>+CT38/#REF!</f>
        <v>#REF!</v>
      </c>
      <c r="CV38" s="99"/>
      <c r="CW38" s="92"/>
      <c r="CX38" s="8" t="e">
        <f>+CW38/#REF!</f>
        <v>#REF!</v>
      </c>
      <c r="CY38" s="113">
        <v>6</v>
      </c>
      <c r="CZ38" s="6" t="e">
        <f>+CY38/#REF!</f>
        <v>#REF!</v>
      </c>
      <c r="DA38" s="99">
        <v>5</v>
      </c>
      <c r="DB38" s="7" t="e">
        <f>+DA38/#REF!</f>
        <v>#REF!</v>
      </c>
      <c r="DC38" s="111">
        <v>11486</v>
      </c>
      <c r="DD38" s="99">
        <f>CY38*4</f>
        <v>24</v>
      </c>
      <c r="DE38" s="8" t="e">
        <f>+DD38/#REF!</f>
        <v>#REF!</v>
      </c>
      <c r="DF38" s="113">
        <v>16</v>
      </c>
      <c r="DG38" s="6" t="e">
        <f>+DF38/#REF!</f>
        <v>#REF!</v>
      </c>
      <c r="DH38" s="99">
        <v>5</v>
      </c>
      <c r="DI38" s="7" t="e">
        <f>+DH38/#REF!</f>
        <v>#REF!</v>
      </c>
      <c r="DJ38" s="99">
        <v>11610</v>
      </c>
      <c r="DK38" s="92">
        <f>DF38*4</f>
        <v>64</v>
      </c>
      <c r="DL38" s="8" t="e">
        <f>+DK38/#REF!</f>
        <v>#REF!</v>
      </c>
      <c r="DM38" s="113"/>
      <c r="DN38" s="6" t="e">
        <f>+DM38/#REF!</f>
        <v>#REF!</v>
      </c>
      <c r="DO38" s="99"/>
      <c r="DP38" s="100" t="e">
        <f>+DO38/#REF!</f>
        <v>#REF!</v>
      </c>
      <c r="DQ38" s="113"/>
      <c r="DR38" s="115"/>
      <c r="DS38" s="8" t="e">
        <f>+DR38/#REF!</f>
        <v>#REF!</v>
      </c>
      <c r="DT38" s="113"/>
      <c r="DU38" s="6" t="e">
        <f>+DT38/#REF!</f>
        <v>#REF!</v>
      </c>
      <c r="DV38" s="99"/>
      <c r="DW38" s="7" t="e">
        <f>+DV38/#REF!</f>
        <v>#REF!</v>
      </c>
      <c r="DX38" s="99"/>
      <c r="DY38" s="92"/>
      <c r="DZ38" s="8" t="e">
        <f>+DY38/#REF!</f>
        <v>#REF!</v>
      </c>
      <c r="EA38" s="113">
        <v>3</v>
      </c>
      <c r="EB38" s="6" t="e">
        <f>+EA38/#REF!</f>
        <v>#REF!</v>
      </c>
      <c r="EC38" s="99">
        <v>2</v>
      </c>
      <c r="ED38" s="100" t="e">
        <f>+EC38/#REF!</f>
        <v>#REF!</v>
      </c>
      <c r="EE38" s="113"/>
      <c r="EF38" s="115"/>
      <c r="EG38" s="8" t="e">
        <f>+EF38/#REF!</f>
        <v>#REF!</v>
      </c>
      <c r="EH38" s="113">
        <v>2</v>
      </c>
      <c r="EI38" s="6" t="e">
        <f>+EH38/#REF!</f>
        <v>#REF!</v>
      </c>
      <c r="EJ38" s="99">
        <v>2</v>
      </c>
      <c r="EK38" s="7" t="e">
        <f>+EJ38/#REF!</f>
        <v>#REF!</v>
      </c>
      <c r="EL38" s="99"/>
      <c r="EM38" s="92"/>
      <c r="EN38" s="8" t="e">
        <f>+EM38/#REF!</f>
        <v>#REF!</v>
      </c>
    </row>
    <row r="39" spans="1:144" s="1" customFormat="1" ht="16.95" customHeight="1">
      <c r="B39" s="104" t="s">
        <v>102</v>
      </c>
      <c r="C39" s="18"/>
      <c r="D39" s="19"/>
      <c r="E39" s="19"/>
      <c r="F39" s="32" t="s">
        <v>65</v>
      </c>
      <c r="G39" s="19"/>
      <c r="H39" s="20"/>
      <c r="I39" s="19"/>
      <c r="J39" s="25"/>
      <c r="K39" s="105">
        <v>30</v>
      </c>
      <c r="L39" s="106">
        <v>70</v>
      </c>
      <c r="M39" s="107">
        <v>20</v>
      </c>
      <c r="N39" s="108">
        <v>20</v>
      </c>
      <c r="O39" s="108"/>
      <c r="P39" s="108">
        <v>10</v>
      </c>
      <c r="Q39" s="108">
        <v>10</v>
      </c>
      <c r="R39" s="108">
        <v>20</v>
      </c>
      <c r="S39" s="108">
        <v>20</v>
      </c>
      <c r="T39" s="109"/>
      <c r="U39" s="109"/>
      <c r="V39" s="89">
        <f t="shared" si="1"/>
        <v>1.6666666666666667</v>
      </c>
      <c r="W39" s="110">
        <v>4</v>
      </c>
      <c r="X39" s="105" t="s">
        <v>65</v>
      </c>
      <c r="Y39" s="108" t="s">
        <v>65</v>
      </c>
      <c r="Z39" s="108"/>
      <c r="AA39" s="108" t="s">
        <v>65</v>
      </c>
      <c r="AB39" s="108"/>
      <c r="AC39" s="108"/>
      <c r="AD39" s="108" t="s">
        <v>65</v>
      </c>
      <c r="AE39" s="108"/>
      <c r="AF39" s="109" t="s">
        <v>65</v>
      </c>
      <c r="AG39" s="111"/>
      <c r="AH39" s="6" t="e">
        <f>+AG39/#REF!</f>
        <v>#REF!</v>
      </c>
      <c r="AI39" s="99"/>
      <c r="AJ39" s="7" t="e">
        <f>+AI39/#REF!</f>
        <v>#REF!</v>
      </c>
      <c r="AK39" s="99"/>
      <c r="AL39" s="112"/>
      <c r="AM39" s="97" t="e">
        <f>+AL39/#REF!</f>
        <v>#REF!</v>
      </c>
      <c r="AN39" s="113"/>
      <c r="AO39" s="6" t="e">
        <f>+AN39/#REF!</f>
        <v>#REF!</v>
      </c>
      <c r="AP39" s="99"/>
      <c r="AQ39" s="7" t="e">
        <f>+AP39/#REF!</f>
        <v>#REF!</v>
      </c>
      <c r="AR39" s="99"/>
      <c r="AS39" s="99"/>
      <c r="AT39" s="97" t="e">
        <f>+AS39/#REF!</f>
        <v>#REF!</v>
      </c>
      <c r="AU39" s="113"/>
      <c r="AV39" s="6" t="e">
        <f>+AU39/#REF!</f>
        <v>#REF!</v>
      </c>
      <c r="AW39" s="99"/>
      <c r="AX39" s="7" t="e">
        <f>+AW39/#REF!</f>
        <v>#REF!</v>
      </c>
      <c r="AY39" s="99"/>
      <c r="AZ39" s="112"/>
      <c r="BA39" s="97" t="e">
        <f>+AZ39/#REF!</f>
        <v>#REF!</v>
      </c>
      <c r="BB39" s="113"/>
      <c r="BC39" s="6" t="e">
        <f>+BB39/#REF!</f>
        <v>#REF!</v>
      </c>
      <c r="BD39" s="99"/>
      <c r="BE39" s="7" t="e">
        <f>+BD39/#REF!</f>
        <v>#REF!</v>
      </c>
      <c r="BF39" s="99"/>
      <c r="BG39" s="99"/>
      <c r="BH39" s="8" t="e">
        <f>+BG39/#REF!</f>
        <v>#REF!</v>
      </c>
      <c r="BI39" s="113"/>
      <c r="BJ39" s="6" t="e">
        <f>+BI39/#REF!</f>
        <v>#REF!</v>
      </c>
      <c r="BK39" s="99"/>
      <c r="BL39" s="7" t="e">
        <f>+BK39/#REF!</f>
        <v>#REF!</v>
      </c>
      <c r="BM39" s="99"/>
      <c r="BN39" s="99"/>
      <c r="BO39" s="8" t="e">
        <f>+BN39/#REF!</f>
        <v>#REF!</v>
      </c>
      <c r="BP39" s="113"/>
      <c r="BQ39" s="6" t="e">
        <f>+BP39/#REF!</f>
        <v>#REF!</v>
      </c>
      <c r="BR39" s="99"/>
      <c r="BS39" s="7" t="e">
        <f>+BR39/#REF!</f>
        <v>#REF!</v>
      </c>
      <c r="BT39" s="99"/>
      <c r="BU39" s="99"/>
      <c r="BV39" s="8" t="e">
        <f>+BU39/#REF!</f>
        <v>#REF!</v>
      </c>
      <c r="BW39" s="113"/>
      <c r="BX39" s="6" t="e">
        <f>+BW39/#REF!</f>
        <v>#REF!</v>
      </c>
      <c r="BY39" s="99"/>
      <c r="BZ39" s="7" t="e">
        <f>+BY39/#REF!</f>
        <v>#REF!</v>
      </c>
      <c r="CA39" s="99"/>
      <c r="CB39" s="99"/>
      <c r="CC39" s="8" t="e">
        <f>+CB39/#REF!</f>
        <v>#REF!</v>
      </c>
      <c r="CD39" s="113"/>
      <c r="CE39" s="6" t="e">
        <f>+CD39/#REF!</f>
        <v>#REF!</v>
      </c>
      <c r="CF39" s="99"/>
      <c r="CG39" s="7" t="e">
        <f>+CF39/#REF!</f>
        <v>#REF!</v>
      </c>
      <c r="CH39" s="99"/>
      <c r="CI39" s="99"/>
      <c r="CJ39" s="8" t="e">
        <f>+CI39/#REF!</f>
        <v>#REF!</v>
      </c>
      <c r="CK39" s="113"/>
      <c r="CL39" s="6" t="e">
        <f>+CK39/#REF!</f>
        <v>#REF!</v>
      </c>
      <c r="CM39" s="99"/>
      <c r="CN39" s="100" t="e">
        <f>+CM39/#REF!</f>
        <v>#REF!</v>
      </c>
      <c r="CO39" s="113"/>
      <c r="CP39" s="115"/>
      <c r="CQ39" s="8" t="e">
        <f>+CP39/#REF!</f>
        <v>#REF!</v>
      </c>
      <c r="CR39" s="113"/>
      <c r="CS39" s="6" t="e">
        <f>+CR39/#REF!</f>
        <v>#REF!</v>
      </c>
      <c r="CT39" s="99"/>
      <c r="CU39" s="7" t="e">
        <f>+CT39/#REF!</f>
        <v>#REF!</v>
      </c>
      <c r="CV39" s="99"/>
      <c r="CW39" s="92"/>
      <c r="CX39" s="8" t="e">
        <f>+CW39/#REF!</f>
        <v>#REF!</v>
      </c>
      <c r="CY39" s="113"/>
      <c r="CZ39" s="6" t="e">
        <f>+CY39/#REF!</f>
        <v>#REF!</v>
      </c>
      <c r="DA39" s="99"/>
      <c r="DB39" s="7" t="e">
        <f>+DA39/#REF!</f>
        <v>#REF!</v>
      </c>
      <c r="DC39" s="111"/>
      <c r="DD39" s="99"/>
      <c r="DE39" s="8" t="e">
        <f>+DD39/#REF!</f>
        <v>#REF!</v>
      </c>
      <c r="DF39" s="113"/>
      <c r="DG39" s="6" t="e">
        <f>+DF39/#REF!</f>
        <v>#REF!</v>
      </c>
      <c r="DH39" s="99"/>
      <c r="DI39" s="7" t="e">
        <f>+DH39/#REF!</f>
        <v>#REF!</v>
      </c>
      <c r="DJ39" s="99"/>
      <c r="DK39" s="92"/>
      <c r="DL39" s="8" t="e">
        <f>+DK39/#REF!</f>
        <v>#REF!</v>
      </c>
      <c r="DM39" s="113"/>
      <c r="DN39" s="6" t="e">
        <f>+DM39/#REF!</f>
        <v>#REF!</v>
      </c>
      <c r="DO39" s="99"/>
      <c r="DP39" s="100" t="e">
        <f>+DO39/#REF!</f>
        <v>#REF!</v>
      </c>
      <c r="DQ39" s="113"/>
      <c r="DR39" s="115"/>
      <c r="DS39" s="8" t="e">
        <f>+DR39/#REF!</f>
        <v>#REF!</v>
      </c>
      <c r="DT39" s="113"/>
      <c r="DU39" s="6" t="e">
        <f>+DT39/#REF!</f>
        <v>#REF!</v>
      </c>
      <c r="DV39" s="99"/>
      <c r="DW39" s="7" t="e">
        <f>+DV39/#REF!</f>
        <v>#REF!</v>
      </c>
      <c r="DX39" s="99"/>
      <c r="DY39" s="92"/>
      <c r="DZ39" s="8" t="e">
        <f>+DY39/#REF!</f>
        <v>#REF!</v>
      </c>
      <c r="EA39" s="113"/>
      <c r="EB39" s="6" t="e">
        <f>+EA39/#REF!</f>
        <v>#REF!</v>
      </c>
      <c r="EC39" s="99"/>
      <c r="ED39" s="100" t="e">
        <f>+EC39/#REF!</f>
        <v>#REF!</v>
      </c>
      <c r="EE39" s="113"/>
      <c r="EF39" s="115"/>
      <c r="EG39" s="8" t="e">
        <f>+EF39/#REF!</f>
        <v>#REF!</v>
      </c>
      <c r="EH39" s="113"/>
      <c r="EI39" s="6" t="e">
        <f>+EH39/#REF!</f>
        <v>#REF!</v>
      </c>
      <c r="EJ39" s="99"/>
      <c r="EK39" s="7" t="e">
        <f>+EJ39/#REF!</f>
        <v>#REF!</v>
      </c>
      <c r="EL39" s="99"/>
      <c r="EM39" s="92"/>
      <c r="EN39" s="8" t="e">
        <f>+EM39/#REF!</f>
        <v>#REF!</v>
      </c>
    </row>
    <row r="40" spans="1:144" s="1" customFormat="1" ht="16.95" customHeight="1">
      <c r="B40" s="104" t="s">
        <v>103</v>
      </c>
      <c r="C40" s="18"/>
      <c r="D40" s="23"/>
      <c r="E40" s="32"/>
      <c r="F40" s="32"/>
      <c r="G40" s="32" t="s">
        <v>65</v>
      </c>
      <c r="H40" s="35"/>
      <c r="I40" s="19"/>
      <c r="J40" s="25" t="s">
        <v>65</v>
      </c>
      <c r="K40" s="105">
        <v>30</v>
      </c>
      <c r="L40" s="106">
        <v>70</v>
      </c>
      <c r="M40" s="107">
        <v>60</v>
      </c>
      <c r="N40" s="108">
        <v>30</v>
      </c>
      <c r="O40" s="108"/>
      <c r="P40" s="108">
        <v>10</v>
      </c>
      <c r="Q40" s="108">
        <v>10</v>
      </c>
      <c r="R40" s="108">
        <v>10</v>
      </c>
      <c r="S40" s="108">
        <v>10</v>
      </c>
      <c r="T40" s="109">
        <v>20</v>
      </c>
      <c r="U40" s="109">
        <v>15</v>
      </c>
      <c r="V40" s="89">
        <f t="shared" si="1"/>
        <v>2.75</v>
      </c>
      <c r="W40" s="110" t="s">
        <v>104</v>
      </c>
      <c r="X40" s="105" t="s">
        <v>65</v>
      </c>
      <c r="Y40" s="108"/>
      <c r="Z40" s="108"/>
      <c r="AA40" s="108" t="s">
        <v>65</v>
      </c>
      <c r="AB40" s="108"/>
      <c r="AC40" s="108"/>
      <c r="AD40" s="108" t="s">
        <v>65</v>
      </c>
      <c r="AE40" s="108"/>
      <c r="AF40" s="109" t="s">
        <v>65</v>
      </c>
      <c r="AG40" s="111">
        <v>19</v>
      </c>
      <c r="AH40" s="6" t="e">
        <f>+AG40/#REF!</f>
        <v>#REF!</v>
      </c>
      <c r="AI40" s="99">
        <v>19</v>
      </c>
      <c r="AJ40" s="7" t="e">
        <f>+AI40/#REF!</f>
        <v>#REF!</v>
      </c>
      <c r="AK40" s="99">
        <v>13224</v>
      </c>
      <c r="AL40" s="112">
        <v>75</v>
      </c>
      <c r="AM40" s="97" t="e">
        <f>+AL40/#REF!</f>
        <v>#REF!</v>
      </c>
      <c r="AN40" s="113">
        <v>11</v>
      </c>
      <c r="AO40" s="6" t="e">
        <f>+AN40/#REF!</f>
        <v>#REF!</v>
      </c>
      <c r="AP40" s="99">
        <v>3</v>
      </c>
      <c r="AQ40" s="7" t="e">
        <f>+AP40/#REF!</f>
        <v>#REF!</v>
      </c>
      <c r="AR40" s="99">
        <v>13224</v>
      </c>
      <c r="AS40" s="99">
        <f>AN40*5</f>
        <v>55</v>
      </c>
      <c r="AT40" s="97" t="e">
        <f>+AS40/#REF!</f>
        <v>#REF!</v>
      </c>
      <c r="AU40" s="113">
        <v>14</v>
      </c>
      <c r="AV40" s="6" t="e">
        <f>+AU40/#REF!</f>
        <v>#REF!</v>
      </c>
      <c r="AW40" s="99">
        <v>12</v>
      </c>
      <c r="AX40" s="7" t="e">
        <f>+AW40/#REF!</f>
        <v>#REF!</v>
      </c>
      <c r="AY40" s="99">
        <v>3994</v>
      </c>
      <c r="AZ40" s="112">
        <f>AU40*2</f>
        <v>28</v>
      </c>
      <c r="BA40" s="97" t="e">
        <f>+AZ40/#REF!</f>
        <v>#REF!</v>
      </c>
      <c r="BB40" s="113">
        <v>25</v>
      </c>
      <c r="BC40" s="6" t="e">
        <f>+BB40/#REF!</f>
        <v>#REF!</v>
      </c>
      <c r="BD40" s="99">
        <v>6</v>
      </c>
      <c r="BE40" s="7" t="e">
        <f>+BD40/#REF!</f>
        <v>#REF!</v>
      </c>
      <c r="BF40" s="99">
        <v>3994</v>
      </c>
      <c r="BG40" s="99">
        <f>BF40*2</f>
        <v>7988</v>
      </c>
      <c r="BH40" s="8" t="e">
        <f>+BG40/#REF!</f>
        <v>#REF!</v>
      </c>
      <c r="BI40" s="113">
        <v>19</v>
      </c>
      <c r="BJ40" s="6" t="e">
        <f>+BI40/#REF!</f>
        <v>#REF!</v>
      </c>
      <c r="BK40" s="99">
        <v>19</v>
      </c>
      <c r="BL40" s="7" t="e">
        <f>+BK40/#REF!</f>
        <v>#REF!</v>
      </c>
      <c r="BM40" s="99">
        <v>15840</v>
      </c>
      <c r="BN40" s="99">
        <f>BI40*6</f>
        <v>114</v>
      </c>
      <c r="BO40" s="8" t="e">
        <f>+BN40/#REF!</f>
        <v>#REF!</v>
      </c>
      <c r="BP40" s="113"/>
      <c r="BQ40" s="6" t="e">
        <f>+BP40/#REF!</f>
        <v>#REF!</v>
      </c>
      <c r="BR40" s="99"/>
      <c r="BS40" s="7" t="e">
        <f>+BR40/#REF!</f>
        <v>#REF!</v>
      </c>
      <c r="BT40" s="99"/>
      <c r="BU40" s="99"/>
      <c r="BV40" s="8" t="e">
        <f>+BU40/#REF!</f>
        <v>#REF!</v>
      </c>
      <c r="BW40" s="113">
        <v>3</v>
      </c>
      <c r="BX40" s="6" t="e">
        <f>+BW40/#REF!</f>
        <v>#REF!</v>
      </c>
      <c r="BY40" s="99">
        <v>3</v>
      </c>
      <c r="BZ40" s="7" t="e">
        <f>+BY40/#REF!</f>
        <v>#REF!</v>
      </c>
      <c r="CA40" s="99">
        <v>9848</v>
      </c>
      <c r="CB40" s="99">
        <f>BW40*3</f>
        <v>9</v>
      </c>
      <c r="CC40" s="8" t="e">
        <f>+CB40/#REF!</f>
        <v>#REF!</v>
      </c>
      <c r="CD40" s="113"/>
      <c r="CE40" s="6" t="e">
        <f>+CD40/#REF!</f>
        <v>#REF!</v>
      </c>
      <c r="CF40" s="99"/>
      <c r="CG40" s="7" t="e">
        <f>+CF40/#REF!</f>
        <v>#REF!</v>
      </c>
      <c r="CH40" s="99"/>
      <c r="CI40" s="99"/>
      <c r="CJ40" s="8" t="e">
        <f>+CI40/#REF!</f>
        <v>#REF!</v>
      </c>
      <c r="CK40" s="113">
        <v>2</v>
      </c>
      <c r="CL40" s="6" t="e">
        <f>+CK40/#REF!</f>
        <v>#REF!</v>
      </c>
      <c r="CM40" s="99">
        <v>2</v>
      </c>
      <c r="CN40" s="100" t="e">
        <f>+CM40/#REF!</f>
        <v>#REF!</v>
      </c>
      <c r="CO40" s="113">
        <v>12114</v>
      </c>
      <c r="CP40" s="115">
        <f>CK40*5</f>
        <v>10</v>
      </c>
      <c r="CQ40" s="8" t="e">
        <f>+CP40/#REF!</f>
        <v>#REF!</v>
      </c>
      <c r="CR40" s="113">
        <v>20</v>
      </c>
      <c r="CS40" s="6" t="e">
        <f>+CR40/#REF!</f>
        <v>#REF!</v>
      </c>
      <c r="CT40" s="99">
        <v>5</v>
      </c>
      <c r="CU40" s="7" t="e">
        <f>+CT40/#REF!</f>
        <v>#REF!</v>
      </c>
      <c r="CV40" s="99">
        <v>11438</v>
      </c>
      <c r="CW40" s="92">
        <f>CR40*4</f>
        <v>80</v>
      </c>
      <c r="CX40" s="8" t="e">
        <f>+CW40/#REF!</f>
        <v>#REF!</v>
      </c>
      <c r="CY40" s="113">
        <v>6</v>
      </c>
      <c r="CZ40" s="6" t="e">
        <f>+CY40/#REF!</f>
        <v>#REF!</v>
      </c>
      <c r="DA40" s="99">
        <v>1</v>
      </c>
      <c r="DB40" s="7" t="e">
        <f>+DA40/#REF!</f>
        <v>#REF!</v>
      </c>
      <c r="DC40" s="111">
        <v>8037</v>
      </c>
      <c r="DD40" s="99">
        <f>CY40*3</f>
        <v>18</v>
      </c>
      <c r="DE40" s="8" t="e">
        <f>+DD40/#REF!</f>
        <v>#REF!</v>
      </c>
      <c r="DF40" s="113">
        <v>10</v>
      </c>
      <c r="DG40" s="6" t="e">
        <f>+DF40/#REF!</f>
        <v>#REF!</v>
      </c>
      <c r="DH40" s="99">
        <v>3</v>
      </c>
      <c r="DI40" s="7" t="e">
        <f>+DH40/#REF!</f>
        <v>#REF!</v>
      </c>
      <c r="DJ40" s="99">
        <v>5432</v>
      </c>
      <c r="DK40" s="92">
        <f>DF40*2</f>
        <v>20</v>
      </c>
      <c r="DL40" s="8" t="e">
        <f>+DK40/#REF!</f>
        <v>#REF!</v>
      </c>
      <c r="DM40" s="113"/>
      <c r="DN40" s="6" t="e">
        <f>+DM40/#REF!</f>
        <v>#REF!</v>
      </c>
      <c r="DO40" s="99"/>
      <c r="DP40" s="100" t="e">
        <f>+DO40/#REF!</f>
        <v>#REF!</v>
      </c>
      <c r="DQ40" s="113"/>
      <c r="DR40" s="115"/>
      <c r="DS40" s="8" t="e">
        <f>+DR40/#REF!</f>
        <v>#REF!</v>
      </c>
      <c r="DT40" s="113"/>
      <c r="DU40" s="6" t="e">
        <f>+DT40/#REF!</f>
        <v>#REF!</v>
      </c>
      <c r="DV40" s="99"/>
      <c r="DW40" s="7" t="e">
        <f>+DV40/#REF!</f>
        <v>#REF!</v>
      </c>
      <c r="DX40" s="99"/>
      <c r="DY40" s="92"/>
      <c r="DZ40" s="8" t="e">
        <f>+DY40/#REF!</f>
        <v>#REF!</v>
      </c>
      <c r="EA40" s="113"/>
      <c r="EB40" s="6" t="e">
        <f>+EA40/#REF!</f>
        <v>#REF!</v>
      </c>
      <c r="EC40" s="99"/>
      <c r="ED40" s="100" t="e">
        <f>+EC40/#REF!</f>
        <v>#REF!</v>
      </c>
      <c r="EE40" s="113"/>
      <c r="EF40" s="115"/>
      <c r="EG40" s="8" t="e">
        <f>+EF40/#REF!</f>
        <v>#REF!</v>
      </c>
      <c r="EH40" s="113"/>
      <c r="EI40" s="6" t="e">
        <f>+EH40/#REF!</f>
        <v>#REF!</v>
      </c>
      <c r="EJ40" s="99"/>
      <c r="EK40" s="7" t="e">
        <f>+EJ40/#REF!</f>
        <v>#REF!</v>
      </c>
      <c r="EL40" s="99"/>
      <c r="EM40" s="92"/>
      <c r="EN40" s="8" t="e">
        <f>+EM40/#REF!</f>
        <v>#REF!</v>
      </c>
    </row>
    <row r="41" spans="1:144" s="1" customFormat="1" ht="16.95" customHeight="1">
      <c r="B41" s="104" t="s">
        <v>105</v>
      </c>
      <c r="C41" s="18"/>
      <c r="D41" s="19"/>
      <c r="E41" s="19"/>
      <c r="F41" s="19"/>
      <c r="G41" s="19"/>
      <c r="H41" s="20"/>
      <c r="I41" s="19"/>
      <c r="J41" s="25" t="s">
        <v>65</v>
      </c>
      <c r="K41" s="105">
        <v>20</v>
      </c>
      <c r="L41" s="106">
        <v>80</v>
      </c>
      <c r="M41" s="107">
        <v>20</v>
      </c>
      <c r="N41" s="108">
        <v>10</v>
      </c>
      <c r="O41" s="108"/>
      <c r="P41" s="108">
        <v>10</v>
      </c>
      <c r="Q41" s="108">
        <v>10</v>
      </c>
      <c r="R41" s="108">
        <v>20</v>
      </c>
      <c r="S41" s="108">
        <v>20</v>
      </c>
      <c r="T41" s="109"/>
      <c r="U41" s="109"/>
      <c r="V41" s="89">
        <f t="shared" si="1"/>
        <v>1.5</v>
      </c>
      <c r="W41" s="110">
        <v>4</v>
      </c>
      <c r="X41" s="105" t="s">
        <v>65</v>
      </c>
      <c r="Y41" s="108"/>
      <c r="Z41" s="108"/>
      <c r="AA41" s="108"/>
      <c r="AB41" s="108"/>
      <c r="AC41" s="108"/>
      <c r="AD41" s="108"/>
      <c r="AE41" s="108"/>
      <c r="AF41" s="109" t="s">
        <v>65</v>
      </c>
      <c r="AG41" s="111"/>
      <c r="AH41" s="6" t="e">
        <f>+AG41/#REF!</f>
        <v>#REF!</v>
      </c>
      <c r="AI41" s="99"/>
      <c r="AJ41" s="7" t="e">
        <f>+AI41/#REF!</f>
        <v>#REF!</v>
      </c>
      <c r="AK41" s="99"/>
      <c r="AL41" s="112"/>
      <c r="AM41" s="97" t="e">
        <f>+AL41/#REF!</f>
        <v>#REF!</v>
      </c>
      <c r="AN41" s="113"/>
      <c r="AO41" s="6" t="e">
        <f>+AN41/#REF!</f>
        <v>#REF!</v>
      </c>
      <c r="AP41" s="99"/>
      <c r="AQ41" s="7" t="e">
        <f>+AP41/#REF!</f>
        <v>#REF!</v>
      </c>
      <c r="AR41" s="99"/>
      <c r="AS41" s="99"/>
      <c r="AT41" s="97" t="e">
        <f>+AS41/#REF!</f>
        <v>#REF!</v>
      </c>
      <c r="AU41" s="113">
        <v>3</v>
      </c>
      <c r="AV41" s="6" t="e">
        <f>+AU41/#REF!</f>
        <v>#REF!</v>
      </c>
      <c r="AW41" s="99">
        <v>3</v>
      </c>
      <c r="AX41" s="7" t="e">
        <f>+AW41/#REF!</f>
        <v>#REF!</v>
      </c>
      <c r="AY41" s="99">
        <v>10783</v>
      </c>
      <c r="AZ41" s="112">
        <v>9</v>
      </c>
      <c r="BA41" s="97" t="e">
        <f>+AZ41/#REF!</f>
        <v>#REF!</v>
      </c>
      <c r="BB41" s="113"/>
      <c r="BC41" s="6" t="e">
        <f>+BB41/#REF!</f>
        <v>#REF!</v>
      </c>
      <c r="BD41" s="99"/>
      <c r="BE41" s="7" t="e">
        <f>+BD41/#REF!</f>
        <v>#REF!</v>
      </c>
      <c r="BF41" s="99"/>
      <c r="BG41" s="99"/>
      <c r="BH41" s="8" t="e">
        <f>+BG41/#REF!</f>
        <v>#REF!</v>
      </c>
      <c r="BI41" s="113"/>
      <c r="BJ41" s="6" t="e">
        <f>+BI41/#REF!</f>
        <v>#REF!</v>
      </c>
      <c r="BK41" s="99"/>
      <c r="BL41" s="7" t="e">
        <f>+BK41/#REF!</f>
        <v>#REF!</v>
      </c>
      <c r="BM41" s="99"/>
      <c r="BN41" s="99"/>
      <c r="BO41" s="8" t="e">
        <f>+BN41/#REF!</f>
        <v>#REF!</v>
      </c>
      <c r="BP41" s="113"/>
      <c r="BQ41" s="6" t="e">
        <f>+BP41/#REF!</f>
        <v>#REF!</v>
      </c>
      <c r="BR41" s="99"/>
      <c r="BS41" s="7" t="e">
        <f>+BR41/#REF!</f>
        <v>#REF!</v>
      </c>
      <c r="BT41" s="99"/>
      <c r="BU41" s="99"/>
      <c r="BV41" s="8" t="e">
        <f>+BU41/#REF!</f>
        <v>#REF!</v>
      </c>
      <c r="BW41" s="113"/>
      <c r="BX41" s="6" t="e">
        <f>+BW41/#REF!</f>
        <v>#REF!</v>
      </c>
      <c r="BY41" s="99"/>
      <c r="BZ41" s="7" t="e">
        <f>+BY41/#REF!</f>
        <v>#REF!</v>
      </c>
      <c r="CA41" s="99"/>
      <c r="CB41" s="99"/>
      <c r="CC41" s="8" t="e">
        <f>+CB41/#REF!</f>
        <v>#REF!</v>
      </c>
      <c r="CD41" s="113"/>
      <c r="CE41" s="6" t="e">
        <f>+CD41/#REF!</f>
        <v>#REF!</v>
      </c>
      <c r="CF41" s="99"/>
      <c r="CG41" s="7" t="e">
        <f>+CF41/#REF!</f>
        <v>#REF!</v>
      </c>
      <c r="CH41" s="99"/>
      <c r="CI41" s="99"/>
      <c r="CJ41" s="8" t="e">
        <f>+CI41/#REF!</f>
        <v>#REF!</v>
      </c>
      <c r="CK41" s="113"/>
      <c r="CL41" s="6" t="e">
        <f>+CK41/#REF!</f>
        <v>#REF!</v>
      </c>
      <c r="CM41" s="99"/>
      <c r="CN41" s="100" t="e">
        <f>+CM41/#REF!</f>
        <v>#REF!</v>
      </c>
      <c r="CO41" s="113"/>
      <c r="CP41" s="115"/>
      <c r="CQ41" s="8" t="e">
        <f>+CP41/#REF!</f>
        <v>#REF!</v>
      </c>
      <c r="CR41" s="113"/>
      <c r="CS41" s="6" t="e">
        <f>+CR41/#REF!</f>
        <v>#REF!</v>
      </c>
      <c r="CT41" s="99"/>
      <c r="CU41" s="7" t="e">
        <f>+CT41/#REF!</f>
        <v>#REF!</v>
      </c>
      <c r="CV41" s="99"/>
      <c r="CW41" s="92"/>
      <c r="CX41" s="8" t="e">
        <f>+CW41/#REF!</f>
        <v>#REF!</v>
      </c>
      <c r="CY41" s="113"/>
      <c r="CZ41" s="6" t="e">
        <f>+CY41/#REF!</f>
        <v>#REF!</v>
      </c>
      <c r="DA41" s="99"/>
      <c r="DB41" s="7" t="e">
        <f>+DA41/#REF!</f>
        <v>#REF!</v>
      </c>
      <c r="DC41" s="111"/>
      <c r="DD41" s="99"/>
      <c r="DE41" s="8" t="e">
        <f>+DD41/#REF!</f>
        <v>#REF!</v>
      </c>
      <c r="DF41" s="113"/>
      <c r="DG41" s="6" t="e">
        <f>+DF41/#REF!</f>
        <v>#REF!</v>
      </c>
      <c r="DH41" s="99"/>
      <c r="DI41" s="7" t="e">
        <f>+DH41/#REF!</f>
        <v>#REF!</v>
      </c>
      <c r="DJ41" s="99"/>
      <c r="DK41" s="92"/>
      <c r="DL41" s="8" t="e">
        <f>+DK41/#REF!</f>
        <v>#REF!</v>
      </c>
      <c r="DM41" s="113"/>
      <c r="DN41" s="6" t="e">
        <f>+DM41/#REF!</f>
        <v>#REF!</v>
      </c>
      <c r="DO41" s="99"/>
      <c r="DP41" s="100" t="e">
        <f>+DO41/#REF!</f>
        <v>#REF!</v>
      </c>
      <c r="DQ41" s="113"/>
      <c r="DR41" s="115"/>
      <c r="DS41" s="8" t="e">
        <f>+DR41/#REF!</f>
        <v>#REF!</v>
      </c>
      <c r="DT41" s="113"/>
      <c r="DU41" s="6" t="e">
        <f>+DT41/#REF!</f>
        <v>#REF!</v>
      </c>
      <c r="DV41" s="99"/>
      <c r="DW41" s="7" t="e">
        <f>+DV41/#REF!</f>
        <v>#REF!</v>
      </c>
      <c r="DX41" s="99"/>
      <c r="DY41" s="92"/>
      <c r="DZ41" s="8" t="e">
        <f>+DY41/#REF!</f>
        <v>#REF!</v>
      </c>
      <c r="EA41" s="113"/>
      <c r="EB41" s="6" t="e">
        <f>+EA41/#REF!</f>
        <v>#REF!</v>
      </c>
      <c r="EC41" s="99"/>
      <c r="ED41" s="100" t="e">
        <f>+EC41/#REF!</f>
        <v>#REF!</v>
      </c>
      <c r="EE41" s="113"/>
      <c r="EF41" s="115"/>
      <c r="EG41" s="8" t="e">
        <f>+EF41/#REF!</f>
        <v>#REF!</v>
      </c>
      <c r="EH41" s="113"/>
      <c r="EI41" s="6" t="e">
        <f>+EH41/#REF!</f>
        <v>#REF!</v>
      </c>
      <c r="EJ41" s="99"/>
      <c r="EK41" s="7" t="e">
        <f>+EJ41/#REF!</f>
        <v>#REF!</v>
      </c>
      <c r="EL41" s="99"/>
      <c r="EM41" s="92"/>
      <c r="EN41" s="8" t="e">
        <f>+EM41/#REF!</f>
        <v>#REF!</v>
      </c>
    </row>
    <row r="42" spans="1:144" s="1" customFormat="1" ht="16.95" customHeight="1">
      <c r="B42" s="122" t="s">
        <v>106</v>
      </c>
      <c r="C42" s="31"/>
      <c r="D42" s="32"/>
      <c r="E42" s="32"/>
      <c r="F42" s="19"/>
      <c r="G42" s="32"/>
      <c r="H42" s="35"/>
      <c r="I42" s="19"/>
      <c r="J42" s="25" t="s">
        <v>65</v>
      </c>
      <c r="K42" s="105">
        <v>30</v>
      </c>
      <c r="L42" s="106">
        <v>70</v>
      </c>
      <c r="M42" s="107">
        <v>40</v>
      </c>
      <c r="N42" s="108">
        <v>40</v>
      </c>
      <c r="O42" s="108"/>
      <c r="P42" s="108">
        <v>15</v>
      </c>
      <c r="Q42" s="108">
        <v>15</v>
      </c>
      <c r="R42" s="108">
        <v>30</v>
      </c>
      <c r="S42" s="108">
        <v>30</v>
      </c>
      <c r="T42" s="109">
        <v>20</v>
      </c>
      <c r="U42" s="109">
        <v>15</v>
      </c>
      <c r="V42" s="89">
        <f>SUM(M42:U42)/60</f>
        <v>3.4166666666666665</v>
      </c>
      <c r="W42" s="110" t="s">
        <v>82</v>
      </c>
      <c r="X42" s="63" t="s">
        <v>65</v>
      </c>
      <c r="Y42" s="108" t="s">
        <v>65</v>
      </c>
      <c r="Z42" s="108"/>
      <c r="AA42" s="108" t="s">
        <v>65</v>
      </c>
      <c r="AB42" s="123"/>
      <c r="AC42" s="108"/>
      <c r="AD42" s="64" t="s">
        <v>65</v>
      </c>
      <c r="AE42" s="108" t="s">
        <v>65</v>
      </c>
      <c r="AF42" s="109" t="s">
        <v>65</v>
      </c>
      <c r="AG42" s="116"/>
      <c r="AH42" s="6" t="e">
        <f>+AG42/#REF!</f>
        <v>#REF!</v>
      </c>
      <c r="AI42" s="124"/>
      <c r="AJ42" s="7" t="e">
        <f>+AI42/#REF!</f>
        <v>#REF!</v>
      </c>
      <c r="AK42" s="124"/>
      <c r="AL42" s="125"/>
      <c r="AM42" s="97" t="e">
        <f>+AL42/#REF!</f>
        <v>#REF!</v>
      </c>
      <c r="AN42" s="113"/>
      <c r="AO42" s="6" t="e">
        <f>+AN42/#REF!</f>
        <v>#REF!</v>
      </c>
      <c r="AP42" s="124"/>
      <c r="AQ42" s="7" t="e">
        <f>+AP42/#REF!</f>
        <v>#REF!</v>
      </c>
      <c r="AR42" s="124"/>
      <c r="AS42" s="124"/>
      <c r="AT42" s="97" t="e">
        <f>+AS42/#REF!</f>
        <v>#REF!</v>
      </c>
      <c r="AU42" s="114"/>
      <c r="AV42" s="6" t="e">
        <f>+AU42/#REF!</f>
        <v>#REF!</v>
      </c>
      <c r="AW42" s="124"/>
      <c r="AX42" s="7" t="e">
        <f>+AW42/#REF!</f>
        <v>#REF!</v>
      </c>
      <c r="AY42" s="124"/>
      <c r="AZ42" s="125"/>
      <c r="BA42" s="97" t="e">
        <f>+AZ42/#REF!</f>
        <v>#REF!</v>
      </c>
      <c r="BB42" s="114"/>
      <c r="BC42" s="6" t="e">
        <f>+BB42/#REF!</f>
        <v>#REF!</v>
      </c>
      <c r="BD42" s="124"/>
      <c r="BE42" s="7" t="e">
        <f>+BD42/#REF!</f>
        <v>#REF!</v>
      </c>
      <c r="BF42" s="124"/>
      <c r="BG42" s="124"/>
      <c r="BH42" s="8" t="e">
        <f>+BG42/#REF!</f>
        <v>#REF!</v>
      </c>
      <c r="BI42" s="114"/>
      <c r="BJ42" s="6" t="e">
        <f>+BI42/#REF!</f>
        <v>#REF!</v>
      </c>
      <c r="BK42" s="124"/>
      <c r="BL42" s="7" t="e">
        <f>+BK42/#REF!</f>
        <v>#REF!</v>
      </c>
      <c r="BM42" s="124"/>
      <c r="BN42" s="99"/>
      <c r="BO42" s="8" t="e">
        <f>+BN42/#REF!</f>
        <v>#REF!</v>
      </c>
      <c r="BP42" s="114"/>
      <c r="BQ42" s="6" t="e">
        <f>+BP42/#REF!</f>
        <v>#REF!</v>
      </c>
      <c r="BR42" s="124"/>
      <c r="BS42" s="7" t="e">
        <f>+BR42/#REF!</f>
        <v>#REF!</v>
      </c>
      <c r="BT42" s="124"/>
      <c r="BU42" s="124"/>
      <c r="BV42" s="8" t="e">
        <f>+BU42/#REF!</f>
        <v>#REF!</v>
      </c>
      <c r="BW42" s="114"/>
      <c r="BX42" s="6" t="e">
        <f>+BW42/#REF!</f>
        <v>#REF!</v>
      </c>
      <c r="BY42" s="124"/>
      <c r="BZ42" s="7" t="e">
        <f>+BY42/#REF!</f>
        <v>#REF!</v>
      </c>
      <c r="CA42" s="124"/>
      <c r="CB42" s="99"/>
      <c r="CC42" s="8" t="e">
        <f>+CB42/#REF!</f>
        <v>#REF!</v>
      </c>
      <c r="CD42" s="114"/>
      <c r="CE42" s="6" t="e">
        <f>+CD42/#REF!</f>
        <v>#REF!</v>
      </c>
      <c r="CF42" s="124"/>
      <c r="CG42" s="7" t="e">
        <f>+CF42/#REF!</f>
        <v>#REF!</v>
      </c>
      <c r="CH42" s="124"/>
      <c r="CI42" s="99"/>
      <c r="CJ42" s="8" t="e">
        <f>+CI42/#REF!</f>
        <v>#REF!</v>
      </c>
      <c r="CK42" s="114"/>
      <c r="CL42" s="6" t="e">
        <f>+CK42/#REF!</f>
        <v>#REF!</v>
      </c>
      <c r="CM42" s="124"/>
      <c r="CN42" s="100" t="e">
        <f>+CM42/#REF!</f>
        <v>#REF!</v>
      </c>
      <c r="CO42" s="114"/>
      <c r="CP42" s="115"/>
      <c r="CQ42" s="8" t="e">
        <f>+CP42/#REF!</f>
        <v>#REF!</v>
      </c>
      <c r="CR42" s="114"/>
      <c r="CS42" s="6" t="e">
        <f>+CR42/#REF!</f>
        <v>#REF!</v>
      </c>
      <c r="CT42" s="124"/>
      <c r="CU42" s="7" t="e">
        <f>+CT42/#REF!</f>
        <v>#REF!</v>
      </c>
      <c r="CV42" s="124"/>
      <c r="CW42" s="92"/>
      <c r="CX42" s="8" t="e">
        <f>+CW42/#REF!</f>
        <v>#REF!</v>
      </c>
      <c r="CY42" s="114"/>
      <c r="CZ42" s="6" t="e">
        <f>+CY42/#REF!</f>
        <v>#REF!</v>
      </c>
      <c r="DA42" s="124"/>
      <c r="DB42" s="7" t="e">
        <f>+DA42/#REF!</f>
        <v>#REF!</v>
      </c>
      <c r="DC42" s="116"/>
      <c r="DD42" s="99"/>
      <c r="DE42" s="8" t="e">
        <f>+DD42/#REF!</f>
        <v>#REF!</v>
      </c>
      <c r="DF42" s="114"/>
      <c r="DG42" s="6" t="e">
        <f>+DF42/#REF!</f>
        <v>#REF!</v>
      </c>
      <c r="DH42" s="124"/>
      <c r="DI42" s="7" t="e">
        <f>+DH42/#REF!</f>
        <v>#REF!</v>
      </c>
      <c r="DJ42" s="124"/>
      <c r="DK42" s="92"/>
      <c r="DL42" s="8" t="e">
        <f>+DK42/#REF!</f>
        <v>#REF!</v>
      </c>
      <c r="DM42" s="114"/>
      <c r="DN42" s="6" t="e">
        <f>+DM42/#REF!</f>
        <v>#REF!</v>
      </c>
      <c r="DO42" s="124"/>
      <c r="DP42" s="100" t="e">
        <f>+DO42/#REF!</f>
        <v>#REF!</v>
      </c>
      <c r="DQ42" s="114"/>
      <c r="DR42" s="115"/>
      <c r="DS42" s="8" t="e">
        <f>+DR42/#REF!</f>
        <v>#REF!</v>
      </c>
      <c r="DT42" s="114"/>
      <c r="DU42" s="6" t="e">
        <f>+DT42/#REF!</f>
        <v>#REF!</v>
      </c>
      <c r="DV42" s="124"/>
      <c r="DW42" s="7" t="e">
        <f>+DV42/#REF!</f>
        <v>#REF!</v>
      </c>
      <c r="DX42" s="124"/>
      <c r="DY42" s="92"/>
      <c r="DZ42" s="8" t="e">
        <f>+DY42/#REF!</f>
        <v>#REF!</v>
      </c>
      <c r="EA42" s="114"/>
      <c r="EB42" s="6" t="e">
        <f>+EA42/#REF!</f>
        <v>#REF!</v>
      </c>
      <c r="EC42" s="124"/>
      <c r="ED42" s="100" t="e">
        <f>+EC42/#REF!</f>
        <v>#REF!</v>
      </c>
      <c r="EE42" s="114"/>
      <c r="EF42" s="115"/>
      <c r="EG42" s="8" t="e">
        <f>+EF42/#REF!</f>
        <v>#REF!</v>
      </c>
      <c r="EH42" s="114"/>
      <c r="EI42" s="6" t="e">
        <f>+EH42/#REF!</f>
        <v>#REF!</v>
      </c>
      <c r="EJ42" s="124"/>
      <c r="EK42" s="7" t="e">
        <f>+EJ42/#REF!</f>
        <v>#REF!</v>
      </c>
      <c r="EL42" s="124"/>
      <c r="EM42" s="92"/>
      <c r="EN42" s="8" t="e">
        <f>+EM42/#REF!</f>
        <v>#REF!</v>
      </c>
    </row>
    <row r="43" spans="1:144" s="1" customFormat="1" ht="16.95" customHeight="1">
      <c r="A43" s="1">
        <v>35</v>
      </c>
      <c r="B43" s="122" t="s">
        <v>107</v>
      </c>
      <c r="C43" s="18" t="s">
        <v>65</v>
      </c>
      <c r="D43" s="32"/>
      <c r="E43" s="19"/>
      <c r="F43" s="19"/>
      <c r="G43" s="32"/>
      <c r="H43" s="35"/>
      <c r="I43" s="19"/>
      <c r="J43" s="25" t="s">
        <v>65</v>
      </c>
      <c r="K43" s="84">
        <v>30</v>
      </c>
      <c r="L43" s="85">
        <v>70</v>
      </c>
      <c r="M43" s="86">
        <v>40</v>
      </c>
      <c r="N43" s="87">
        <v>40</v>
      </c>
      <c r="O43" s="87">
        <v>30</v>
      </c>
      <c r="P43" s="87">
        <v>20</v>
      </c>
      <c r="Q43" s="87">
        <v>20</v>
      </c>
      <c r="R43" s="87">
        <v>30</v>
      </c>
      <c r="S43" s="87">
        <v>50</v>
      </c>
      <c r="T43" s="108"/>
      <c r="U43" s="109"/>
      <c r="V43" s="89">
        <f t="shared" si="1"/>
        <v>3.8333333333333335</v>
      </c>
      <c r="W43" s="90">
        <v>9</v>
      </c>
      <c r="X43" s="105" t="s">
        <v>65</v>
      </c>
      <c r="Y43" s="108" t="s">
        <v>65</v>
      </c>
      <c r="Z43" s="108"/>
      <c r="AA43" s="108" t="s">
        <v>65</v>
      </c>
      <c r="AB43" s="123"/>
      <c r="AC43" s="108"/>
      <c r="AD43" s="64" t="s">
        <v>65</v>
      </c>
      <c r="AE43" s="108" t="s">
        <v>65</v>
      </c>
      <c r="AF43" s="109" t="s">
        <v>65</v>
      </c>
      <c r="AG43" s="116"/>
      <c r="AH43" s="6" t="e">
        <f>+AG43/#REF!</f>
        <v>#REF!</v>
      </c>
      <c r="AI43" s="124"/>
      <c r="AJ43" s="7" t="e">
        <f>+AI43/#REF!</f>
        <v>#REF!</v>
      </c>
      <c r="AK43" s="124"/>
      <c r="AL43" s="125"/>
      <c r="AM43" s="97" t="e">
        <f>+AL43/#REF!</f>
        <v>#REF!</v>
      </c>
      <c r="AN43" s="114"/>
      <c r="AO43" s="6" t="e">
        <f>+AN43/#REF!</f>
        <v>#REF!</v>
      </c>
      <c r="AP43" s="124"/>
      <c r="AQ43" s="7" t="e">
        <f>+AP43/#REF!</f>
        <v>#REF!</v>
      </c>
      <c r="AR43" s="124"/>
      <c r="AS43" s="124"/>
      <c r="AT43" s="97" t="e">
        <f>+AS43/#REF!</f>
        <v>#REF!</v>
      </c>
      <c r="AU43" s="113"/>
      <c r="AV43" s="6" t="e">
        <f>+AU43/#REF!</f>
        <v>#REF!</v>
      </c>
      <c r="AW43" s="124"/>
      <c r="AX43" s="7" t="e">
        <f>+AW43/#REF!</f>
        <v>#REF!</v>
      </c>
      <c r="AY43" s="124"/>
      <c r="AZ43" s="125"/>
      <c r="BA43" s="97" t="e">
        <f>+AZ43/#REF!</f>
        <v>#REF!</v>
      </c>
      <c r="BB43" s="114"/>
      <c r="BC43" s="6" t="e">
        <f>+BB43/#REF!</f>
        <v>#REF!</v>
      </c>
      <c r="BD43" s="124"/>
      <c r="BE43" s="7" t="e">
        <f>+BD43/#REF!</f>
        <v>#REF!</v>
      </c>
      <c r="BF43" s="124"/>
      <c r="BG43" s="124"/>
      <c r="BH43" s="8" t="e">
        <f>+BG43/#REF!</f>
        <v>#REF!</v>
      </c>
      <c r="BI43" s="114">
        <v>38</v>
      </c>
      <c r="BJ43" s="6" t="e">
        <f>+BI43/#REF!</f>
        <v>#REF!</v>
      </c>
      <c r="BK43" s="124">
        <v>38</v>
      </c>
      <c r="BL43" s="7" t="e">
        <f>+BK43/#REF!</f>
        <v>#REF!</v>
      </c>
      <c r="BM43" s="124">
        <v>7919</v>
      </c>
      <c r="BN43" s="99">
        <f>BI43*2</f>
        <v>76</v>
      </c>
      <c r="BO43" s="8" t="e">
        <f>+BN43/#REF!</f>
        <v>#REF!</v>
      </c>
      <c r="BP43" s="114">
        <v>262</v>
      </c>
      <c r="BQ43" s="6" t="e">
        <f>+BP43/#REF!</f>
        <v>#REF!</v>
      </c>
      <c r="BR43" s="124">
        <v>37</v>
      </c>
      <c r="BS43" s="7" t="e">
        <f>+BR43/#REF!</f>
        <v>#REF!</v>
      </c>
      <c r="BT43" s="124">
        <v>10175</v>
      </c>
      <c r="BU43" s="124">
        <f>BP43*4</f>
        <v>1048</v>
      </c>
      <c r="BV43" s="8" t="e">
        <f>+BU43/#REF!</f>
        <v>#REF!</v>
      </c>
      <c r="BW43" s="114">
        <v>35</v>
      </c>
      <c r="BX43" s="6" t="e">
        <f>+BW43/#REF!</f>
        <v>#REF!</v>
      </c>
      <c r="BY43" s="124">
        <v>30</v>
      </c>
      <c r="BZ43" s="7" t="e">
        <f>+BY43/#REF!</f>
        <v>#REF!</v>
      </c>
      <c r="CA43" s="124">
        <v>7683</v>
      </c>
      <c r="CB43" s="99">
        <f>BW43*2</f>
        <v>70</v>
      </c>
      <c r="CC43" s="8" t="e">
        <f>+CB43/#REF!</f>
        <v>#REF!</v>
      </c>
      <c r="CD43" s="114">
        <v>248</v>
      </c>
      <c r="CE43" s="6" t="e">
        <f>+CD43/#REF!</f>
        <v>#REF!</v>
      </c>
      <c r="CF43" s="124">
        <v>17</v>
      </c>
      <c r="CG43" s="7" t="e">
        <f>+CF43/#REF!</f>
        <v>#REF!</v>
      </c>
      <c r="CH43" s="124">
        <v>8080</v>
      </c>
      <c r="CI43" s="99">
        <f>CD43*3</f>
        <v>744</v>
      </c>
      <c r="CJ43" s="8" t="e">
        <f>+CI43/#REF!</f>
        <v>#REF!</v>
      </c>
      <c r="CK43" s="114">
        <v>18</v>
      </c>
      <c r="CL43" s="6" t="e">
        <f>+CK43/#REF!</f>
        <v>#REF!</v>
      </c>
      <c r="CM43" s="124">
        <v>11</v>
      </c>
      <c r="CN43" s="100" t="e">
        <f>+CM43/#REF!</f>
        <v>#REF!</v>
      </c>
      <c r="CO43" s="114">
        <v>12116</v>
      </c>
      <c r="CP43" s="115">
        <f>CK43*5</f>
        <v>90</v>
      </c>
      <c r="CQ43" s="8" t="e">
        <f>+CP43/#REF!</f>
        <v>#REF!</v>
      </c>
      <c r="CR43" s="114">
        <v>250</v>
      </c>
      <c r="CS43" s="6" t="e">
        <f>+CR43/#REF!</f>
        <v>#REF!</v>
      </c>
      <c r="CT43" s="124">
        <v>41</v>
      </c>
      <c r="CU43" s="7" t="e">
        <f>+CT43/#REF!</f>
        <v>#REF!</v>
      </c>
      <c r="CV43" s="124">
        <v>11971</v>
      </c>
      <c r="CW43" s="92">
        <f>CR43*4</f>
        <v>1000</v>
      </c>
      <c r="CX43" s="8" t="e">
        <f>+CW43/#REF!</f>
        <v>#REF!</v>
      </c>
      <c r="CY43" s="114">
        <v>12</v>
      </c>
      <c r="CZ43" s="6" t="e">
        <f>+CY43/#REF!</f>
        <v>#REF!</v>
      </c>
      <c r="DA43" s="124">
        <v>10</v>
      </c>
      <c r="DB43" s="7" t="e">
        <f>+DA43/#REF!</f>
        <v>#REF!</v>
      </c>
      <c r="DC43" s="116">
        <v>7755</v>
      </c>
      <c r="DD43" s="99">
        <f>CY43*2</f>
        <v>24</v>
      </c>
      <c r="DE43" s="8" t="e">
        <f>+DD43/#REF!</f>
        <v>#REF!</v>
      </c>
      <c r="DF43" s="114">
        <v>150</v>
      </c>
      <c r="DG43" s="6" t="e">
        <f>+DF43/#REF!</f>
        <v>#REF!</v>
      </c>
      <c r="DH43" s="124">
        <v>25</v>
      </c>
      <c r="DI43" s="7" t="e">
        <f>+DH43/#REF!</f>
        <v>#REF!</v>
      </c>
      <c r="DJ43" s="124">
        <v>7950</v>
      </c>
      <c r="DK43" s="92">
        <f>DF43*2</f>
        <v>300</v>
      </c>
      <c r="DL43" s="8" t="e">
        <f>+DK43/#REF!</f>
        <v>#REF!</v>
      </c>
      <c r="DM43" s="114">
        <v>52</v>
      </c>
      <c r="DN43" s="6" t="e">
        <f>+DM43/#REF!</f>
        <v>#REF!</v>
      </c>
      <c r="DO43" s="124">
        <v>34</v>
      </c>
      <c r="DP43" s="100" t="e">
        <f>+DO43/#REF!</f>
        <v>#REF!</v>
      </c>
      <c r="DQ43" s="114">
        <v>12105</v>
      </c>
      <c r="DR43" s="115">
        <f>DM43*5</f>
        <v>260</v>
      </c>
      <c r="DS43" s="8" t="e">
        <f>+DR43/#REF!</f>
        <v>#REF!</v>
      </c>
      <c r="DT43" s="114">
        <v>194</v>
      </c>
      <c r="DU43" s="6" t="e">
        <f>+DT43/#REF!</f>
        <v>#REF!</v>
      </c>
      <c r="DV43" s="124">
        <v>33</v>
      </c>
      <c r="DW43" s="7" t="e">
        <f>+DV43/#REF!</f>
        <v>#REF!</v>
      </c>
      <c r="DX43" s="124">
        <v>11241</v>
      </c>
      <c r="DY43" s="92">
        <f>DT43*4</f>
        <v>776</v>
      </c>
      <c r="DZ43" s="8" t="e">
        <f>+DY43/#REF!</f>
        <v>#REF!</v>
      </c>
      <c r="EA43" s="114">
        <v>33</v>
      </c>
      <c r="EB43" s="6" t="e">
        <f>+EA43/#REF!</f>
        <v>#REF!</v>
      </c>
      <c r="EC43" s="124">
        <v>22</v>
      </c>
      <c r="ED43" s="100" t="e">
        <f>+EC43/#REF!</f>
        <v>#REF!</v>
      </c>
      <c r="EE43" s="114"/>
      <c r="EF43" s="115">
        <f>EA43*5</f>
        <v>165</v>
      </c>
      <c r="EG43" s="8" t="e">
        <f>+EF43/#REF!</f>
        <v>#REF!</v>
      </c>
      <c r="EH43" s="114">
        <v>67</v>
      </c>
      <c r="EI43" s="6" t="e">
        <f>+EH43/#REF!</f>
        <v>#REF!</v>
      </c>
      <c r="EJ43" s="124">
        <v>13</v>
      </c>
      <c r="EK43" s="7" t="e">
        <f>+EJ43/#REF!</f>
        <v>#REF!</v>
      </c>
      <c r="EL43" s="124"/>
      <c r="EM43" s="92"/>
      <c r="EN43" s="8" t="e">
        <f>+EM43/#REF!</f>
        <v>#REF!</v>
      </c>
    </row>
    <row r="44" spans="1:144" s="1" customFormat="1" ht="16.95" customHeight="1">
      <c r="B44" s="126" t="s">
        <v>108</v>
      </c>
      <c r="C44" s="31"/>
      <c r="D44" s="19" t="s">
        <v>65</v>
      </c>
      <c r="E44" s="32"/>
      <c r="F44" s="32"/>
      <c r="G44" s="32"/>
      <c r="H44" s="35"/>
      <c r="I44" s="19"/>
      <c r="J44" s="34"/>
      <c r="K44" s="84">
        <v>30</v>
      </c>
      <c r="L44" s="85">
        <v>70</v>
      </c>
      <c r="M44" s="86">
        <v>40</v>
      </c>
      <c r="N44" s="87">
        <v>40</v>
      </c>
      <c r="O44" s="87">
        <v>30</v>
      </c>
      <c r="P44" s="87">
        <v>20</v>
      </c>
      <c r="Q44" s="87">
        <v>20</v>
      </c>
      <c r="R44" s="87">
        <v>30</v>
      </c>
      <c r="S44" s="87">
        <v>50</v>
      </c>
      <c r="T44" s="108"/>
      <c r="U44" s="109"/>
      <c r="V44" s="89">
        <f t="shared" si="1"/>
        <v>3.8333333333333335</v>
      </c>
      <c r="W44" s="90">
        <v>9</v>
      </c>
      <c r="X44" s="105" t="s">
        <v>65</v>
      </c>
      <c r="Y44" s="108" t="s">
        <v>65</v>
      </c>
      <c r="Z44" s="108"/>
      <c r="AA44" s="108" t="s">
        <v>65</v>
      </c>
      <c r="AB44" s="123"/>
      <c r="AC44" s="123"/>
      <c r="AD44" s="123"/>
      <c r="AE44" s="108"/>
      <c r="AF44" s="64" t="s">
        <v>65</v>
      </c>
      <c r="AG44" s="116"/>
      <c r="AH44" s="6" t="e">
        <f>+AG44/#REF!</f>
        <v>#REF!</v>
      </c>
      <c r="AI44" s="124"/>
      <c r="AJ44" s="7" t="e">
        <f>+AI44/#REF!</f>
        <v>#REF!</v>
      </c>
      <c r="AK44" s="124"/>
      <c r="AL44" s="125"/>
      <c r="AM44" s="97" t="e">
        <f>+AL44/#REF!</f>
        <v>#REF!</v>
      </c>
      <c r="AN44" s="114">
        <v>18</v>
      </c>
      <c r="AO44" s="6" t="e">
        <f>+AN44/#REF!</f>
        <v>#REF!</v>
      </c>
      <c r="AP44" s="124">
        <v>3</v>
      </c>
      <c r="AQ44" s="7" t="e">
        <f>+AP44/#REF!</f>
        <v>#REF!</v>
      </c>
      <c r="AR44" s="124">
        <v>8069</v>
      </c>
      <c r="AS44" s="127">
        <f>AN44*2</f>
        <v>36</v>
      </c>
      <c r="AT44" s="97" t="e">
        <f>+AS44/#REF!</f>
        <v>#REF!</v>
      </c>
      <c r="AU44" s="114"/>
      <c r="AV44" s="6" t="e">
        <f>+AU44/#REF!</f>
        <v>#REF!</v>
      </c>
      <c r="AW44" s="124"/>
      <c r="AX44" s="7" t="e">
        <f>+AW44/#REF!</f>
        <v>#REF!</v>
      </c>
      <c r="AY44" s="124"/>
      <c r="AZ44" s="125"/>
      <c r="BA44" s="97" t="e">
        <f>+AZ44/#REF!</f>
        <v>#REF!</v>
      </c>
      <c r="BB44" s="114"/>
      <c r="BC44" s="6" t="e">
        <f>+BB44/#REF!</f>
        <v>#REF!</v>
      </c>
      <c r="BD44" s="124"/>
      <c r="BE44" s="7" t="e">
        <f>+BD44/#REF!</f>
        <v>#REF!</v>
      </c>
      <c r="BF44" s="124"/>
      <c r="BG44" s="124"/>
      <c r="BH44" s="8" t="e">
        <f>+BG44/#REF!</f>
        <v>#REF!</v>
      </c>
      <c r="BI44" s="114"/>
      <c r="BJ44" s="6" t="e">
        <f>+BI44/#REF!</f>
        <v>#REF!</v>
      </c>
      <c r="BK44" s="124"/>
      <c r="BL44" s="7" t="e">
        <f>+BK44/#REF!</f>
        <v>#REF!</v>
      </c>
      <c r="BM44" s="124"/>
      <c r="BN44" s="99"/>
      <c r="BO44" s="8" t="e">
        <f>+BN44/#REF!</f>
        <v>#REF!</v>
      </c>
      <c r="BP44" s="114"/>
      <c r="BQ44" s="6" t="e">
        <f>+BP44/#REF!</f>
        <v>#REF!</v>
      </c>
      <c r="BR44" s="124"/>
      <c r="BS44" s="7" t="e">
        <f>+BR44/#REF!</f>
        <v>#REF!</v>
      </c>
      <c r="BT44" s="124"/>
      <c r="BU44" s="124"/>
      <c r="BV44" s="8" t="e">
        <f>+BU44/#REF!</f>
        <v>#REF!</v>
      </c>
      <c r="BW44" s="114"/>
      <c r="BX44" s="6" t="e">
        <f>+BW44/#REF!</f>
        <v>#REF!</v>
      </c>
      <c r="BY44" s="124"/>
      <c r="BZ44" s="7" t="e">
        <f>+BY44/#REF!</f>
        <v>#REF!</v>
      </c>
      <c r="CA44" s="124"/>
      <c r="CB44" s="99"/>
      <c r="CC44" s="8" t="e">
        <f>+CB44/#REF!</f>
        <v>#REF!</v>
      </c>
      <c r="CD44" s="114"/>
      <c r="CE44" s="6" t="e">
        <f>+CD44/#REF!</f>
        <v>#REF!</v>
      </c>
      <c r="CF44" s="124"/>
      <c r="CG44" s="7" t="e">
        <f>+CF44/#REF!</f>
        <v>#REF!</v>
      </c>
      <c r="CH44" s="124"/>
      <c r="CI44" s="99"/>
      <c r="CJ44" s="8" t="e">
        <f>+CI44/#REF!</f>
        <v>#REF!</v>
      </c>
      <c r="CK44" s="114"/>
      <c r="CL44" s="6" t="e">
        <f>+CK44/#REF!</f>
        <v>#REF!</v>
      </c>
      <c r="CM44" s="124"/>
      <c r="CN44" s="100" t="e">
        <f>+CM44/#REF!</f>
        <v>#REF!</v>
      </c>
      <c r="CO44" s="114"/>
      <c r="CP44" s="115"/>
      <c r="CQ44" s="8" t="e">
        <f>+CP44/#REF!</f>
        <v>#REF!</v>
      </c>
      <c r="CR44" s="114"/>
      <c r="CS44" s="6" t="e">
        <f>+CR44/#REF!</f>
        <v>#REF!</v>
      </c>
      <c r="CT44" s="124"/>
      <c r="CU44" s="7" t="e">
        <f>+CT44/#REF!</f>
        <v>#REF!</v>
      </c>
      <c r="CV44" s="124"/>
      <c r="CW44" s="92"/>
      <c r="CX44" s="8" t="e">
        <f>+CW44/#REF!</f>
        <v>#REF!</v>
      </c>
      <c r="CY44" s="114"/>
      <c r="CZ44" s="6" t="e">
        <f>+CY44/#REF!</f>
        <v>#REF!</v>
      </c>
      <c r="DA44" s="124"/>
      <c r="DB44" s="7" t="e">
        <f>+DA44/#REF!</f>
        <v>#REF!</v>
      </c>
      <c r="DC44" s="116"/>
      <c r="DD44" s="99"/>
      <c r="DE44" s="8" t="e">
        <f>+DD44/#REF!</f>
        <v>#REF!</v>
      </c>
      <c r="DF44" s="114"/>
      <c r="DG44" s="6" t="e">
        <f>+DF44/#REF!</f>
        <v>#REF!</v>
      </c>
      <c r="DH44" s="124"/>
      <c r="DI44" s="7" t="e">
        <f>+DH44/#REF!</f>
        <v>#REF!</v>
      </c>
      <c r="DJ44" s="124"/>
      <c r="DK44" s="92"/>
      <c r="DL44" s="8" t="e">
        <f>+DK44/#REF!</f>
        <v>#REF!</v>
      </c>
      <c r="DM44" s="114"/>
      <c r="DN44" s="6" t="e">
        <f>+DM44/#REF!</f>
        <v>#REF!</v>
      </c>
      <c r="DO44" s="124"/>
      <c r="DP44" s="100" t="e">
        <f>+DO44/#REF!</f>
        <v>#REF!</v>
      </c>
      <c r="DQ44" s="114"/>
      <c r="DR44" s="115"/>
      <c r="DS44" s="8" t="e">
        <f>+DR44/#REF!</f>
        <v>#REF!</v>
      </c>
      <c r="DT44" s="114"/>
      <c r="DU44" s="6" t="e">
        <f>+DT44/#REF!</f>
        <v>#REF!</v>
      </c>
      <c r="DV44" s="124"/>
      <c r="DW44" s="7" t="e">
        <f>+DV44/#REF!</f>
        <v>#REF!</v>
      </c>
      <c r="DX44" s="124"/>
      <c r="DY44" s="92"/>
      <c r="DZ44" s="8" t="e">
        <f>+DY44/#REF!</f>
        <v>#REF!</v>
      </c>
      <c r="EA44" s="114"/>
      <c r="EB44" s="6" t="e">
        <f>+EA44/#REF!</f>
        <v>#REF!</v>
      </c>
      <c r="EC44" s="124"/>
      <c r="ED44" s="100" t="e">
        <f>+EC44/#REF!</f>
        <v>#REF!</v>
      </c>
      <c r="EE44" s="114"/>
      <c r="EF44" s="115"/>
      <c r="EG44" s="8" t="e">
        <f>+EF44/#REF!</f>
        <v>#REF!</v>
      </c>
      <c r="EH44" s="114"/>
      <c r="EI44" s="6" t="e">
        <f>+EH44/#REF!</f>
        <v>#REF!</v>
      </c>
      <c r="EJ44" s="124"/>
      <c r="EK44" s="7" t="e">
        <f>+EJ44/#REF!</f>
        <v>#REF!</v>
      </c>
      <c r="EL44" s="124"/>
      <c r="EM44" s="92"/>
      <c r="EN44" s="8" t="e">
        <f>+EM44/#REF!</f>
        <v>#REF!</v>
      </c>
    </row>
    <row r="45" spans="1:144" s="1" customFormat="1" ht="16.95" customHeight="1">
      <c r="B45" s="126" t="s">
        <v>109</v>
      </c>
      <c r="C45" s="31"/>
      <c r="D45" s="32"/>
      <c r="E45" s="20"/>
      <c r="F45" s="19"/>
      <c r="G45" s="32"/>
      <c r="H45" s="35"/>
      <c r="I45" s="19"/>
      <c r="J45" s="34"/>
      <c r="K45" s="105">
        <v>30</v>
      </c>
      <c r="L45" s="106">
        <v>70</v>
      </c>
      <c r="M45" s="107">
        <v>20</v>
      </c>
      <c r="N45" s="108">
        <v>20</v>
      </c>
      <c r="O45" s="108"/>
      <c r="P45" s="108">
        <v>10</v>
      </c>
      <c r="Q45" s="108">
        <v>10</v>
      </c>
      <c r="R45" s="108">
        <v>20</v>
      </c>
      <c r="S45" s="108">
        <v>20</v>
      </c>
      <c r="T45" s="128"/>
      <c r="U45" s="128"/>
      <c r="V45" s="89">
        <f t="shared" si="1"/>
        <v>1.6666666666666667</v>
      </c>
      <c r="W45" s="110">
        <v>6</v>
      </c>
      <c r="X45" s="63" t="s">
        <v>65</v>
      </c>
      <c r="Y45" s="108"/>
      <c r="Z45" s="108"/>
      <c r="AA45" s="108" t="s">
        <v>65</v>
      </c>
      <c r="AB45" s="123"/>
      <c r="AC45" s="109"/>
      <c r="AD45" s="108" t="s">
        <v>65</v>
      </c>
      <c r="AE45" s="64" t="s">
        <v>65</v>
      </c>
      <c r="AF45" s="109" t="s">
        <v>65</v>
      </c>
      <c r="AG45" s="116">
        <v>2</v>
      </c>
      <c r="AH45" s="6" t="e">
        <f>+AG45/#REF!</f>
        <v>#REF!</v>
      </c>
      <c r="AI45" s="124">
        <v>2</v>
      </c>
      <c r="AJ45" s="7" t="e">
        <f>+AI45/#REF!</f>
        <v>#REF!</v>
      </c>
      <c r="AK45" s="124">
        <v>6771</v>
      </c>
      <c r="AL45" s="125">
        <v>4</v>
      </c>
      <c r="AM45" s="97" t="e">
        <f>+AL45/#REF!</f>
        <v>#REF!</v>
      </c>
      <c r="AN45" s="114">
        <v>8</v>
      </c>
      <c r="AO45" s="6" t="e">
        <f>+AN45/#REF!</f>
        <v>#REF!</v>
      </c>
      <c r="AP45" s="124">
        <v>2</v>
      </c>
      <c r="AQ45" s="7" t="e">
        <f>+AP45/#REF!</f>
        <v>#REF!</v>
      </c>
      <c r="AR45" s="124">
        <v>9405</v>
      </c>
      <c r="AS45" s="124">
        <f>AN45*3</f>
        <v>24</v>
      </c>
      <c r="AT45" s="97" t="e">
        <f>+AS45/#REF!</f>
        <v>#REF!</v>
      </c>
      <c r="AU45" s="114"/>
      <c r="AV45" s="6" t="e">
        <f>+AU45/#REF!</f>
        <v>#REF!</v>
      </c>
      <c r="AW45" s="124"/>
      <c r="AX45" s="7" t="e">
        <f>+AW45/#REF!</f>
        <v>#REF!</v>
      </c>
      <c r="AY45" s="124"/>
      <c r="AZ45" s="125"/>
      <c r="BA45" s="97" t="e">
        <f>+AZ45/#REF!</f>
        <v>#REF!</v>
      </c>
      <c r="BB45" s="114"/>
      <c r="BC45" s="6" t="e">
        <f>+BB45/#REF!</f>
        <v>#REF!</v>
      </c>
      <c r="BD45" s="124"/>
      <c r="BE45" s="7" t="e">
        <f>+BD45/#REF!</f>
        <v>#REF!</v>
      </c>
      <c r="BF45" s="124"/>
      <c r="BG45" s="124"/>
      <c r="BH45" s="8" t="e">
        <f>+BG45/#REF!</f>
        <v>#REF!</v>
      </c>
      <c r="BI45" s="114"/>
      <c r="BJ45" s="6" t="e">
        <f>+BI45/#REF!</f>
        <v>#REF!</v>
      </c>
      <c r="BK45" s="124"/>
      <c r="BL45" s="7" t="e">
        <f>+BK45/#REF!</f>
        <v>#REF!</v>
      </c>
      <c r="BM45" s="124"/>
      <c r="BN45" s="99"/>
      <c r="BO45" s="8" t="e">
        <f>+BN45/#REF!</f>
        <v>#REF!</v>
      </c>
      <c r="BP45" s="114"/>
      <c r="BQ45" s="6" t="e">
        <f>+BP45/#REF!</f>
        <v>#REF!</v>
      </c>
      <c r="BR45" s="124"/>
      <c r="BS45" s="7" t="e">
        <f>+BR45/#REF!</f>
        <v>#REF!</v>
      </c>
      <c r="BT45" s="124"/>
      <c r="BU45" s="124"/>
      <c r="BV45" s="8" t="e">
        <f>+BU45/#REF!</f>
        <v>#REF!</v>
      </c>
      <c r="BW45" s="114"/>
      <c r="BX45" s="6" t="e">
        <f>+BW45/#REF!</f>
        <v>#REF!</v>
      </c>
      <c r="BY45" s="124"/>
      <c r="BZ45" s="7" t="e">
        <f>+BY45/#REF!</f>
        <v>#REF!</v>
      </c>
      <c r="CA45" s="124"/>
      <c r="CB45" s="99"/>
      <c r="CC45" s="8" t="e">
        <f>+CB45/#REF!</f>
        <v>#REF!</v>
      </c>
      <c r="CD45" s="114"/>
      <c r="CE45" s="6" t="e">
        <f>+CD45/#REF!</f>
        <v>#REF!</v>
      </c>
      <c r="CF45" s="124"/>
      <c r="CG45" s="7" t="e">
        <f>+CF45/#REF!</f>
        <v>#REF!</v>
      </c>
      <c r="CH45" s="124"/>
      <c r="CI45" s="99"/>
      <c r="CJ45" s="8" t="e">
        <f>+CI45/#REF!</f>
        <v>#REF!</v>
      </c>
      <c r="CK45" s="114"/>
      <c r="CL45" s="6" t="e">
        <f>+CK45/#REF!</f>
        <v>#REF!</v>
      </c>
      <c r="CM45" s="124"/>
      <c r="CN45" s="100" t="e">
        <f>+CM45/#REF!</f>
        <v>#REF!</v>
      </c>
      <c r="CO45" s="114"/>
      <c r="CP45" s="115"/>
      <c r="CQ45" s="8" t="e">
        <f>+CP45/#REF!</f>
        <v>#REF!</v>
      </c>
      <c r="CR45" s="114"/>
      <c r="CS45" s="6" t="e">
        <f>+CR45/#REF!</f>
        <v>#REF!</v>
      </c>
      <c r="CT45" s="124"/>
      <c r="CU45" s="7" t="e">
        <f>+CT45/#REF!</f>
        <v>#REF!</v>
      </c>
      <c r="CV45" s="124"/>
      <c r="CW45" s="92"/>
      <c r="CX45" s="8" t="e">
        <f>+CW45/#REF!</f>
        <v>#REF!</v>
      </c>
      <c r="CY45" s="114"/>
      <c r="CZ45" s="6" t="e">
        <f>+CY45/#REF!</f>
        <v>#REF!</v>
      </c>
      <c r="DA45" s="124"/>
      <c r="DB45" s="7" t="e">
        <f>+DA45/#REF!</f>
        <v>#REF!</v>
      </c>
      <c r="DC45" s="116"/>
      <c r="DD45" s="99"/>
      <c r="DE45" s="8" t="e">
        <f>+DD45/#REF!</f>
        <v>#REF!</v>
      </c>
      <c r="DF45" s="114"/>
      <c r="DG45" s="6" t="e">
        <f>+DF45/#REF!</f>
        <v>#REF!</v>
      </c>
      <c r="DH45" s="124"/>
      <c r="DI45" s="7" t="e">
        <f>+DH45/#REF!</f>
        <v>#REF!</v>
      </c>
      <c r="DJ45" s="124"/>
      <c r="DK45" s="92"/>
      <c r="DL45" s="8" t="e">
        <f>+DK45/#REF!</f>
        <v>#REF!</v>
      </c>
      <c r="DM45" s="114"/>
      <c r="DN45" s="6" t="e">
        <f>+DM45/#REF!</f>
        <v>#REF!</v>
      </c>
      <c r="DO45" s="124"/>
      <c r="DP45" s="100" t="e">
        <f>+DO45/#REF!</f>
        <v>#REF!</v>
      </c>
      <c r="DQ45" s="114"/>
      <c r="DR45" s="115"/>
      <c r="DS45" s="8" t="e">
        <f>+DR45/#REF!</f>
        <v>#REF!</v>
      </c>
      <c r="DT45" s="114"/>
      <c r="DU45" s="6" t="e">
        <f>+DT45/#REF!</f>
        <v>#REF!</v>
      </c>
      <c r="DV45" s="124"/>
      <c r="DW45" s="7" t="e">
        <f>+DV45/#REF!</f>
        <v>#REF!</v>
      </c>
      <c r="DX45" s="124"/>
      <c r="DY45" s="92"/>
      <c r="DZ45" s="8" t="e">
        <f>+DY45/#REF!</f>
        <v>#REF!</v>
      </c>
      <c r="EA45" s="114"/>
      <c r="EB45" s="6" t="e">
        <f>+EA45/#REF!</f>
        <v>#REF!</v>
      </c>
      <c r="EC45" s="124"/>
      <c r="ED45" s="100" t="e">
        <f>+EC45/#REF!</f>
        <v>#REF!</v>
      </c>
      <c r="EE45" s="114"/>
      <c r="EF45" s="115"/>
      <c r="EG45" s="8" t="e">
        <f>+EF45/#REF!</f>
        <v>#REF!</v>
      </c>
      <c r="EH45" s="114"/>
      <c r="EI45" s="6" t="e">
        <f>+EH45/#REF!</f>
        <v>#REF!</v>
      </c>
      <c r="EJ45" s="124"/>
      <c r="EK45" s="7" t="e">
        <f>+EJ45/#REF!</f>
        <v>#REF!</v>
      </c>
      <c r="EL45" s="124"/>
      <c r="EM45" s="92"/>
      <c r="EN45" s="8" t="e">
        <f>+EM45/#REF!</f>
        <v>#REF!</v>
      </c>
    </row>
    <row r="46" spans="1:144" s="1" customFormat="1" ht="16.95" customHeight="1">
      <c r="B46" s="126" t="s">
        <v>110</v>
      </c>
      <c r="C46" s="31"/>
      <c r="D46" s="32"/>
      <c r="E46" s="30"/>
      <c r="F46" s="32"/>
      <c r="G46" s="32" t="s">
        <v>65</v>
      </c>
      <c r="H46" s="35"/>
      <c r="I46" s="19"/>
      <c r="J46" s="34"/>
      <c r="K46" s="105">
        <v>30</v>
      </c>
      <c r="L46" s="106">
        <v>70</v>
      </c>
      <c r="M46" s="107">
        <v>20</v>
      </c>
      <c r="N46" s="108">
        <v>20</v>
      </c>
      <c r="O46" s="108"/>
      <c r="P46" s="108">
        <v>10</v>
      </c>
      <c r="Q46" s="108">
        <v>10</v>
      </c>
      <c r="R46" s="108">
        <v>20</v>
      </c>
      <c r="S46" s="108">
        <v>20</v>
      </c>
      <c r="T46" s="128"/>
      <c r="U46" s="128"/>
      <c r="V46" s="89">
        <f t="shared" si="1"/>
        <v>1.6666666666666667</v>
      </c>
      <c r="W46" s="110" t="s">
        <v>82</v>
      </c>
      <c r="X46" s="63" t="s">
        <v>65</v>
      </c>
      <c r="Y46" s="108"/>
      <c r="Z46" s="108"/>
      <c r="AA46" s="108" t="s">
        <v>65</v>
      </c>
      <c r="AB46" s="123"/>
      <c r="AC46" s="128"/>
      <c r="AD46" s="109" t="s">
        <v>65</v>
      </c>
      <c r="AE46" s="108" t="s">
        <v>65</v>
      </c>
      <c r="AF46" s="64" t="s">
        <v>65</v>
      </c>
      <c r="AG46" s="116">
        <v>8</v>
      </c>
      <c r="AH46" s="6" t="e">
        <f>+AG46/#REF!</f>
        <v>#REF!</v>
      </c>
      <c r="AI46" s="124">
        <v>8</v>
      </c>
      <c r="AJ46" s="7" t="e">
        <f>+AI46/#REF!</f>
        <v>#REF!</v>
      </c>
      <c r="AK46" s="124">
        <v>7319</v>
      </c>
      <c r="AL46" s="125">
        <f>AG46*2</f>
        <v>16</v>
      </c>
      <c r="AM46" s="97" t="e">
        <f>+AL46/#REF!</f>
        <v>#REF!</v>
      </c>
      <c r="AN46" s="114">
        <v>88</v>
      </c>
      <c r="AO46" s="6" t="e">
        <f>+AN46/#REF!</f>
        <v>#REF!</v>
      </c>
      <c r="AP46" s="124">
        <v>16</v>
      </c>
      <c r="AQ46" s="7" t="e">
        <f>+AP46/#REF!</f>
        <v>#REF!</v>
      </c>
      <c r="AR46" s="124">
        <v>7332</v>
      </c>
      <c r="AS46" s="124">
        <f>AN46*2</f>
        <v>176</v>
      </c>
      <c r="AT46" s="97" t="e">
        <f>+AS46/#REF!</f>
        <v>#REF!</v>
      </c>
      <c r="AU46" s="114">
        <v>66</v>
      </c>
      <c r="AV46" s="6" t="e">
        <f>+AU46/#REF!</f>
        <v>#REF!</v>
      </c>
      <c r="AW46" s="124">
        <v>21</v>
      </c>
      <c r="AX46" s="7" t="e">
        <f>+AW46/#REF!</f>
        <v>#REF!</v>
      </c>
      <c r="AY46" s="124">
        <v>6592</v>
      </c>
      <c r="AZ46" s="125">
        <f>AU46*2</f>
        <v>132</v>
      </c>
      <c r="BA46" s="97" t="e">
        <f>+AZ46/#REF!</f>
        <v>#REF!</v>
      </c>
      <c r="BB46" s="114">
        <v>122</v>
      </c>
      <c r="BC46" s="6" t="e">
        <f>+BB46/#REF!</f>
        <v>#REF!</v>
      </c>
      <c r="BD46" s="124">
        <v>17</v>
      </c>
      <c r="BE46" s="7" t="e">
        <f>+BD46/#REF!</f>
        <v>#REF!</v>
      </c>
      <c r="BF46" s="124">
        <v>5953</v>
      </c>
      <c r="BG46" s="124">
        <f>BB46*2</f>
        <v>244</v>
      </c>
      <c r="BH46" s="8" t="e">
        <f>+BG46/#REF!</f>
        <v>#REF!</v>
      </c>
      <c r="BI46" s="114">
        <v>20</v>
      </c>
      <c r="BJ46" s="6" t="e">
        <f>+BI46/#REF!</f>
        <v>#REF!</v>
      </c>
      <c r="BK46" s="124">
        <v>20</v>
      </c>
      <c r="BL46" s="7" t="e">
        <f>+BK46/#REF!</f>
        <v>#REF!</v>
      </c>
      <c r="BM46" s="124">
        <v>9245</v>
      </c>
      <c r="BN46" s="99">
        <f>BI46*3</f>
        <v>60</v>
      </c>
      <c r="BO46" s="8" t="e">
        <f>+BN46/#REF!</f>
        <v>#REF!</v>
      </c>
      <c r="BP46" s="114">
        <v>143</v>
      </c>
      <c r="BQ46" s="6" t="e">
        <f>+BP46/#REF!</f>
        <v>#REF!</v>
      </c>
      <c r="BR46" s="124">
        <v>25</v>
      </c>
      <c r="BS46" s="7" t="e">
        <f>+BR46/#REF!</f>
        <v>#REF!</v>
      </c>
      <c r="BT46" s="124">
        <v>10038</v>
      </c>
      <c r="BU46" s="124">
        <f>BP46*4</f>
        <v>572</v>
      </c>
      <c r="BV46" s="8" t="e">
        <f>+BU46/#REF!</f>
        <v>#REF!</v>
      </c>
      <c r="BW46" s="114">
        <v>21</v>
      </c>
      <c r="BX46" s="6" t="e">
        <f>+BW46/#REF!</f>
        <v>#REF!</v>
      </c>
      <c r="BY46" s="124">
        <v>21</v>
      </c>
      <c r="BZ46" s="7" t="e">
        <f>+BY46/#REF!</f>
        <v>#REF!</v>
      </c>
      <c r="CA46" s="124">
        <v>6592</v>
      </c>
      <c r="CB46" s="99">
        <f>BW46*2</f>
        <v>42</v>
      </c>
      <c r="CC46" s="8" t="e">
        <f>+CB46/#REF!</f>
        <v>#REF!</v>
      </c>
      <c r="CD46" s="114">
        <v>133</v>
      </c>
      <c r="CE46" s="6" t="e">
        <f>+CD46/#REF!</f>
        <v>#REF!</v>
      </c>
      <c r="CF46" s="124">
        <v>16</v>
      </c>
      <c r="CG46" s="7" t="e">
        <f>+CF46/#REF!</f>
        <v>#REF!</v>
      </c>
      <c r="CH46" s="124">
        <v>6610</v>
      </c>
      <c r="CI46" s="99">
        <f>CD46*2</f>
        <v>266</v>
      </c>
      <c r="CJ46" s="8" t="e">
        <f>+CI46/#REF!</f>
        <v>#REF!</v>
      </c>
      <c r="CK46" s="114">
        <v>4</v>
      </c>
      <c r="CL46" s="6" t="e">
        <f>+CK46/#REF!</f>
        <v>#REF!</v>
      </c>
      <c r="CM46" s="124">
        <v>2</v>
      </c>
      <c r="CN46" s="100" t="e">
        <f>+CM46/#REF!</f>
        <v>#REF!</v>
      </c>
      <c r="CO46" s="114">
        <v>12254</v>
      </c>
      <c r="CP46" s="115">
        <f>CK46*5</f>
        <v>20</v>
      </c>
      <c r="CQ46" s="8" t="e">
        <f>+CP46/#REF!</f>
        <v>#REF!</v>
      </c>
      <c r="CR46" s="114">
        <v>34</v>
      </c>
      <c r="CS46" s="6" t="e">
        <f>+CR46/#REF!</f>
        <v>#REF!</v>
      </c>
      <c r="CT46" s="124">
        <v>3</v>
      </c>
      <c r="CU46" s="7" t="e">
        <f>+CT46/#REF!</f>
        <v>#REF!</v>
      </c>
      <c r="CV46" s="124">
        <v>9610</v>
      </c>
      <c r="CW46" s="92">
        <f t="shared" si="6"/>
        <v>102</v>
      </c>
      <c r="CX46" s="8" t="e">
        <f>+CW46/#REF!</f>
        <v>#REF!</v>
      </c>
      <c r="CY46" s="114"/>
      <c r="CZ46" s="6" t="e">
        <f>+CY46/#REF!</f>
        <v>#REF!</v>
      </c>
      <c r="DA46" s="124"/>
      <c r="DB46" s="7" t="e">
        <f>+DA46/#REF!</f>
        <v>#REF!</v>
      </c>
      <c r="DC46" s="116"/>
      <c r="DD46" s="99"/>
      <c r="DE46" s="8" t="e">
        <f>+DD46/#REF!</f>
        <v>#REF!</v>
      </c>
      <c r="DF46" s="114"/>
      <c r="DG46" s="6" t="e">
        <f>+DF46/#REF!</f>
        <v>#REF!</v>
      </c>
      <c r="DH46" s="124"/>
      <c r="DI46" s="7" t="e">
        <f>+DH46/#REF!</f>
        <v>#REF!</v>
      </c>
      <c r="DJ46" s="124"/>
      <c r="DK46" s="92"/>
      <c r="DL46" s="8" t="e">
        <f>+DK46/#REF!</f>
        <v>#REF!</v>
      </c>
      <c r="DM46" s="114"/>
      <c r="DN46" s="6" t="e">
        <f>+DM46/#REF!</f>
        <v>#REF!</v>
      </c>
      <c r="DO46" s="124"/>
      <c r="DP46" s="100" t="e">
        <f>+DO46/#REF!</f>
        <v>#REF!</v>
      </c>
      <c r="DQ46" s="114"/>
      <c r="DR46" s="115"/>
      <c r="DS46" s="8" t="e">
        <f>+DR46/#REF!</f>
        <v>#REF!</v>
      </c>
      <c r="DT46" s="114"/>
      <c r="DU46" s="6" t="e">
        <f>+DT46/#REF!</f>
        <v>#REF!</v>
      </c>
      <c r="DV46" s="124"/>
      <c r="DW46" s="7" t="e">
        <f>+DV46/#REF!</f>
        <v>#REF!</v>
      </c>
      <c r="DX46" s="124"/>
      <c r="DY46" s="92"/>
      <c r="DZ46" s="8" t="e">
        <f>+DY46/#REF!</f>
        <v>#REF!</v>
      </c>
      <c r="EA46" s="114"/>
      <c r="EB46" s="6" t="e">
        <f>+EA46/#REF!</f>
        <v>#REF!</v>
      </c>
      <c r="EC46" s="124"/>
      <c r="ED46" s="100" t="e">
        <f>+EC46/#REF!</f>
        <v>#REF!</v>
      </c>
      <c r="EE46" s="114"/>
      <c r="EF46" s="115"/>
      <c r="EG46" s="8" t="e">
        <f>+EF46/#REF!</f>
        <v>#REF!</v>
      </c>
      <c r="EH46" s="114"/>
      <c r="EI46" s="6" t="e">
        <f>+EH46/#REF!</f>
        <v>#REF!</v>
      </c>
      <c r="EJ46" s="124"/>
      <c r="EK46" s="7" t="e">
        <f>+EJ46/#REF!</f>
        <v>#REF!</v>
      </c>
      <c r="EL46" s="124"/>
      <c r="EM46" s="92"/>
      <c r="EN46" s="8" t="e">
        <f>+EM46/#REF!</f>
        <v>#REF!</v>
      </c>
    </row>
    <row r="47" spans="1:144" s="1" customFormat="1" ht="16.95" customHeight="1">
      <c r="B47" s="126" t="s">
        <v>111</v>
      </c>
      <c r="C47" s="18" t="s">
        <v>65</v>
      </c>
      <c r="D47" s="19"/>
      <c r="E47" s="20"/>
      <c r="F47" s="19"/>
      <c r="G47" s="19"/>
      <c r="H47" s="20"/>
      <c r="I47" s="19"/>
      <c r="J47" s="25"/>
      <c r="K47" s="105">
        <v>30</v>
      </c>
      <c r="L47" s="106">
        <v>70</v>
      </c>
      <c r="M47" s="107">
        <v>20</v>
      </c>
      <c r="N47" s="108">
        <v>20</v>
      </c>
      <c r="O47" s="108"/>
      <c r="P47" s="108">
        <v>10</v>
      </c>
      <c r="Q47" s="108">
        <v>10</v>
      </c>
      <c r="R47" s="108">
        <v>20</v>
      </c>
      <c r="S47" s="108">
        <v>20</v>
      </c>
      <c r="T47" s="128"/>
      <c r="U47" s="128"/>
      <c r="V47" s="89">
        <f t="shared" si="1"/>
        <v>1.6666666666666667</v>
      </c>
      <c r="W47" s="110" t="s">
        <v>112</v>
      </c>
      <c r="X47" s="63" t="s">
        <v>65</v>
      </c>
      <c r="Y47" s="108"/>
      <c r="Z47" s="108"/>
      <c r="AA47" s="108" t="s">
        <v>65</v>
      </c>
      <c r="AB47" s="123"/>
      <c r="AC47" s="128"/>
      <c r="AD47" s="109" t="s">
        <v>65</v>
      </c>
      <c r="AE47" s="108" t="s">
        <v>65</v>
      </c>
      <c r="AF47" s="64" t="s">
        <v>65</v>
      </c>
      <c r="AG47" s="116"/>
      <c r="AH47" s="6" t="e">
        <f>+AG47/#REF!</f>
        <v>#REF!</v>
      </c>
      <c r="AI47" s="124"/>
      <c r="AJ47" s="7" t="e">
        <f>+AI47/#REF!</f>
        <v>#REF!</v>
      </c>
      <c r="AK47" s="124"/>
      <c r="AL47" s="125"/>
      <c r="AM47" s="97" t="e">
        <f>+AL47/#REF!</f>
        <v>#REF!</v>
      </c>
      <c r="AN47" s="114"/>
      <c r="AO47" s="6" t="e">
        <f>+AN47/#REF!</f>
        <v>#REF!</v>
      </c>
      <c r="AP47" s="124"/>
      <c r="AQ47" s="7" t="e">
        <f>+AP47/#REF!</f>
        <v>#REF!</v>
      </c>
      <c r="AR47" s="124"/>
      <c r="AS47" s="124"/>
      <c r="AT47" s="97" t="e">
        <f>+AS47/#REF!</f>
        <v>#REF!</v>
      </c>
      <c r="AU47" s="114"/>
      <c r="AV47" s="6" t="e">
        <f>+AU47/#REF!</f>
        <v>#REF!</v>
      </c>
      <c r="AW47" s="124"/>
      <c r="AX47" s="7" t="e">
        <f>+AW47/#REF!</f>
        <v>#REF!</v>
      </c>
      <c r="AY47" s="124"/>
      <c r="AZ47" s="125"/>
      <c r="BA47" s="97" t="e">
        <f>+AZ47/#REF!</f>
        <v>#REF!</v>
      </c>
      <c r="BB47" s="114"/>
      <c r="BC47" s="6" t="e">
        <f>+BB47/#REF!</f>
        <v>#REF!</v>
      </c>
      <c r="BD47" s="124"/>
      <c r="BE47" s="7" t="e">
        <f>+BD47/#REF!</f>
        <v>#REF!</v>
      </c>
      <c r="BF47" s="124"/>
      <c r="BG47" s="124"/>
      <c r="BH47" s="8" t="e">
        <f>+BG47/#REF!</f>
        <v>#REF!</v>
      </c>
      <c r="BI47" s="114"/>
      <c r="BJ47" s="6" t="e">
        <f>+BI47/#REF!</f>
        <v>#REF!</v>
      </c>
      <c r="BK47" s="124"/>
      <c r="BL47" s="7" t="e">
        <f>+BK47/#REF!</f>
        <v>#REF!</v>
      </c>
      <c r="BM47" s="124"/>
      <c r="BN47" s="99"/>
      <c r="BO47" s="8" t="e">
        <f>+BN47/#REF!</f>
        <v>#REF!</v>
      </c>
      <c r="BP47" s="114"/>
      <c r="BQ47" s="6" t="e">
        <f>+BP47/#REF!</f>
        <v>#REF!</v>
      </c>
      <c r="BR47" s="124"/>
      <c r="BS47" s="7" t="e">
        <f>+BR47/#REF!</f>
        <v>#REF!</v>
      </c>
      <c r="BT47" s="124"/>
      <c r="BU47" s="124"/>
      <c r="BV47" s="8" t="e">
        <f>+BU47/#REF!</f>
        <v>#REF!</v>
      </c>
      <c r="BW47" s="114"/>
      <c r="BX47" s="6" t="e">
        <f>+BW47/#REF!</f>
        <v>#REF!</v>
      </c>
      <c r="BY47" s="124"/>
      <c r="BZ47" s="7" t="e">
        <f>+BY47/#REF!</f>
        <v>#REF!</v>
      </c>
      <c r="CA47" s="124"/>
      <c r="CB47" s="99"/>
      <c r="CC47" s="8" t="e">
        <f>+CB47/#REF!</f>
        <v>#REF!</v>
      </c>
      <c r="CD47" s="114"/>
      <c r="CE47" s="6" t="e">
        <f>+CD47/#REF!</f>
        <v>#REF!</v>
      </c>
      <c r="CF47" s="124"/>
      <c r="CG47" s="7" t="e">
        <f>+CF47/#REF!</f>
        <v>#REF!</v>
      </c>
      <c r="CH47" s="124"/>
      <c r="CI47" s="99"/>
      <c r="CJ47" s="8" t="e">
        <f>+CI47/#REF!</f>
        <v>#REF!</v>
      </c>
      <c r="CK47" s="114">
        <v>9</v>
      </c>
      <c r="CL47" s="6" t="e">
        <f>+CK47/#REF!</f>
        <v>#REF!</v>
      </c>
      <c r="CM47" s="124">
        <v>3</v>
      </c>
      <c r="CN47" s="100" t="e">
        <f>+CM47/#REF!</f>
        <v>#REF!</v>
      </c>
      <c r="CO47" s="114">
        <v>9890</v>
      </c>
      <c r="CP47" s="115">
        <f>CK47*3</f>
        <v>27</v>
      </c>
      <c r="CQ47" s="8" t="e">
        <f>+CP47/#REF!</f>
        <v>#REF!</v>
      </c>
      <c r="CR47" s="114"/>
      <c r="CS47" s="6" t="e">
        <f>+CR47/#REF!</f>
        <v>#REF!</v>
      </c>
      <c r="CT47" s="124"/>
      <c r="CU47" s="7" t="e">
        <f>+CT47/#REF!</f>
        <v>#REF!</v>
      </c>
      <c r="CV47" s="124"/>
      <c r="CW47" s="92"/>
      <c r="CX47" s="8" t="e">
        <f>+CW47/#REF!</f>
        <v>#REF!</v>
      </c>
      <c r="CY47" s="114">
        <v>9</v>
      </c>
      <c r="CZ47" s="6" t="e">
        <f>+CY47/#REF!</f>
        <v>#REF!</v>
      </c>
      <c r="DA47" s="124">
        <v>5</v>
      </c>
      <c r="DB47" s="7" t="e">
        <f>+DA47/#REF!</f>
        <v>#REF!</v>
      </c>
      <c r="DC47" s="116">
        <v>9276</v>
      </c>
      <c r="DD47" s="99">
        <f>CY47*3</f>
        <v>27</v>
      </c>
      <c r="DE47" s="8" t="e">
        <f>+DD47/#REF!</f>
        <v>#REF!</v>
      </c>
      <c r="DF47" s="114"/>
      <c r="DG47" s="6" t="e">
        <f>+DF47/#REF!</f>
        <v>#REF!</v>
      </c>
      <c r="DH47" s="124"/>
      <c r="DI47" s="7" t="e">
        <f>+DH47/#REF!</f>
        <v>#REF!</v>
      </c>
      <c r="DJ47" s="124"/>
      <c r="DK47" s="92"/>
      <c r="DL47" s="8" t="e">
        <f>+DK47/#REF!</f>
        <v>#REF!</v>
      </c>
      <c r="DM47" s="114">
        <v>6</v>
      </c>
      <c r="DN47" s="6" t="e">
        <f>+DM47/#REF!</f>
        <v>#REF!</v>
      </c>
      <c r="DO47" s="124">
        <v>6</v>
      </c>
      <c r="DP47" s="100" t="e">
        <f>+DO47/#REF!</f>
        <v>#REF!</v>
      </c>
      <c r="DQ47" s="114">
        <v>13597</v>
      </c>
      <c r="DR47" s="115">
        <f>DM47*5</f>
        <v>30</v>
      </c>
      <c r="DS47" s="8" t="e">
        <f>+DR47/#REF!</f>
        <v>#REF!</v>
      </c>
      <c r="DT47" s="114"/>
      <c r="DU47" s="6" t="e">
        <f>+DT47/#REF!</f>
        <v>#REF!</v>
      </c>
      <c r="DV47" s="124"/>
      <c r="DW47" s="7" t="e">
        <f>+DV47/#REF!</f>
        <v>#REF!</v>
      </c>
      <c r="DX47" s="124"/>
      <c r="DY47" s="92"/>
      <c r="DZ47" s="8" t="e">
        <f>+DY47/#REF!</f>
        <v>#REF!</v>
      </c>
      <c r="EA47" s="114"/>
      <c r="EB47" s="6" t="e">
        <f>+EA47/#REF!</f>
        <v>#REF!</v>
      </c>
      <c r="EC47" s="124"/>
      <c r="ED47" s="100" t="e">
        <f>+EC47/#REF!</f>
        <v>#REF!</v>
      </c>
      <c r="EE47" s="114"/>
      <c r="EF47" s="115">
        <f>EA47*5</f>
        <v>0</v>
      </c>
      <c r="EG47" s="8" t="e">
        <f>+EF47/#REF!</f>
        <v>#REF!</v>
      </c>
      <c r="EH47" s="114"/>
      <c r="EI47" s="6" t="e">
        <f>+EH47/#REF!</f>
        <v>#REF!</v>
      </c>
      <c r="EJ47" s="124"/>
      <c r="EK47" s="7" t="e">
        <f>+EJ47/#REF!</f>
        <v>#REF!</v>
      </c>
      <c r="EL47" s="124"/>
      <c r="EM47" s="92"/>
      <c r="EN47" s="8" t="e">
        <f>+EM47/#REF!</f>
        <v>#REF!</v>
      </c>
    </row>
    <row r="48" spans="1:144" s="1" customFormat="1" ht="16.95" customHeight="1">
      <c r="B48" s="126">
        <v>141</v>
      </c>
      <c r="C48" s="18" t="s">
        <v>65</v>
      </c>
      <c r="D48" s="19"/>
      <c r="E48" s="20"/>
      <c r="F48" s="19"/>
      <c r="G48" s="32"/>
      <c r="H48" s="20"/>
      <c r="I48" s="19"/>
      <c r="J48" s="25"/>
      <c r="K48" s="105">
        <v>30</v>
      </c>
      <c r="L48" s="106">
        <v>70</v>
      </c>
      <c r="M48" s="107">
        <v>20</v>
      </c>
      <c r="N48" s="108">
        <v>20</v>
      </c>
      <c r="O48" s="108"/>
      <c r="P48" s="108">
        <v>10</v>
      </c>
      <c r="Q48" s="108">
        <v>10</v>
      </c>
      <c r="R48" s="108">
        <v>20</v>
      </c>
      <c r="S48" s="108">
        <v>20</v>
      </c>
      <c r="T48" s="128"/>
      <c r="U48" s="128"/>
      <c r="V48" s="89">
        <f t="shared" si="1"/>
        <v>1.6666666666666667</v>
      </c>
      <c r="W48" s="110" t="s">
        <v>113</v>
      </c>
      <c r="X48" s="63" t="s">
        <v>65</v>
      </c>
      <c r="Y48" s="108"/>
      <c r="Z48" s="108"/>
      <c r="AA48" s="108"/>
      <c r="AB48" s="123"/>
      <c r="AC48" s="128"/>
      <c r="AD48" s="109" t="s">
        <v>65</v>
      </c>
      <c r="AE48" s="108"/>
      <c r="AF48" s="64"/>
      <c r="AG48" s="116"/>
      <c r="AH48" s="6" t="e">
        <f>+AG48/#REF!</f>
        <v>#REF!</v>
      </c>
      <c r="AI48" s="124"/>
      <c r="AJ48" s="7" t="e">
        <f>+AI48/#REF!</f>
        <v>#REF!</v>
      </c>
      <c r="AK48" s="124"/>
      <c r="AL48" s="125"/>
      <c r="AM48" s="97" t="e">
        <f>+AL48/#REF!</f>
        <v>#REF!</v>
      </c>
      <c r="AN48" s="114"/>
      <c r="AO48" s="6" t="e">
        <f>+AN48/#REF!</f>
        <v>#REF!</v>
      </c>
      <c r="AP48" s="124"/>
      <c r="AQ48" s="7" t="e">
        <f>+AP48/#REF!</f>
        <v>#REF!</v>
      </c>
      <c r="AR48" s="124"/>
      <c r="AS48" s="124"/>
      <c r="AT48" s="97" t="e">
        <f>+AS48/#REF!</f>
        <v>#REF!</v>
      </c>
      <c r="AU48" s="114"/>
      <c r="AV48" s="6" t="e">
        <f>+AU48/#REF!</f>
        <v>#REF!</v>
      </c>
      <c r="AW48" s="124"/>
      <c r="AX48" s="7" t="e">
        <f>+AW48/#REF!</f>
        <v>#REF!</v>
      </c>
      <c r="AY48" s="124"/>
      <c r="AZ48" s="125"/>
      <c r="BA48" s="97" t="e">
        <f>+AZ48/#REF!</f>
        <v>#REF!</v>
      </c>
      <c r="BB48" s="114"/>
      <c r="BC48" s="6"/>
      <c r="BD48" s="124"/>
      <c r="BE48" s="7"/>
      <c r="BF48" s="124"/>
      <c r="BG48" s="124"/>
      <c r="BH48" s="8"/>
      <c r="BI48" s="114"/>
      <c r="BJ48" s="6"/>
      <c r="BK48" s="124"/>
      <c r="BL48" s="7"/>
      <c r="BM48" s="124"/>
      <c r="BN48" s="99"/>
      <c r="BO48" s="8"/>
      <c r="BP48" s="114"/>
      <c r="BQ48" s="6"/>
      <c r="BR48" s="124"/>
      <c r="BS48" s="7"/>
      <c r="BT48" s="124"/>
      <c r="BU48" s="124"/>
      <c r="BV48" s="8"/>
      <c r="BW48" s="114"/>
      <c r="BX48" s="6" t="e">
        <f>+BW48/#REF!</f>
        <v>#REF!</v>
      </c>
      <c r="BY48" s="124"/>
      <c r="BZ48" s="7" t="e">
        <f>+BY48/#REF!</f>
        <v>#REF!</v>
      </c>
      <c r="CA48" s="124"/>
      <c r="CB48" s="99"/>
      <c r="CC48" s="8" t="e">
        <f>+CB48/#REF!</f>
        <v>#REF!</v>
      </c>
      <c r="CD48" s="114"/>
      <c r="CE48" s="6" t="e">
        <f>+CD48/#REF!</f>
        <v>#REF!</v>
      </c>
      <c r="CF48" s="124"/>
      <c r="CG48" s="7" t="e">
        <f>+CF48/#REF!</f>
        <v>#REF!</v>
      </c>
      <c r="CH48" s="124"/>
      <c r="CI48" s="99"/>
      <c r="CJ48" s="8" t="e">
        <f>+CI48/#REF!</f>
        <v>#REF!</v>
      </c>
      <c r="CK48" s="114">
        <v>7</v>
      </c>
      <c r="CL48" s="6" t="e">
        <f>+CK48/#REF!</f>
        <v>#REF!</v>
      </c>
      <c r="CM48" s="124">
        <v>2</v>
      </c>
      <c r="CN48" s="100" t="e">
        <f>+CM48/#REF!</f>
        <v>#REF!</v>
      </c>
      <c r="CO48" s="114">
        <v>14012</v>
      </c>
      <c r="CP48" s="115">
        <f>CK48*5</f>
        <v>35</v>
      </c>
      <c r="CQ48" s="8" t="e">
        <f>+CP48/#REF!</f>
        <v>#REF!</v>
      </c>
      <c r="CR48" s="114"/>
      <c r="CS48" s="6" t="e">
        <f>+CR48/#REF!</f>
        <v>#REF!</v>
      </c>
      <c r="CT48" s="124"/>
      <c r="CU48" s="7" t="e">
        <f>+CT48/#REF!</f>
        <v>#REF!</v>
      </c>
      <c r="CV48" s="124"/>
      <c r="CW48" s="92"/>
      <c r="CX48" s="8" t="e">
        <f>+CW48/#REF!</f>
        <v>#REF!</v>
      </c>
      <c r="CY48" s="114"/>
      <c r="CZ48" s="6" t="e">
        <f>+CY48/#REF!</f>
        <v>#REF!</v>
      </c>
      <c r="DA48" s="124"/>
      <c r="DB48" s="7" t="e">
        <f>+DA48/#REF!</f>
        <v>#REF!</v>
      </c>
      <c r="DC48" s="116"/>
      <c r="DD48" s="99"/>
      <c r="DE48" s="8" t="e">
        <f>+DD48/#REF!</f>
        <v>#REF!</v>
      </c>
      <c r="DF48" s="114"/>
      <c r="DG48" s="6" t="e">
        <f>+DF48/#REF!</f>
        <v>#REF!</v>
      </c>
      <c r="DH48" s="124"/>
      <c r="DI48" s="7" t="e">
        <f>+DH48/#REF!</f>
        <v>#REF!</v>
      </c>
      <c r="DJ48" s="124"/>
      <c r="DK48" s="92"/>
      <c r="DL48" s="8" t="e">
        <f>+DK48/#REF!</f>
        <v>#REF!</v>
      </c>
      <c r="DM48" s="114"/>
      <c r="DN48" s="6" t="e">
        <f>+DM48/#REF!</f>
        <v>#REF!</v>
      </c>
      <c r="DO48" s="124"/>
      <c r="DP48" s="100" t="e">
        <f>+DO48/#REF!</f>
        <v>#REF!</v>
      </c>
      <c r="DQ48" s="114"/>
      <c r="DR48" s="115"/>
      <c r="DS48" s="8" t="e">
        <f>+DR48/#REF!</f>
        <v>#REF!</v>
      </c>
      <c r="DT48" s="114"/>
      <c r="DU48" s="6" t="e">
        <f>+DT48/#REF!</f>
        <v>#REF!</v>
      </c>
      <c r="DV48" s="124"/>
      <c r="DW48" s="7" t="e">
        <f>+DV48/#REF!</f>
        <v>#REF!</v>
      </c>
      <c r="DX48" s="124"/>
      <c r="DY48" s="92"/>
      <c r="DZ48" s="8" t="e">
        <f>+DY48/#REF!</f>
        <v>#REF!</v>
      </c>
      <c r="EA48" s="114"/>
      <c r="EB48" s="6" t="e">
        <f>+EA48/#REF!</f>
        <v>#REF!</v>
      </c>
      <c r="EC48" s="124"/>
      <c r="ED48" s="100" t="e">
        <f>+EC48/#REF!</f>
        <v>#REF!</v>
      </c>
      <c r="EE48" s="114"/>
      <c r="EF48" s="115"/>
      <c r="EG48" s="8" t="e">
        <f>+EF48/#REF!</f>
        <v>#REF!</v>
      </c>
      <c r="EH48" s="114"/>
      <c r="EI48" s="6" t="e">
        <f>+EH48/#REF!</f>
        <v>#REF!</v>
      </c>
      <c r="EJ48" s="124"/>
      <c r="EK48" s="7" t="e">
        <f>+EJ48/#REF!</f>
        <v>#REF!</v>
      </c>
      <c r="EL48" s="124"/>
      <c r="EM48" s="92"/>
      <c r="EN48" s="8" t="e">
        <f>+EM48/#REF!</f>
        <v>#REF!</v>
      </c>
    </row>
    <row r="49" spans="2:144" s="1" customFormat="1" ht="16.95" customHeight="1">
      <c r="B49" s="126">
        <v>141</v>
      </c>
      <c r="C49" s="18"/>
      <c r="D49" s="19"/>
      <c r="E49" s="20"/>
      <c r="F49" s="19"/>
      <c r="G49" s="32"/>
      <c r="H49" s="20" t="s">
        <v>65</v>
      </c>
      <c r="I49" s="19"/>
      <c r="J49" s="25"/>
      <c r="K49" s="105">
        <v>30</v>
      </c>
      <c r="L49" s="106">
        <v>70</v>
      </c>
      <c r="M49" s="107">
        <v>20</v>
      </c>
      <c r="N49" s="108">
        <v>20</v>
      </c>
      <c r="O49" s="108"/>
      <c r="P49" s="108">
        <v>10</v>
      </c>
      <c r="Q49" s="108">
        <v>10</v>
      </c>
      <c r="R49" s="108">
        <v>20</v>
      </c>
      <c r="S49" s="108">
        <v>20</v>
      </c>
      <c r="T49" s="128"/>
      <c r="U49" s="128"/>
      <c r="V49" s="89">
        <f t="shared" si="1"/>
        <v>1.6666666666666667</v>
      </c>
      <c r="W49" s="110" t="s">
        <v>113</v>
      </c>
      <c r="X49" s="63" t="s">
        <v>65</v>
      </c>
      <c r="Y49" s="108"/>
      <c r="Z49" s="108"/>
      <c r="AA49" s="108"/>
      <c r="AB49" s="123"/>
      <c r="AC49" s="128"/>
      <c r="AD49" s="109" t="s">
        <v>65</v>
      </c>
      <c r="AE49" s="108"/>
      <c r="AF49" s="64"/>
      <c r="AG49" s="116"/>
      <c r="AH49" s="6" t="e">
        <f>+AG49/#REF!</f>
        <v>#REF!</v>
      </c>
      <c r="AI49" s="124"/>
      <c r="AJ49" s="7" t="e">
        <f>+AI49/#REF!</f>
        <v>#REF!</v>
      </c>
      <c r="AK49" s="124"/>
      <c r="AL49" s="125"/>
      <c r="AM49" s="97" t="e">
        <f>+AL49/#REF!</f>
        <v>#REF!</v>
      </c>
      <c r="AN49" s="114"/>
      <c r="AO49" s="6" t="e">
        <f>+AN49/#REF!</f>
        <v>#REF!</v>
      </c>
      <c r="AP49" s="124"/>
      <c r="AQ49" s="7" t="e">
        <f>+AP49/#REF!</f>
        <v>#REF!</v>
      </c>
      <c r="AR49" s="124"/>
      <c r="AS49" s="124"/>
      <c r="AT49" s="97" t="e">
        <f>+AS49/#REF!</f>
        <v>#REF!</v>
      </c>
      <c r="AU49" s="114"/>
      <c r="AV49" s="6" t="e">
        <f>+AU49/#REF!</f>
        <v>#REF!</v>
      </c>
      <c r="AW49" s="124"/>
      <c r="AX49" s="7" t="e">
        <f>+AW49/#REF!</f>
        <v>#REF!</v>
      </c>
      <c r="AY49" s="124"/>
      <c r="AZ49" s="125"/>
      <c r="BA49" s="97" t="e">
        <f>+AZ49/#REF!</f>
        <v>#REF!</v>
      </c>
      <c r="BB49" s="114"/>
      <c r="BC49" s="6"/>
      <c r="BD49" s="124"/>
      <c r="BE49" s="7"/>
      <c r="BF49" s="124"/>
      <c r="BG49" s="124"/>
      <c r="BH49" s="8"/>
      <c r="BI49" s="114"/>
      <c r="BJ49" s="6"/>
      <c r="BK49" s="124"/>
      <c r="BL49" s="7"/>
      <c r="BM49" s="124"/>
      <c r="BN49" s="99"/>
      <c r="BO49" s="8"/>
      <c r="BP49" s="114"/>
      <c r="BQ49" s="6"/>
      <c r="BR49" s="124"/>
      <c r="BS49" s="7"/>
      <c r="BT49" s="124"/>
      <c r="BU49" s="124"/>
      <c r="BV49" s="8"/>
      <c r="BW49" s="114"/>
      <c r="BX49" s="6" t="e">
        <f>+BW49/#REF!</f>
        <v>#REF!</v>
      </c>
      <c r="BY49" s="124"/>
      <c r="BZ49" s="7" t="e">
        <f>+BY49/#REF!</f>
        <v>#REF!</v>
      </c>
      <c r="CA49" s="124"/>
      <c r="CB49" s="99"/>
      <c r="CC49" s="8" t="e">
        <f>+CB49/#REF!</f>
        <v>#REF!</v>
      </c>
      <c r="CD49" s="114"/>
      <c r="CE49" s="6" t="e">
        <f>+CD49/#REF!</f>
        <v>#REF!</v>
      </c>
      <c r="CF49" s="124"/>
      <c r="CG49" s="7" t="e">
        <f>+CF49/#REF!</f>
        <v>#REF!</v>
      </c>
      <c r="CH49" s="124"/>
      <c r="CI49" s="99"/>
      <c r="CJ49" s="8" t="e">
        <f>+CI49/#REF!</f>
        <v>#REF!</v>
      </c>
      <c r="CK49" s="114"/>
      <c r="CL49" s="6" t="e">
        <f>+CK49/#REF!</f>
        <v>#REF!</v>
      </c>
      <c r="CM49" s="124"/>
      <c r="CN49" s="100" t="e">
        <f>+CM49/#REF!</f>
        <v>#REF!</v>
      </c>
      <c r="CO49" s="114"/>
      <c r="CP49" s="115">
        <f>CK49*5</f>
        <v>0</v>
      </c>
      <c r="CQ49" s="8" t="e">
        <f>+CP49/#REF!</f>
        <v>#REF!</v>
      </c>
      <c r="CR49" s="114"/>
      <c r="CS49" s="6" t="e">
        <f>+CR49/#REF!</f>
        <v>#REF!</v>
      </c>
      <c r="CT49" s="124"/>
      <c r="CU49" s="7" t="e">
        <f>+CT49/#REF!</f>
        <v>#REF!</v>
      </c>
      <c r="CV49" s="124"/>
      <c r="CW49" s="92"/>
      <c r="CX49" s="8" t="e">
        <f>+CW49/#REF!</f>
        <v>#REF!</v>
      </c>
      <c r="CY49" s="114"/>
      <c r="CZ49" s="6" t="e">
        <f>+CY49/#REF!</f>
        <v>#REF!</v>
      </c>
      <c r="DA49" s="124"/>
      <c r="DB49" s="7" t="e">
        <f>+DA49/#REF!</f>
        <v>#REF!</v>
      </c>
      <c r="DC49" s="116"/>
      <c r="DD49" s="99"/>
      <c r="DE49" s="8" t="e">
        <f>+DD49/#REF!</f>
        <v>#REF!</v>
      </c>
      <c r="DF49" s="114"/>
      <c r="DG49" s="6" t="e">
        <f>+DF49/#REF!</f>
        <v>#REF!</v>
      </c>
      <c r="DH49" s="124"/>
      <c r="DI49" s="7" t="e">
        <f>+DH49/#REF!</f>
        <v>#REF!</v>
      </c>
      <c r="DJ49" s="124"/>
      <c r="DK49" s="92"/>
      <c r="DL49" s="8" t="e">
        <f>+DK49/#REF!</f>
        <v>#REF!</v>
      </c>
      <c r="DM49" s="114"/>
      <c r="DN49" s="6" t="e">
        <f>+DM49/#REF!</f>
        <v>#REF!</v>
      </c>
      <c r="DO49" s="124"/>
      <c r="DP49" s="100" t="e">
        <f>+DO49/#REF!</f>
        <v>#REF!</v>
      </c>
      <c r="DQ49" s="114"/>
      <c r="DR49" s="115"/>
      <c r="DS49" s="8" t="e">
        <f>+DR49/#REF!</f>
        <v>#REF!</v>
      </c>
      <c r="DT49" s="114"/>
      <c r="DU49" s="6" t="e">
        <f>+DT49/#REF!</f>
        <v>#REF!</v>
      </c>
      <c r="DV49" s="124"/>
      <c r="DW49" s="7" t="e">
        <f>+DV49/#REF!</f>
        <v>#REF!</v>
      </c>
      <c r="DX49" s="124"/>
      <c r="DY49" s="92"/>
      <c r="DZ49" s="8" t="e">
        <f>+DY49/#REF!</f>
        <v>#REF!</v>
      </c>
      <c r="EA49" s="114">
        <v>3</v>
      </c>
      <c r="EB49" s="6" t="e">
        <f>+EA49/#REF!</f>
        <v>#REF!</v>
      </c>
      <c r="EC49" s="124">
        <v>1</v>
      </c>
      <c r="ED49" s="100" t="e">
        <f>+EC49/#REF!</f>
        <v>#REF!</v>
      </c>
      <c r="EE49" s="114"/>
      <c r="EF49" s="115"/>
      <c r="EG49" s="8" t="e">
        <f>+EF49/#REF!</f>
        <v>#REF!</v>
      </c>
      <c r="EH49" s="114"/>
      <c r="EI49" s="6" t="e">
        <f>+EH49/#REF!</f>
        <v>#REF!</v>
      </c>
      <c r="EJ49" s="124"/>
      <c r="EK49" s="7" t="e">
        <f>+EJ49/#REF!</f>
        <v>#REF!</v>
      </c>
      <c r="EL49" s="124"/>
      <c r="EM49" s="92"/>
      <c r="EN49" s="8" t="e">
        <f>+EM49/#REF!</f>
        <v>#REF!</v>
      </c>
    </row>
    <row r="50" spans="2:144" s="1" customFormat="1" ht="16.95" customHeight="1">
      <c r="B50" s="126" t="s">
        <v>114</v>
      </c>
      <c r="C50" s="18"/>
      <c r="D50" s="19"/>
      <c r="E50" s="20"/>
      <c r="F50" s="19"/>
      <c r="G50" s="32" t="s">
        <v>65</v>
      </c>
      <c r="H50" s="20"/>
      <c r="I50" s="19"/>
      <c r="J50" s="25"/>
      <c r="K50" s="105">
        <v>30</v>
      </c>
      <c r="L50" s="106">
        <v>70</v>
      </c>
      <c r="M50" s="107">
        <v>20</v>
      </c>
      <c r="N50" s="108">
        <v>20</v>
      </c>
      <c r="O50" s="108"/>
      <c r="P50" s="108">
        <v>10</v>
      </c>
      <c r="Q50" s="108">
        <v>10</v>
      </c>
      <c r="R50" s="108">
        <v>20</v>
      </c>
      <c r="S50" s="108">
        <v>20</v>
      </c>
      <c r="T50" s="128"/>
      <c r="U50" s="128"/>
      <c r="V50" s="89">
        <f t="shared" si="1"/>
        <v>1.6666666666666667</v>
      </c>
      <c r="W50" s="110" t="s">
        <v>112</v>
      </c>
      <c r="X50" s="105" t="s">
        <v>65</v>
      </c>
      <c r="Y50" s="108" t="s">
        <v>65</v>
      </c>
      <c r="Z50" s="108"/>
      <c r="AA50" s="108" t="s">
        <v>65</v>
      </c>
      <c r="AB50" s="108"/>
      <c r="AC50" s="108"/>
      <c r="AD50" s="108" t="s">
        <v>65</v>
      </c>
      <c r="AE50" s="108"/>
      <c r="AF50" s="109" t="s">
        <v>65</v>
      </c>
      <c r="AG50" s="116"/>
      <c r="AH50" s="6" t="e">
        <f>+AG50/#REF!</f>
        <v>#REF!</v>
      </c>
      <c r="AI50" s="124"/>
      <c r="AJ50" s="7" t="e">
        <f>+AI50/#REF!</f>
        <v>#REF!</v>
      </c>
      <c r="AK50" s="124"/>
      <c r="AL50" s="125"/>
      <c r="AM50" s="97" t="e">
        <f>+AL50/#REF!</f>
        <v>#REF!</v>
      </c>
      <c r="AN50" s="114"/>
      <c r="AO50" s="6" t="e">
        <f>+AN50/#REF!</f>
        <v>#REF!</v>
      </c>
      <c r="AP50" s="124"/>
      <c r="AQ50" s="7" t="e">
        <f>+AP50/#REF!</f>
        <v>#REF!</v>
      </c>
      <c r="AR50" s="124"/>
      <c r="AS50" s="124"/>
      <c r="AT50" s="97" t="e">
        <f>+AS50/#REF!</f>
        <v>#REF!</v>
      </c>
      <c r="AU50" s="114"/>
      <c r="AV50" s="6" t="e">
        <f>+AU50/#REF!</f>
        <v>#REF!</v>
      </c>
      <c r="AW50" s="124"/>
      <c r="AX50" s="7" t="e">
        <f>+AW50/#REF!</f>
        <v>#REF!</v>
      </c>
      <c r="AY50" s="124"/>
      <c r="AZ50" s="125"/>
      <c r="BA50" s="97" t="e">
        <f>+AZ50/#REF!</f>
        <v>#REF!</v>
      </c>
      <c r="BB50" s="114"/>
      <c r="BC50" s="6" t="e">
        <f>+BB50/#REF!</f>
        <v>#REF!</v>
      </c>
      <c r="BD50" s="124"/>
      <c r="BE50" s="7" t="e">
        <f>+BD50/#REF!</f>
        <v>#REF!</v>
      </c>
      <c r="BF50" s="124"/>
      <c r="BG50" s="124"/>
      <c r="BH50" s="8" t="e">
        <f>+BG50/#REF!</f>
        <v>#REF!</v>
      </c>
      <c r="BI50" s="114"/>
      <c r="BJ50" s="6" t="e">
        <f>+BI50/#REF!</f>
        <v>#REF!</v>
      </c>
      <c r="BK50" s="124"/>
      <c r="BL50" s="7" t="e">
        <f>+BK50/#REF!</f>
        <v>#REF!</v>
      </c>
      <c r="BM50" s="124"/>
      <c r="BN50" s="99"/>
      <c r="BO50" s="8" t="e">
        <f>+BN50/#REF!</f>
        <v>#REF!</v>
      </c>
      <c r="BP50" s="114"/>
      <c r="BQ50" s="6" t="e">
        <f>+BP50/#REF!</f>
        <v>#REF!</v>
      </c>
      <c r="BR50" s="124"/>
      <c r="BS50" s="7" t="e">
        <f>+BR50/#REF!</f>
        <v>#REF!</v>
      </c>
      <c r="BT50" s="124"/>
      <c r="BU50" s="124"/>
      <c r="BV50" s="8" t="e">
        <f>+BU50/#REF!</f>
        <v>#REF!</v>
      </c>
      <c r="BW50" s="114"/>
      <c r="BX50" s="6" t="e">
        <f>+BW50/#REF!</f>
        <v>#REF!</v>
      </c>
      <c r="BY50" s="124"/>
      <c r="BZ50" s="7" t="e">
        <f>+BY50/#REF!</f>
        <v>#REF!</v>
      </c>
      <c r="CA50" s="124"/>
      <c r="CB50" s="99"/>
      <c r="CC50" s="8" t="e">
        <f>+CB50/#REF!</f>
        <v>#REF!</v>
      </c>
      <c r="CD50" s="114"/>
      <c r="CE50" s="6" t="e">
        <f>+CD50/#REF!</f>
        <v>#REF!</v>
      </c>
      <c r="CF50" s="124"/>
      <c r="CG50" s="7" t="e">
        <f>+CF50/#REF!</f>
        <v>#REF!</v>
      </c>
      <c r="CH50" s="124"/>
      <c r="CI50" s="99"/>
      <c r="CJ50" s="8" t="e">
        <f>+CI50/#REF!</f>
        <v>#REF!</v>
      </c>
      <c r="CK50" s="114"/>
      <c r="CL50" s="6" t="e">
        <f>+CK50/#REF!</f>
        <v>#REF!</v>
      </c>
      <c r="CM50" s="124"/>
      <c r="CN50" s="100" t="e">
        <f>+CM50/#REF!</f>
        <v>#REF!</v>
      </c>
      <c r="CO50" s="114"/>
      <c r="CP50" s="115"/>
      <c r="CQ50" s="8" t="e">
        <f>+CP50/#REF!</f>
        <v>#REF!</v>
      </c>
      <c r="CR50" s="114"/>
      <c r="CS50" s="6" t="e">
        <f>+CR50/#REF!</f>
        <v>#REF!</v>
      </c>
      <c r="CT50" s="124"/>
      <c r="CU50" s="7" t="e">
        <f>+CT50/#REF!</f>
        <v>#REF!</v>
      </c>
      <c r="CV50" s="124"/>
      <c r="CW50" s="92"/>
      <c r="CX50" s="8" t="e">
        <f>+CW50/#REF!</f>
        <v>#REF!</v>
      </c>
      <c r="CY50" s="114">
        <v>21</v>
      </c>
      <c r="CZ50" s="6" t="e">
        <f>+CY50/#REF!</f>
        <v>#REF!</v>
      </c>
      <c r="DA50" s="124">
        <v>21</v>
      </c>
      <c r="DB50" s="7" t="e">
        <f>+DA50/#REF!</f>
        <v>#REF!</v>
      </c>
      <c r="DC50" s="116">
        <v>5443</v>
      </c>
      <c r="DD50" s="99">
        <f>CY50*2</f>
        <v>42</v>
      </c>
      <c r="DE50" s="8" t="e">
        <f>+DD50/#REF!</f>
        <v>#REF!</v>
      </c>
      <c r="DF50" s="114"/>
      <c r="DG50" s="6" t="e">
        <f>+DF50/#REF!</f>
        <v>#REF!</v>
      </c>
      <c r="DH50" s="124"/>
      <c r="DI50" s="7" t="e">
        <f>+DH50/#REF!</f>
        <v>#REF!</v>
      </c>
      <c r="DJ50" s="124"/>
      <c r="DK50" s="92"/>
      <c r="DL50" s="8" t="e">
        <f>+DK50/#REF!</f>
        <v>#REF!</v>
      </c>
      <c r="DM50" s="114"/>
      <c r="DN50" s="6" t="e">
        <f>+DM50/#REF!</f>
        <v>#REF!</v>
      </c>
      <c r="DO50" s="124"/>
      <c r="DP50" s="100" t="e">
        <f>+DO50/#REF!</f>
        <v>#REF!</v>
      </c>
      <c r="DQ50" s="114"/>
      <c r="DR50" s="115"/>
      <c r="DS50" s="8" t="e">
        <f>+DR50/#REF!</f>
        <v>#REF!</v>
      </c>
      <c r="DT50" s="114"/>
      <c r="DU50" s="6" t="e">
        <f>+DT50/#REF!</f>
        <v>#REF!</v>
      </c>
      <c r="DV50" s="124"/>
      <c r="DW50" s="7" t="e">
        <f>+DV50/#REF!</f>
        <v>#REF!</v>
      </c>
      <c r="DX50" s="124"/>
      <c r="DY50" s="92"/>
      <c r="DZ50" s="8" t="e">
        <f>+DY50/#REF!</f>
        <v>#REF!</v>
      </c>
      <c r="EA50" s="114">
        <v>16</v>
      </c>
      <c r="EB50" s="6" t="e">
        <f>+EA50/#REF!</f>
        <v>#REF!</v>
      </c>
      <c r="EC50" s="124">
        <v>12</v>
      </c>
      <c r="ED50" s="100" t="e">
        <f>+EC50/#REF!</f>
        <v>#REF!</v>
      </c>
      <c r="EE50" s="114"/>
      <c r="EF50" s="115"/>
      <c r="EG50" s="8" t="e">
        <f>+EF50/#REF!</f>
        <v>#REF!</v>
      </c>
      <c r="EH50" s="114">
        <v>157</v>
      </c>
      <c r="EI50" s="6" t="e">
        <f>+EH50/#REF!</f>
        <v>#REF!</v>
      </c>
      <c r="EJ50" s="124">
        <v>33</v>
      </c>
      <c r="EK50" s="7" t="e">
        <f>+EJ50/#REF!</f>
        <v>#REF!</v>
      </c>
      <c r="EL50" s="124"/>
      <c r="EM50" s="92"/>
      <c r="EN50" s="8" t="e">
        <f>+EM50/#REF!</f>
        <v>#REF!</v>
      </c>
    </row>
    <row r="51" spans="2:144" s="1" customFormat="1" ht="16.95" customHeight="1">
      <c r="B51" s="126" t="s">
        <v>115</v>
      </c>
      <c r="C51" s="18"/>
      <c r="D51" s="19"/>
      <c r="E51" s="20" t="s">
        <v>65</v>
      </c>
      <c r="F51" s="19"/>
      <c r="G51" s="19"/>
      <c r="H51" s="20"/>
      <c r="I51" s="19"/>
      <c r="J51" s="25"/>
      <c r="K51" s="105">
        <v>30</v>
      </c>
      <c r="L51" s="106">
        <v>70</v>
      </c>
      <c r="M51" s="107">
        <v>20</v>
      </c>
      <c r="N51" s="108">
        <v>20</v>
      </c>
      <c r="O51" s="108"/>
      <c r="P51" s="108">
        <v>10</v>
      </c>
      <c r="Q51" s="108">
        <v>10</v>
      </c>
      <c r="R51" s="108">
        <v>20</v>
      </c>
      <c r="S51" s="108">
        <v>20</v>
      </c>
      <c r="T51" s="128"/>
      <c r="U51" s="128"/>
      <c r="V51" s="89">
        <f t="shared" si="1"/>
        <v>1.6666666666666667</v>
      </c>
      <c r="W51" s="110" t="s">
        <v>116</v>
      </c>
      <c r="X51" s="63" t="s">
        <v>65</v>
      </c>
      <c r="Y51" s="108"/>
      <c r="Z51" s="108"/>
      <c r="AA51" s="108" t="s">
        <v>65</v>
      </c>
      <c r="AB51" s="123"/>
      <c r="AC51" s="108"/>
      <c r="AD51" s="64" t="s">
        <v>65</v>
      </c>
      <c r="AE51" s="108" t="s">
        <v>65</v>
      </c>
      <c r="AF51" s="109" t="s">
        <v>65</v>
      </c>
      <c r="AG51" s="116"/>
      <c r="AH51" s="6" t="e">
        <f>+AG51/#REF!</f>
        <v>#REF!</v>
      </c>
      <c r="AI51" s="124"/>
      <c r="AJ51" s="7" t="e">
        <f>+AI51/#REF!</f>
        <v>#REF!</v>
      </c>
      <c r="AK51" s="124"/>
      <c r="AL51" s="125"/>
      <c r="AM51" s="97" t="e">
        <f>+AL51/#REF!</f>
        <v>#REF!</v>
      </c>
      <c r="AN51" s="114"/>
      <c r="AO51" s="6" t="e">
        <f>+AN51/#REF!</f>
        <v>#REF!</v>
      </c>
      <c r="AP51" s="124"/>
      <c r="AQ51" s="7" t="e">
        <f>+AP51/#REF!</f>
        <v>#REF!</v>
      </c>
      <c r="AR51" s="124"/>
      <c r="AS51" s="124"/>
      <c r="AT51" s="97" t="e">
        <f>+AS51/#REF!</f>
        <v>#REF!</v>
      </c>
      <c r="AU51" s="114"/>
      <c r="AV51" s="6" t="e">
        <f>+AU51/#REF!</f>
        <v>#REF!</v>
      </c>
      <c r="AW51" s="124"/>
      <c r="AX51" s="7" t="e">
        <f>+AW51/#REF!</f>
        <v>#REF!</v>
      </c>
      <c r="AY51" s="124"/>
      <c r="AZ51" s="125"/>
      <c r="BA51" s="97" t="e">
        <f>+AZ51/#REF!</f>
        <v>#REF!</v>
      </c>
      <c r="BB51" s="114"/>
      <c r="BC51" s="6" t="e">
        <f>+BB51/#REF!</f>
        <v>#REF!</v>
      </c>
      <c r="BD51" s="124"/>
      <c r="BE51" s="7" t="e">
        <f>+BD51/#REF!</f>
        <v>#REF!</v>
      </c>
      <c r="BF51" s="124"/>
      <c r="BG51" s="124"/>
      <c r="BH51" s="8" t="e">
        <f>+BG51/#REF!</f>
        <v>#REF!</v>
      </c>
      <c r="BI51" s="114"/>
      <c r="BJ51" s="6" t="e">
        <f>+BI51/#REF!</f>
        <v>#REF!</v>
      </c>
      <c r="BK51" s="124"/>
      <c r="BL51" s="7" t="e">
        <f>+BK51/#REF!</f>
        <v>#REF!</v>
      </c>
      <c r="BM51" s="124"/>
      <c r="BN51" s="99"/>
      <c r="BO51" s="8" t="e">
        <f>+BN51/#REF!</f>
        <v>#REF!</v>
      </c>
      <c r="BP51" s="114"/>
      <c r="BQ51" s="6" t="e">
        <f>+BP51/#REF!</f>
        <v>#REF!</v>
      </c>
      <c r="BR51" s="124"/>
      <c r="BS51" s="7" t="e">
        <f>+BR51/#REF!</f>
        <v>#REF!</v>
      </c>
      <c r="BT51" s="124"/>
      <c r="BU51" s="124"/>
      <c r="BV51" s="8" t="e">
        <f>+BU51/#REF!</f>
        <v>#REF!</v>
      </c>
      <c r="BW51" s="114"/>
      <c r="BX51" s="6" t="e">
        <f>+BW51/#REF!</f>
        <v>#REF!</v>
      </c>
      <c r="BY51" s="124"/>
      <c r="BZ51" s="7" t="e">
        <f>+BY51/#REF!</f>
        <v>#REF!</v>
      </c>
      <c r="CA51" s="124"/>
      <c r="CB51" s="99"/>
      <c r="CC51" s="8" t="e">
        <f>+CB51/#REF!</f>
        <v>#REF!</v>
      </c>
      <c r="CD51" s="114"/>
      <c r="CE51" s="6" t="e">
        <f>+CD51/#REF!</f>
        <v>#REF!</v>
      </c>
      <c r="CF51" s="124"/>
      <c r="CG51" s="7" t="e">
        <f>+CF51/#REF!</f>
        <v>#REF!</v>
      </c>
      <c r="CH51" s="124"/>
      <c r="CI51" s="99"/>
      <c r="CJ51" s="8" t="e">
        <f>+CI51/#REF!</f>
        <v>#REF!</v>
      </c>
      <c r="CK51" s="114">
        <v>3</v>
      </c>
      <c r="CL51" s="6" t="e">
        <f>+CK51/#REF!</f>
        <v>#REF!</v>
      </c>
      <c r="CM51" s="124">
        <v>3</v>
      </c>
      <c r="CN51" s="100" t="e">
        <f>+CM51/#REF!</f>
        <v>#REF!</v>
      </c>
      <c r="CO51" s="114">
        <v>12763</v>
      </c>
      <c r="CP51" s="115">
        <f>CK51*5</f>
        <v>15</v>
      </c>
      <c r="CQ51" s="8" t="e">
        <f>+CP51/#REF!</f>
        <v>#REF!</v>
      </c>
      <c r="CR51" s="114"/>
      <c r="CS51" s="6" t="e">
        <f>+CR51/#REF!</f>
        <v>#REF!</v>
      </c>
      <c r="CT51" s="124"/>
      <c r="CU51" s="7" t="e">
        <f>+CT51/#REF!</f>
        <v>#REF!</v>
      </c>
      <c r="CV51" s="124"/>
      <c r="CW51" s="92"/>
      <c r="CX51" s="8" t="e">
        <f>+CW51/#REF!</f>
        <v>#REF!</v>
      </c>
      <c r="CY51" s="114"/>
      <c r="CZ51" s="6" t="e">
        <f>+CY51/#REF!</f>
        <v>#REF!</v>
      </c>
      <c r="DA51" s="124"/>
      <c r="DB51" s="7" t="e">
        <f>+DA51/#REF!</f>
        <v>#REF!</v>
      </c>
      <c r="DC51" s="116"/>
      <c r="DD51" s="99"/>
      <c r="DE51" s="8" t="e">
        <f>+DD51/#REF!</f>
        <v>#REF!</v>
      </c>
      <c r="DF51" s="114"/>
      <c r="DG51" s="6" t="e">
        <f>+DF51/#REF!</f>
        <v>#REF!</v>
      </c>
      <c r="DH51" s="124"/>
      <c r="DI51" s="7" t="e">
        <f>+DH51/#REF!</f>
        <v>#REF!</v>
      </c>
      <c r="DJ51" s="124"/>
      <c r="DK51" s="92"/>
      <c r="DL51" s="8" t="e">
        <f>+DK51/#REF!</f>
        <v>#REF!</v>
      </c>
      <c r="DM51" s="114"/>
      <c r="DN51" s="6" t="e">
        <f>+DM51/#REF!</f>
        <v>#REF!</v>
      </c>
      <c r="DO51" s="124"/>
      <c r="DP51" s="100" t="e">
        <f>+DO51/#REF!</f>
        <v>#REF!</v>
      </c>
      <c r="DQ51" s="114"/>
      <c r="DR51" s="115"/>
      <c r="DS51" s="8" t="e">
        <f>+DR51/#REF!</f>
        <v>#REF!</v>
      </c>
      <c r="DT51" s="114"/>
      <c r="DU51" s="6" t="e">
        <f>+DT51/#REF!</f>
        <v>#REF!</v>
      </c>
      <c r="DV51" s="124"/>
      <c r="DW51" s="7" t="e">
        <f>+DV51/#REF!</f>
        <v>#REF!</v>
      </c>
      <c r="DX51" s="124"/>
      <c r="DY51" s="92"/>
      <c r="DZ51" s="8" t="e">
        <f>+DY51/#REF!</f>
        <v>#REF!</v>
      </c>
      <c r="EA51" s="114"/>
      <c r="EB51" s="6" t="e">
        <f>+EA51/#REF!</f>
        <v>#REF!</v>
      </c>
      <c r="EC51" s="124"/>
      <c r="ED51" s="100" t="e">
        <f>+EC51/#REF!</f>
        <v>#REF!</v>
      </c>
      <c r="EE51" s="114"/>
      <c r="EF51" s="115"/>
      <c r="EG51" s="8" t="e">
        <f>+EF51/#REF!</f>
        <v>#REF!</v>
      </c>
      <c r="EH51" s="114"/>
      <c r="EI51" s="6" t="e">
        <f>+EH51/#REF!</f>
        <v>#REF!</v>
      </c>
      <c r="EJ51" s="124"/>
      <c r="EK51" s="7" t="e">
        <f>+EJ51/#REF!</f>
        <v>#REF!</v>
      </c>
      <c r="EL51" s="124"/>
      <c r="EM51" s="92"/>
      <c r="EN51" s="8" t="e">
        <f>+EM51/#REF!</f>
        <v>#REF!</v>
      </c>
    </row>
    <row r="52" spans="2:144" s="1" customFormat="1" ht="16.95" customHeight="1">
      <c r="B52" s="126" t="s">
        <v>117</v>
      </c>
      <c r="C52" s="31"/>
      <c r="D52" s="32"/>
      <c r="E52" s="35"/>
      <c r="F52" s="32"/>
      <c r="G52" s="32"/>
      <c r="H52" s="35" t="s">
        <v>65</v>
      </c>
      <c r="I52" s="19"/>
      <c r="J52" s="34"/>
      <c r="K52" s="105">
        <v>30</v>
      </c>
      <c r="L52" s="106">
        <v>70</v>
      </c>
      <c r="M52" s="107">
        <v>20</v>
      </c>
      <c r="N52" s="108">
        <v>20</v>
      </c>
      <c r="O52" s="108"/>
      <c r="P52" s="108">
        <v>10</v>
      </c>
      <c r="Q52" s="108">
        <v>10</v>
      </c>
      <c r="R52" s="108">
        <v>20</v>
      </c>
      <c r="S52" s="108">
        <v>20</v>
      </c>
      <c r="T52" s="128"/>
      <c r="U52" s="128"/>
      <c r="V52" s="89">
        <f t="shared" si="1"/>
        <v>1.6666666666666667</v>
      </c>
      <c r="W52" s="110" t="s">
        <v>112</v>
      </c>
      <c r="X52" s="105" t="s">
        <v>65</v>
      </c>
      <c r="Y52" s="108" t="s">
        <v>65</v>
      </c>
      <c r="Z52" s="108"/>
      <c r="AA52" s="108" t="s">
        <v>65</v>
      </c>
      <c r="AB52" s="108"/>
      <c r="AC52" s="108"/>
      <c r="AD52" s="108" t="s">
        <v>65</v>
      </c>
      <c r="AE52" s="108"/>
      <c r="AF52" s="109" t="s">
        <v>65</v>
      </c>
      <c r="AG52" s="116"/>
      <c r="AH52" s="6" t="e">
        <f>+AG52/#REF!</f>
        <v>#REF!</v>
      </c>
      <c r="AI52" s="124"/>
      <c r="AJ52" s="7" t="e">
        <f>+AI52/#REF!</f>
        <v>#REF!</v>
      </c>
      <c r="AK52" s="124"/>
      <c r="AL52" s="125"/>
      <c r="AM52" s="97" t="e">
        <f>+AL52/#REF!</f>
        <v>#REF!</v>
      </c>
      <c r="AN52" s="114"/>
      <c r="AO52" s="6" t="e">
        <f>+AN52/#REF!</f>
        <v>#REF!</v>
      </c>
      <c r="AP52" s="124"/>
      <c r="AQ52" s="7" t="e">
        <f>+AP52/#REF!</f>
        <v>#REF!</v>
      </c>
      <c r="AR52" s="124"/>
      <c r="AS52" s="124"/>
      <c r="AT52" s="97" t="e">
        <f>+AS52/#REF!</f>
        <v>#REF!</v>
      </c>
      <c r="AU52" s="114"/>
      <c r="AV52" s="6" t="e">
        <f>+AU52/#REF!</f>
        <v>#REF!</v>
      </c>
      <c r="AW52" s="124"/>
      <c r="AX52" s="7" t="e">
        <f>+AW52/#REF!</f>
        <v>#REF!</v>
      </c>
      <c r="AY52" s="124"/>
      <c r="AZ52" s="125"/>
      <c r="BA52" s="97" t="e">
        <f>+AZ52/#REF!</f>
        <v>#REF!</v>
      </c>
      <c r="BB52" s="114"/>
      <c r="BC52" s="6" t="e">
        <f>+BB52/#REF!</f>
        <v>#REF!</v>
      </c>
      <c r="BD52" s="124"/>
      <c r="BE52" s="7" t="e">
        <f>+BD52/#REF!</f>
        <v>#REF!</v>
      </c>
      <c r="BF52" s="124"/>
      <c r="BG52" s="124"/>
      <c r="BH52" s="8" t="e">
        <f>+BG52/#REF!</f>
        <v>#REF!</v>
      </c>
      <c r="BI52" s="114"/>
      <c r="BJ52" s="6" t="e">
        <f>+BI52/#REF!</f>
        <v>#REF!</v>
      </c>
      <c r="BK52" s="124"/>
      <c r="BL52" s="7" t="e">
        <f>+BK52/#REF!</f>
        <v>#REF!</v>
      </c>
      <c r="BM52" s="124"/>
      <c r="BN52" s="99"/>
      <c r="BO52" s="8" t="e">
        <f>+BN52/#REF!</f>
        <v>#REF!</v>
      </c>
      <c r="BP52" s="114"/>
      <c r="BQ52" s="6" t="e">
        <f>+BP52/#REF!</f>
        <v>#REF!</v>
      </c>
      <c r="BR52" s="124"/>
      <c r="BS52" s="7" t="e">
        <f>+BR52/#REF!</f>
        <v>#REF!</v>
      </c>
      <c r="BT52" s="124"/>
      <c r="BU52" s="124"/>
      <c r="BV52" s="8" t="e">
        <f>+BU52/#REF!</f>
        <v>#REF!</v>
      </c>
      <c r="BW52" s="114">
        <v>8</v>
      </c>
      <c r="BX52" s="6" t="e">
        <f>+BW52/#REF!</f>
        <v>#REF!</v>
      </c>
      <c r="BY52" s="124">
        <v>8</v>
      </c>
      <c r="BZ52" s="7" t="e">
        <f>+BY52/#REF!</f>
        <v>#REF!</v>
      </c>
      <c r="CA52" s="114">
        <v>2322</v>
      </c>
      <c r="CB52" s="99">
        <f>BW52*1</f>
        <v>8</v>
      </c>
      <c r="CC52" s="8" t="e">
        <f>+CB52/#REF!</f>
        <v>#REF!</v>
      </c>
      <c r="CD52" s="114"/>
      <c r="CE52" s="6" t="e">
        <f>+CD52/#REF!</f>
        <v>#REF!</v>
      </c>
      <c r="CF52" s="124"/>
      <c r="CG52" s="7" t="e">
        <f>+CF52/#REF!</f>
        <v>#REF!</v>
      </c>
      <c r="CH52" s="124"/>
      <c r="CI52" s="99"/>
      <c r="CJ52" s="8" t="e">
        <f>+CI52/#REF!</f>
        <v>#REF!</v>
      </c>
      <c r="CK52" s="114">
        <v>31</v>
      </c>
      <c r="CL52" s="6" t="e">
        <f>+CK52/#REF!</f>
        <v>#REF!</v>
      </c>
      <c r="CM52" s="124">
        <v>14</v>
      </c>
      <c r="CN52" s="100" t="e">
        <f>+CM52/#REF!</f>
        <v>#REF!</v>
      </c>
      <c r="CO52" s="114">
        <v>2322</v>
      </c>
      <c r="CP52" s="129">
        <f>CK52*1</f>
        <v>31</v>
      </c>
      <c r="CQ52" s="8" t="e">
        <f>+CP52/#REF!</f>
        <v>#REF!</v>
      </c>
      <c r="CR52" s="114"/>
      <c r="CS52" s="6" t="e">
        <f>+CR52/#REF!</f>
        <v>#REF!</v>
      </c>
      <c r="CT52" s="124"/>
      <c r="CU52" s="7" t="e">
        <f>+CT52/#REF!</f>
        <v>#REF!</v>
      </c>
      <c r="CV52" s="124"/>
      <c r="CW52" s="92"/>
      <c r="CX52" s="8" t="e">
        <f>+CW52/#REF!</f>
        <v>#REF!</v>
      </c>
      <c r="CY52" s="114">
        <v>82</v>
      </c>
      <c r="CZ52" s="6" t="e">
        <f>+CY52/#REF!</f>
        <v>#REF!</v>
      </c>
      <c r="DA52" s="124">
        <v>36</v>
      </c>
      <c r="DB52" s="7" t="e">
        <f>+DA52/#REF!</f>
        <v>#REF!</v>
      </c>
      <c r="DC52" s="116">
        <v>4650</v>
      </c>
      <c r="DD52" s="124">
        <f>CY52*2</f>
        <v>164</v>
      </c>
      <c r="DE52" s="8" t="e">
        <f>+DD52/#REF!</f>
        <v>#REF!</v>
      </c>
      <c r="DF52" s="114">
        <v>16</v>
      </c>
      <c r="DG52" s="6" t="e">
        <f>+DF52/#REF!</f>
        <v>#REF!</v>
      </c>
      <c r="DH52" s="124">
        <v>3</v>
      </c>
      <c r="DI52" s="7" t="e">
        <f>+DH52/#REF!</f>
        <v>#REF!</v>
      </c>
      <c r="DJ52" s="124">
        <v>2836</v>
      </c>
      <c r="DK52" s="92">
        <f>DF52*1</f>
        <v>16</v>
      </c>
      <c r="DL52" s="8" t="e">
        <f>+DK52/#REF!</f>
        <v>#REF!</v>
      </c>
      <c r="DM52" s="114">
        <v>20</v>
      </c>
      <c r="DN52" s="6" t="e">
        <f>+DM52/#REF!</f>
        <v>#REF!</v>
      </c>
      <c r="DO52" s="124">
        <v>13</v>
      </c>
      <c r="DP52" s="100" t="e">
        <f>+DO52/#REF!</f>
        <v>#REF!</v>
      </c>
      <c r="DQ52" s="114">
        <v>3235</v>
      </c>
      <c r="DR52" s="129">
        <f>DQ52*2</f>
        <v>6470</v>
      </c>
      <c r="DS52" s="8" t="e">
        <f>+DR52/#REF!</f>
        <v>#REF!</v>
      </c>
      <c r="DT52" s="114">
        <v>8</v>
      </c>
      <c r="DU52" s="6" t="e">
        <f>+DT52/#REF!</f>
        <v>#REF!</v>
      </c>
      <c r="DV52" s="124">
        <v>2</v>
      </c>
      <c r="DW52" s="7" t="e">
        <f>+DV52/#REF!</f>
        <v>#REF!</v>
      </c>
      <c r="DX52" s="124">
        <v>3728</v>
      </c>
      <c r="DY52" s="92">
        <f>DX52*2</f>
        <v>7456</v>
      </c>
      <c r="DZ52" s="8" t="e">
        <f>+DY52/#REF!</f>
        <v>#REF!</v>
      </c>
      <c r="EA52" s="114"/>
      <c r="EB52" s="6" t="e">
        <f>+EA52/#REF!</f>
        <v>#REF!</v>
      </c>
      <c r="EC52" s="124"/>
      <c r="ED52" s="100" t="e">
        <f>+EC52/#REF!</f>
        <v>#REF!</v>
      </c>
      <c r="EE52" s="114"/>
      <c r="EF52" s="129">
        <f>EE52*2</f>
        <v>0</v>
      </c>
      <c r="EG52" s="8" t="e">
        <f>+EF52/#REF!</f>
        <v>#REF!</v>
      </c>
      <c r="EH52" s="114"/>
      <c r="EI52" s="6" t="e">
        <f>+EH52/#REF!</f>
        <v>#REF!</v>
      </c>
      <c r="EJ52" s="124"/>
      <c r="EK52" s="7" t="e">
        <f>+EJ52/#REF!</f>
        <v>#REF!</v>
      </c>
      <c r="EL52" s="124"/>
      <c r="EM52" s="92"/>
      <c r="EN52" s="8" t="e">
        <f>+EM52/#REF!</f>
        <v>#REF!</v>
      </c>
    </row>
    <row r="53" spans="2:144" s="1" customFormat="1" ht="16.95" customHeight="1" thickBot="1">
      <c r="B53" s="130" t="s">
        <v>118</v>
      </c>
      <c r="C53" s="36"/>
      <c r="D53" s="37"/>
      <c r="E53" s="37"/>
      <c r="F53" s="37"/>
      <c r="G53" s="37"/>
      <c r="H53" s="38"/>
      <c r="I53" s="38"/>
      <c r="J53" s="39" t="s">
        <v>65</v>
      </c>
      <c r="K53" s="131">
        <v>30</v>
      </c>
      <c r="L53" s="132">
        <v>70</v>
      </c>
      <c r="M53" s="133">
        <v>40</v>
      </c>
      <c r="N53" s="134">
        <v>40</v>
      </c>
      <c r="O53" s="134">
        <v>30</v>
      </c>
      <c r="P53" s="134">
        <v>20</v>
      </c>
      <c r="Q53" s="134">
        <v>20</v>
      </c>
      <c r="R53" s="134">
        <v>30</v>
      </c>
      <c r="S53" s="134">
        <v>50</v>
      </c>
      <c r="T53" s="135"/>
      <c r="U53" s="136"/>
      <c r="V53" s="137">
        <f t="shared" si="1"/>
        <v>3.8333333333333335</v>
      </c>
      <c r="W53" s="138" t="s">
        <v>112</v>
      </c>
      <c r="X53" s="139" t="s">
        <v>65</v>
      </c>
      <c r="Y53" s="135" t="s">
        <v>65</v>
      </c>
      <c r="Z53" s="135"/>
      <c r="AA53" s="123" t="s">
        <v>65</v>
      </c>
      <c r="AB53" s="135"/>
      <c r="AC53" s="135"/>
      <c r="AD53" s="135"/>
      <c r="AE53" s="135"/>
      <c r="AF53" s="136"/>
      <c r="AG53" s="140"/>
      <c r="AH53" s="141" t="e">
        <f>+AG53/#REF!</f>
        <v>#REF!</v>
      </c>
      <c r="AI53" s="142"/>
      <c r="AJ53" s="143" t="e">
        <f>+AI53/#REF!</f>
        <v>#REF!</v>
      </c>
      <c r="AK53" s="142"/>
      <c r="AL53" s="142"/>
      <c r="AM53" s="144" t="e">
        <f>+AL53/#REF!</f>
        <v>#REF!</v>
      </c>
      <c r="AN53" s="145"/>
      <c r="AO53" s="141" t="e">
        <f>+AN53/#REF!</f>
        <v>#REF!</v>
      </c>
      <c r="AP53" s="142"/>
      <c r="AQ53" s="143" t="e">
        <f>+AP53/#REF!</f>
        <v>#REF!</v>
      </c>
      <c r="AR53" s="142"/>
      <c r="AS53" s="142"/>
      <c r="AT53" s="144" t="e">
        <f>+AS53/#REF!</f>
        <v>#REF!</v>
      </c>
      <c r="AU53" s="145">
        <v>11</v>
      </c>
      <c r="AV53" s="141" t="e">
        <f>+AU53/#REF!</f>
        <v>#REF!</v>
      </c>
      <c r="AW53" s="142">
        <v>11</v>
      </c>
      <c r="AX53" s="143" t="e">
        <f>+AW53/#REF!</f>
        <v>#REF!</v>
      </c>
      <c r="AY53" s="142">
        <v>6072</v>
      </c>
      <c r="AZ53" s="142">
        <f>AU53*2</f>
        <v>22</v>
      </c>
      <c r="BA53" s="144" t="e">
        <f>+AZ53/#REF!</f>
        <v>#REF!</v>
      </c>
      <c r="BB53" s="145">
        <v>11</v>
      </c>
      <c r="BC53" s="141" t="e">
        <f>+BB53/#REF!</f>
        <v>#REF!</v>
      </c>
      <c r="BD53" s="142">
        <v>11</v>
      </c>
      <c r="BE53" s="143" t="e">
        <f>+BD53/#REF!</f>
        <v>#REF!</v>
      </c>
      <c r="BF53" s="142">
        <v>6072</v>
      </c>
      <c r="BG53" s="142">
        <f>BB53*2</f>
        <v>22</v>
      </c>
      <c r="BH53" s="146" t="e">
        <f>+BG53/#REF!</f>
        <v>#REF!</v>
      </c>
      <c r="BI53" s="145"/>
      <c r="BJ53" s="141" t="e">
        <f>+BI53/#REF!</f>
        <v>#REF!</v>
      </c>
      <c r="BK53" s="142"/>
      <c r="BL53" s="143" t="e">
        <f>+BK53/#REF!</f>
        <v>#REF!</v>
      </c>
      <c r="BM53" s="142"/>
      <c r="BN53" s="142"/>
      <c r="BO53" s="146" t="e">
        <f>+BN53/#REF!</f>
        <v>#REF!</v>
      </c>
      <c r="BP53" s="145"/>
      <c r="BQ53" s="141" t="e">
        <f>+BP53/#REF!</f>
        <v>#REF!</v>
      </c>
      <c r="BR53" s="142"/>
      <c r="BS53" s="143" t="e">
        <f>+BR53/#REF!</f>
        <v>#REF!</v>
      </c>
      <c r="BT53" s="142"/>
      <c r="BU53" s="142"/>
      <c r="BV53" s="146" t="e">
        <f>+BU53/#REF!</f>
        <v>#REF!</v>
      </c>
      <c r="BW53" s="145"/>
      <c r="BX53" s="141" t="e">
        <f>+BW53/#REF!</f>
        <v>#REF!</v>
      </c>
      <c r="BY53" s="142"/>
      <c r="BZ53" s="143" t="e">
        <f>+BY53/#REF!</f>
        <v>#REF!</v>
      </c>
      <c r="CA53" s="142"/>
      <c r="CB53" s="142"/>
      <c r="CC53" s="146" t="e">
        <f>+CB53/#REF!</f>
        <v>#REF!</v>
      </c>
      <c r="CD53" s="145"/>
      <c r="CE53" s="141" t="e">
        <f>+CD53/#REF!</f>
        <v>#REF!</v>
      </c>
      <c r="CF53" s="142"/>
      <c r="CG53" s="143" t="e">
        <f>+CF53/#REF!</f>
        <v>#REF!</v>
      </c>
      <c r="CH53" s="142"/>
      <c r="CI53" s="142"/>
      <c r="CJ53" s="146" t="e">
        <f>+CI53/#REF!</f>
        <v>#REF!</v>
      </c>
      <c r="CK53" s="145"/>
      <c r="CL53" s="141" t="e">
        <f>+CK53/#REF!</f>
        <v>#REF!</v>
      </c>
      <c r="CM53" s="142"/>
      <c r="CN53" s="147" t="e">
        <f>+CM53/#REF!</f>
        <v>#REF!</v>
      </c>
      <c r="CO53" s="145"/>
      <c r="CP53" s="148"/>
      <c r="CQ53" s="146" t="e">
        <f>+CP53/#REF!</f>
        <v>#REF!</v>
      </c>
      <c r="CR53" s="145"/>
      <c r="CS53" s="141" t="e">
        <f>+CR53/#REF!</f>
        <v>#REF!</v>
      </c>
      <c r="CT53" s="142"/>
      <c r="CU53" s="143" t="e">
        <f>+CT53/#REF!</f>
        <v>#REF!</v>
      </c>
      <c r="CV53" s="142"/>
      <c r="CW53" s="149"/>
      <c r="CX53" s="146" t="e">
        <f>+CW53/#REF!</f>
        <v>#REF!</v>
      </c>
      <c r="CY53" s="145"/>
      <c r="CZ53" s="6" t="e">
        <f>+CY53/#REF!</f>
        <v>#REF!</v>
      </c>
      <c r="DA53" s="142"/>
      <c r="DB53" s="7" t="e">
        <f>+DA53/#REF!</f>
        <v>#REF!</v>
      </c>
      <c r="DC53" s="140"/>
      <c r="DD53" s="142"/>
      <c r="DE53" s="146" t="e">
        <f>+DD53/#REF!</f>
        <v>#REF!</v>
      </c>
      <c r="DF53" s="145"/>
      <c r="DG53" s="141" t="e">
        <f>+DF53/#REF!</f>
        <v>#REF!</v>
      </c>
      <c r="DH53" s="142"/>
      <c r="DI53" s="143" t="e">
        <f>+DH53/#REF!</f>
        <v>#REF!</v>
      </c>
      <c r="DJ53" s="142"/>
      <c r="DK53" s="149"/>
      <c r="DL53" s="146" t="e">
        <f>+DK53/#REF!</f>
        <v>#REF!</v>
      </c>
      <c r="DM53" s="145"/>
      <c r="DN53" s="141" t="e">
        <f>+DM53/#REF!</f>
        <v>#REF!</v>
      </c>
      <c r="DO53" s="142"/>
      <c r="DP53" s="147" t="e">
        <f>+DO53/#REF!</f>
        <v>#REF!</v>
      </c>
      <c r="DQ53" s="145"/>
      <c r="DR53" s="148"/>
      <c r="DS53" s="8" t="e">
        <f>+DR53/#REF!</f>
        <v>#REF!</v>
      </c>
      <c r="DT53" s="145"/>
      <c r="DU53" s="141" t="e">
        <f>+DT53/#REF!</f>
        <v>#REF!</v>
      </c>
      <c r="DV53" s="142"/>
      <c r="DW53" s="143" t="e">
        <f>+DV53/#REF!</f>
        <v>#REF!</v>
      </c>
      <c r="DX53" s="142"/>
      <c r="DY53" s="149"/>
      <c r="DZ53" s="146" t="e">
        <f>+DY53/#REF!</f>
        <v>#REF!</v>
      </c>
      <c r="EA53" s="145"/>
      <c r="EB53" s="141" t="e">
        <f>+EA53/#REF!</f>
        <v>#REF!</v>
      </c>
      <c r="EC53" s="142"/>
      <c r="ED53" s="147" t="e">
        <f>+EC53/#REF!</f>
        <v>#REF!</v>
      </c>
      <c r="EE53" s="145"/>
      <c r="EF53" s="148"/>
      <c r="EG53" s="8" t="e">
        <f>+EF53/#REF!</f>
        <v>#REF!</v>
      </c>
      <c r="EH53" s="145"/>
      <c r="EI53" s="141" t="e">
        <f>+EH53/#REF!</f>
        <v>#REF!</v>
      </c>
      <c r="EJ53" s="142"/>
      <c r="EK53" s="143" t="e">
        <f>+EJ53/#REF!</f>
        <v>#REF!</v>
      </c>
      <c r="EL53" s="142"/>
      <c r="EM53" s="149"/>
      <c r="EN53" s="146" t="e">
        <f>+EM53/#REF!</f>
        <v>#REF!</v>
      </c>
    </row>
  </sheetData>
  <mergeCells count="69">
    <mergeCell ref="BW4:CC4"/>
    <mergeCell ref="C3:J3"/>
    <mergeCell ref="C4:J4"/>
    <mergeCell ref="K4:L4"/>
    <mergeCell ref="M4:W4"/>
    <mergeCell ref="X4:AF4"/>
    <mergeCell ref="AG4:AM4"/>
    <mergeCell ref="AN4:AT4"/>
    <mergeCell ref="AU4:BA4"/>
    <mergeCell ref="BB4:BH4"/>
    <mergeCell ref="BI4:BO4"/>
    <mergeCell ref="BP4:BV4"/>
    <mergeCell ref="DT4:DZ4"/>
    <mergeCell ref="EA4:EG4"/>
    <mergeCell ref="EH4:EN4"/>
    <mergeCell ref="AG5:AH5"/>
    <mergeCell ref="AI5:AJ5"/>
    <mergeCell ref="AL5:AM5"/>
    <mergeCell ref="AN5:AO5"/>
    <mergeCell ref="AP5:AQ5"/>
    <mergeCell ref="AS5:AT5"/>
    <mergeCell ref="AU5:AV5"/>
    <mergeCell ref="CD4:CJ4"/>
    <mergeCell ref="CK4:CQ4"/>
    <mergeCell ref="CR4:CX4"/>
    <mergeCell ref="CY4:DE4"/>
    <mergeCell ref="DF4:DL4"/>
    <mergeCell ref="DM4:DS4"/>
    <mergeCell ref="BW5:BX5"/>
    <mergeCell ref="AW5:AX5"/>
    <mergeCell ref="AZ5:BA5"/>
    <mergeCell ref="BB5:BC5"/>
    <mergeCell ref="BD5:BE5"/>
    <mergeCell ref="BG5:BH5"/>
    <mergeCell ref="BI5:BJ5"/>
    <mergeCell ref="BK5:BL5"/>
    <mergeCell ref="BN5:BO5"/>
    <mergeCell ref="BP5:BQ5"/>
    <mergeCell ref="BR5:BS5"/>
    <mergeCell ref="BU5:BV5"/>
    <mergeCell ref="CY5:CZ5"/>
    <mergeCell ref="BY5:BZ5"/>
    <mergeCell ref="CB5:CC5"/>
    <mergeCell ref="CD5:CE5"/>
    <mergeCell ref="CF5:CG5"/>
    <mergeCell ref="CI5:CJ5"/>
    <mergeCell ref="CK5:CL5"/>
    <mergeCell ref="CM5:CN5"/>
    <mergeCell ref="CP5:CQ5"/>
    <mergeCell ref="CR5:CS5"/>
    <mergeCell ref="CT5:CU5"/>
    <mergeCell ref="CW5:CX5"/>
    <mergeCell ref="EA5:EB5"/>
    <mergeCell ref="DA5:DB5"/>
    <mergeCell ref="DD5:DE5"/>
    <mergeCell ref="DF5:DG5"/>
    <mergeCell ref="DH5:DI5"/>
    <mergeCell ref="DK5:DL5"/>
    <mergeCell ref="DM5:DN5"/>
    <mergeCell ref="DO5:DP5"/>
    <mergeCell ref="DR5:DS5"/>
    <mergeCell ref="DT5:DU5"/>
    <mergeCell ref="DV5:DW5"/>
    <mergeCell ref="DY5:DZ5"/>
    <mergeCell ref="EC5:ED5"/>
    <mergeCell ref="EF5:EG5"/>
    <mergeCell ref="EH5:EI5"/>
    <mergeCell ref="EJ5:EK5"/>
    <mergeCell ref="EM5:EN5"/>
  </mergeCells>
  <printOptions horizontalCentered="1"/>
  <pageMargins left="0" right="0" top="0.39370078740157483" bottom="0.39370078740157483" header="0" footer="0"/>
  <pageSetup paperSize="8" scale="78" orientation="landscape" horizontalDpi="300" verticalDpi="300" r:id="rId1"/>
  <headerFooter alignWithMargins="0">
    <oddHeader>&amp;R&amp;D</oddHead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7F94-D491-4A72-B814-522319F678B4}">
  <dimension ref="A1:H12"/>
  <sheetViews>
    <sheetView workbookViewId="0">
      <selection activeCell="E24" sqref="E24"/>
    </sheetView>
  </sheetViews>
  <sheetFormatPr defaultRowHeight="13.2"/>
  <cols>
    <col min="1" max="1" width="12.44140625" bestFit="1" customWidth="1"/>
    <col min="2" max="2" width="10.33203125" bestFit="1" customWidth="1"/>
    <col min="3" max="4" width="13.88671875" bestFit="1" customWidth="1"/>
    <col min="6" max="6" width="15.6640625" bestFit="1" customWidth="1"/>
    <col min="7" max="8" width="13.88671875" bestFit="1" customWidth="1"/>
  </cols>
  <sheetData>
    <row r="1" spans="1:8">
      <c r="A1" s="51" t="s">
        <v>119</v>
      </c>
      <c r="B1" t="s">
        <v>158</v>
      </c>
      <c r="F1" s="51" t="s">
        <v>120</v>
      </c>
      <c r="G1" t="s">
        <v>135</v>
      </c>
    </row>
    <row r="3" spans="1:8">
      <c r="A3" s="51" t="s">
        <v>121</v>
      </c>
      <c r="B3" s="51" t="s">
        <v>120</v>
      </c>
      <c r="C3" t="s">
        <v>122</v>
      </c>
      <c r="D3" t="s">
        <v>123</v>
      </c>
      <c r="F3" s="51" t="s">
        <v>119</v>
      </c>
      <c r="G3" t="s">
        <v>122</v>
      </c>
      <c r="H3" t="s">
        <v>123</v>
      </c>
    </row>
    <row r="4" spans="1:8">
      <c r="A4">
        <v>271</v>
      </c>
      <c r="C4">
        <v>1166</v>
      </c>
      <c r="D4">
        <v>465</v>
      </c>
      <c r="F4" t="s">
        <v>31</v>
      </c>
      <c r="G4">
        <v>340</v>
      </c>
      <c r="H4">
        <v>104</v>
      </c>
    </row>
    <row r="5" spans="1:8">
      <c r="A5">
        <v>271</v>
      </c>
      <c r="B5" t="s">
        <v>135</v>
      </c>
      <c r="C5">
        <v>1166</v>
      </c>
      <c r="D5">
        <v>465</v>
      </c>
      <c r="F5" t="s">
        <v>125</v>
      </c>
      <c r="G5">
        <v>181</v>
      </c>
      <c r="H5">
        <v>83</v>
      </c>
    </row>
    <row r="6" spans="1:8">
      <c r="A6" t="s">
        <v>157</v>
      </c>
      <c r="C6">
        <v>1166</v>
      </c>
      <c r="D6">
        <v>465</v>
      </c>
      <c r="F6" t="s">
        <v>126</v>
      </c>
      <c r="G6">
        <v>52</v>
      </c>
      <c r="H6">
        <v>25</v>
      </c>
    </row>
    <row r="7" spans="1:8">
      <c r="F7" t="s">
        <v>128</v>
      </c>
      <c r="G7">
        <v>282</v>
      </c>
      <c r="H7">
        <v>96</v>
      </c>
    </row>
    <row r="8" spans="1:8">
      <c r="F8" t="s">
        <v>32</v>
      </c>
      <c r="G8">
        <v>151</v>
      </c>
      <c r="H8">
        <v>72</v>
      </c>
    </row>
    <row r="9" spans="1:8">
      <c r="F9" t="s">
        <v>28</v>
      </c>
      <c r="G9">
        <v>11</v>
      </c>
      <c r="H9">
        <v>6</v>
      </c>
    </row>
    <row r="10" spans="1:8">
      <c r="F10" t="s">
        <v>130</v>
      </c>
      <c r="G10">
        <v>146</v>
      </c>
      <c r="H10">
        <v>78</v>
      </c>
    </row>
    <row r="11" spans="1:8">
      <c r="F11" t="s">
        <v>30</v>
      </c>
      <c r="G11">
        <v>3</v>
      </c>
      <c r="H11">
        <v>1</v>
      </c>
    </row>
    <row r="12" spans="1:8">
      <c r="F12" t="s">
        <v>157</v>
      </c>
      <c r="G12">
        <v>1166</v>
      </c>
      <c r="H12">
        <v>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FB31-9D4E-4B50-9F85-7F63C5DD79C9}">
  <dimension ref="A1"/>
  <sheetViews>
    <sheetView showGridLines="0" topLeftCell="A16" zoomScale="70" zoomScaleNormal="70" workbookViewId="0">
      <selection activeCell="W32" sqref="W32"/>
    </sheetView>
  </sheetViews>
  <sheetFormatPr defaultRowHeight="13.2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3536-99B6-4B40-97BE-8D0745EF7584}">
  <dimension ref="A1:F52"/>
  <sheetViews>
    <sheetView workbookViewId="0">
      <selection activeCell="L56" sqref="L56"/>
    </sheetView>
  </sheetViews>
  <sheetFormatPr defaultRowHeight="13.2"/>
  <cols>
    <col min="1" max="1" width="15.44140625" bestFit="1" customWidth="1"/>
    <col min="2" max="2" width="10.44140625" bestFit="1" customWidth="1"/>
    <col min="3" max="3" width="21.33203125" bestFit="1" customWidth="1"/>
    <col min="4" max="5" width="9.109375" bestFit="1" customWidth="1"/>
    <col min="6" max="6" width="7.109375" bestFit="1" customWidth="1"/>
    <col min="7" max="8" width="11.109375" bestFit="1" customWidth="1"/>
  </cols>
  <sheetData>
    <row r="1" spans="1:6">
      <c r="A1" t="s">
        <v>119</v>
      </c>
      <c r="B1" t="s">
        <v>120</v>
      </c>
      <c r="C1" t="s">
        <v>121</v>
      </c>
      <c r="D1" t="s">
        <v>59</v>
      </c>
      <c r="E1" t="s">
        <v>60</v>
      </c>
      <c r="F1" t="s">
        <v>136</v>
      </c>
    </row>
    <row r="2" spans="1:6" hidden="1">
      <c r="A2" t="s">
        <v>126</v>
      </c>
      <c r="B2" t="s">
        <v>124</v>
      </c>
      <c r="C2">
        <v>232</v>
      </c>
      <c r="D2">
        <v>18</v>
      </c>
      <c r="E2">
        <v>3</v>
      </c>
    </row>
    <row r="3" spans="1:6" hidden="1">
      <c r="A3" t="s">
        <v>126</v>
      </c>
      <c r="B3" t="s">
        <v>131</v>
      </c>
      <c r="C3">
        <v>251</v>
      </c>
      <c r="D3">
        <v>55</v>
      </c>
      <c r="E3">
        <v>39</v>
      </c>
    </row>
    <row r="4" spans="1:6" hidden="1">
      <c r="A4" t="s">
        <v>126</v>
      </c>
      <c r="B4" t="s">
        <v>132</v>
      </c>
      <c r="C4">
        <v>252</v>
      </c>
      <c r="D4">
        <v>109</v>
      </c>
      <c r="E4">
        <v>61</v>
      </c>
    </row>
    <row r="5" spans="1:6" hidden="1">
      <c r="A5" t="s">
        <v>126</v>
      </c>
      <c r="B5" t="s">
        <v>133</v>
      </c>
      <c r="C5">
        <v>261</v>
      </c>
      <c r="D5">
        <v>16</v>
      </c>
      <c r="E5">
        <v>14</v>
      </c>
    </row>
    <row r="6" spans="1:6" hidden="1">
      <c r="A6" t="s">
        <v>126</v>
      </c>
      <c r="B6" t="s">
        <v>134</v>
      </c>
      <c r="C6">
        <v>262</v>
      </c>
      <c r="D6">
        <v>18</v>
      </c>
      <c r="E6">
        <v>15</v>
      </c>
    </row>
    <row r="7" spans="1:6">
      <c r="A7" t="s">
        <v>126</v>
      </c>
      <c r="B7" t="s">
        <v>135</v>
      </c>
      <c r="C7">
        <v>271</v>
      </c>
      <c r="D7">
        <v>52</v>
      </c>
      <c r="E7">
        <v>25</v>
      </c>
    </row>
    <row r="8" spans="1:6" hidden="1">
      <c r="A8" t="s">
        <v>125</v>
      </c>
      <c r="B8" t="s">
        <v>124</v>
      </c>
      <c r="C8">
        <v>232</v>
      </c>
      <c r="D8">
        <v>97</v>
      </c>
      <c r="E8">
        <v>56</v>
      </c>
    </row>
    <row r="9" spans="1:6" hidden="1">
      <c r="A9" t="s">
        <v>125</v>
      </c>
      <c r="B9" t="s">
        <v>127</v>
      </c>
      <c r="C9">
        <v>241</v>
      </c>
      <c r="D9">
        <v>159</v>
      </c>
      <c r="E9">
        <v>62</v>
      </c>
    </row>
    <row r="10" spans="1:6" hidden="1">
      <c r="A10" t="s">
        <v>125</v>
      </c>
      <c r="B10" t="s">
        <v>129</v>
      </c>
      <c r="C10">
        <v>242</v>
      </c>
      <c r="D10">
        <v>175</v>
      </c>
      <c r="E10">
        <v>66</v>
      </c>
    </row>
    <row r="11" spans="1:6" hidden="1">
      <c r="A11" t="s">
        <v>125</v>
      </c>
      <c r="B11" t="s">
        <v>131</v>
      </c>
      <c r="C11">
        <v>251</v>
      </c>
      <c r="D11">
        <v>181</v>
      </c>
      <c r="E11">
        <v>93</v>
      </c>
    </row>
    <row r="12" spans="1:6" hidden="1">
      <c r="A12" t="s">
        <v>125</v>
      </c>
      <c r="B12" t="s">
        <v>132</v>
      </c>
      <c r="C12">
        <v>252</v>
      </c>
      <c r="D12">
        <v>358</v>
      </c>
      <c r="E12">
        <v>136</v>
      </c>
    </row>
    <row r="13" spans="1:6" hidden="1">
      <c r="A13" t="s">
        <v>125</v>
      </c>
      <c r="B13" t="s">
        <v>133</v>
      </c>
      <c r="C13">
        <v>261</v>
      </c>
      <c r="D13">
        <v>123</v>
      </c>
      <c r="E13">
        <v>56</v>
      </c>
    </row>
    <row r="14" spans="1:6" hidden="1">
      <c r="A14" t="s">
        <v>125</v>
      </c>
      <c r="B14" t="s">
        <v>134</v>
      </c>
      <c r="C14">
        <v>262</v>
      </c>
      <c r="D14">
        <v>224</v>
      </c>
      <c r="E14">
        <v>108</v>
      </c>
    </row>
    <row r="15" spans="1:6">
      <c r="A15" t="s">
        <v>125</v>
      </c>
      <c r="B15" t="s">
        <v>135</v>
      </c>
      <c r="C15">
        <v>271</v>
      </c>
      <c r="D15">
        <v>181</v>
      </c>
      <c r="E15">
        <v>83</v>
      </c>
    </row>
    <row r="16" spans="1:6" hidden="1">
      <c r="A16" t="s">
        <v>128</v>
      </c>
      <c r="B16" t="s">
        <v>124</v>
      </c>
      <c r="C16">
        <v>232</v>
      </c>
      <c r="D16">
        <v>298</v>
      </c>
      <c r="E16">
        <v>75</v>
      </c>
    </row>
    <row r="17" spans="1:5" hidden="1">
      <c r="A17" t="s">
        <v>128</v>
      </c>
      <c r="B17" t="s">
        <v>127</v>
      </c>
      <c r="C17">
        <v>241</v>
      </c>
      <c r="D17">
        <v>247</v>
      </c>
      <c r="E17">
        <v>64</v>
      </c>
    </row>
    <row r="18" spans="1:5" hidden="1">
      <c r="A18" t="s">
        <v>128</v>
      </c>
      <c r="B18" t="s">
        <v>129</v>
      </c>
      <c r="C18">
        <v>242</v>
      </c>
      <c r="D18">
        <v>273</v>
      </c>
      <c r="E18">
        <v>90</v>
      </c>
    </row>
    <row r="19" spans="1:5" hidden="1">
      <c r="A19" t="s">
        <v>128</v>
      </c>
      <c r="B19" t="s">
        <v>131</v>
      </c>
      <c r="C19">
        <v>251</v>
      </c>
      <c r="D19">
        <v>196</v>
      </c>
      <c r="E19">
        <v>51</v>
      </c>
    </row>
    <row r="20" spans="1:5" hidden="1">
      <c r="A20" t="s">
        <v>128</v>
      </c>
      <c r="B20" t="s">
        <v>132</v>
      </c>
      <c r="C20">
        <v>252</v>
      </c>
      <c r="D20">
        <v>63</v>
      </c>
      <c r="E20">
        <v>14</v>
      </c>
    </row>
    <row r="21" spans="1:5" hidden="1">
      <c r="A21" t="s">
        <v>128</v>
      </c>
      <c r="B21" t="s">
        <v>133</v>
      </c>
      <c r="C21">
        <v>261</v>
      </c>
      <c r="D21">
        <v>116</v>
      </c>
      <c r="E21">
        <v>51</v>
      </c>
    </row>
    <row r="22" spans="1:5" hidden="1">
      <c r="A22" t="s">
        <v>128</v>
      </c>
      <c r="B22" t="s">
        <v>134</v>
      </c>
      <c r="C22">
        <v>262</v>
      </c>
      <c r="D22">
        <v>36</v>
      </c>
      <c r="E22">
        <v>8</v>
      </c>
    </row>
    <row r="23" spans="1:5">
      <c r="A23" t="s">
        <v>128</v>
      </c>
      <c r="B23" t="s">
        <v>135</v>
      </c>
      <c r="C23">
        <v>271</v>
      </c>
      <c r="D23">
        <v>282</v>
      </c>
      <c r="E23">
        <v>96</v>
      </c>
    </row>
    <row r="24" spans="1:5" hidden="1">
      <c r="A24" t="s">
        <v>32</v>
      </c>
      <c r="B24" t="s">
        <v>124</v>
      </c>
      <c r="C24">
        <v>232</v>
      </c>
      <c r="D24">
        <v>41</v>
      </c>
      <c r="E24">
        <v>27</v>
      </c>
    </row>
    <row r="25" spans="1:5" hidden="1">
      <c r="A25" t="s">
        <v>32</v>
      </c>
      <c r="B25" t="s">
        <v>127</v>
      </c>
      <c r="C25">
        <v>241</v>
      </c>
      <c r="D25">
        <v>64</v>
      </c>
      <c r="E25">
        <v>43</v>
      </c>
    </row>
    <row r="26" spans="1:5" hidden="1">
      <c r="A26" t="s">
        <v>32</v>
      </c>
      <c r="B26" t="s">
        <v>129</v>
      </c>
      <c r="C26">
        <v>242</v>
      </c>
      <c r="D26">
        <v>336</v>
      </c>
      <c r="E26">
        <v>96</v>
      </c>
    </row>
    <row r="27" spans="1:5" hidden="1">
      <c r="A27" t="s">
        <v>32</v>
      </c>
      <c r="B27" t="s">
        <v>131</v>
      </c>
      <c r="C27">
        <v>251</v>
      </c>
      <c r="D27">
        <v>287</v>
      </c>
      <c r="E27">
        <v>51</v>
      </c>
    </row>
    <row r="28" spans="1:5" hidden="1">
      <c r="A28" t="s">
        <v>32</v>
      </c>
      <c r="B28" t="s">
        <v>132</v>
      </c>
      <c r="C28">
        <v>252</v>
      </c>
      <c r="D28">
        <v>357</v>
      </c>
      <c r="E28">
        <v>85</v>
      </c>
    </row>
    <row r="29" spans="1:5" hidden="1">
      <c r="A29" t="s">
        <v>32</v>
      </c>
      <c r="B29" t="s">
        <v>133</v>
      </c>
      <c r="C29">
        <v>261</v>
      </c>
      <c r="D29">
        <v>346</v>
      </c>
      <c r="E29">
        <v>112</v>
      </c>
    </row>
    <row r="30" spans="1:5" hidden="1">
      <c r="A30" t="s">
        <v>32</v>
      </c>
      <c r="B30" t="s">
        <v>134</v>
      </c>
      <c r="C30">
        <v>262</v>
      </c>
      <c r="D30">
        <v>335</v>
      </c>
      <c r="E30">
        <v>116</v>
      </c>
    </row>
    <row r="31" spans="1:5">
      <c r="A31" t="s">
        <v>32</v>
      </c>
      <c r="B31" t="s">
        <v>135</v>
      </c>
      <c r="C31">
        <v>271</v>
      </c>
      <c r="D31">
        <v>151</v>
      </c>
      <c r="E31">
        <v>72</v>
      </c>
    </row>
    <row r="32" spans="1:5" hidden="1">
      <c r="A32" t="s">
        <v>28</v>
      </c>
      <c r="B32" t="s">
        <v>124</v>
      </c>
      <c r="C32">
        <v>232</v>
      </c>
      <c r="D32">
        <v>161</v>
      </c>
      <c r="E32">
        <v>46</v>
      </c>
    </row>
    <row r="33" spans="1:5" hidden="1">
      <c r="A33" t="s">
        <v>28</v>
      </c>
      <c r="B33" t="s">
        <v>127</v>
      </c>
      <c r="C33">
        <v>241</v>
      </c>
      <c r="D33">
        <v>374</v>
      </c>
      <c r="E33">
        <v>123</v>
      </c>
    </row>
    <row r="34" spans="1:5" hidden="1">
      <c r="A34" t="s">
        <v>28</v>
      </c>
      <c r="B34" t="s">
        <v>129</v>
      </c>
      <c r="C34">
        <v>242</v>
      </c>
      <c r="D34">
        <v>331</v>
      </c>
      <c r="E34">
        <v>108</v>
      </c>
    </row>
    <row r="35" spans="1:5" hidden="1">
      <c r="A35" t="s">
        <v>28</v>
      </c>
      <c r="B35" t="s">
        <v>131</v>
      </c>
      <c r="C35">
        <v>251</v>
      </c>
      <c r="D35">
        <v>318</v>
      </c>
      <c r="E35">
        <v>77</v>
      </c>
    </row>
    <row r="36" spans="1:5" hidden="1">
      <c r="A36" t="s">
        <v>28</v>
      </c>
      <c r="B36" t="s">
        <v>132</v>
      </c>
      <c r="C36">
        <v>252</v>
      </c>
      <c r="D36">
        <v>660</v>
      </c>
      <c r="E36">
        <v>183</v>
      </c>
    </row>
    <row r="37" spans="1:5" hidden="1">
      <c r="A37" t="s">
        <v>28</v>
      </c>
      <c r="B37" t="s">
        <v>133</v>
      </c>
      <c r="C37">
        <v>261</v>
      </c>
      <c r="D37">
        <v>319</v>
      </c>
      <c r="E37">
        <v>112</v>
      </c>
    </row>
    <row r="38" spans="1:5" hidden="1">
      <c r="A38" t="s">
        <v>28</v>
      </c>
      <c r="B38" t="s">
        <v>134</v>
      </c>
      <c r="C38">
        <v>262</v>
      </c>
      <c r="D38">
        <v>566</v>
      </c>
      <c r="E38">
        <v>145</v>
      </c>
    </row>
    <row r="39" spans="1:5">
      <c r="A39" t="s">
        <v>28</v>
      </c>
      <c r="B39" t="s">
        <v>135</v>
      </c>
      <c r="C39">
        <v>271</v>
      </c>
      <c r="D39">
        <v>11</v>
      </c>
      <c r="E39">
        <v>6</v>
      </c>
    </row>
    <row r="40" spans="1:5" hidden="1">
      <c r="A40" t="s">
        <v>130</v>
      </c>
      <c r="B40" t="s">
        <v>124</v>
      </c>
      <c r="C40">
        <v>232</v>
      </c>
      <c r="D40">
        <v>1</v>
      </c>
      <c r="E40">
        <v>1</v>
      </c>
    </row>
    <row r="41" spans="1:5" hidden="1">
      <c r="A41" t="s">
        <v>130</v>
      </c>
      <c r="B41" t="s">
        <v>129</v>
      </c>
      <c r="C41">
        <v>242</v>
      </c>
      <c r="D41">
        <v>414</v>
      </c>
      <c r="E41">
        <v>110</v>
      </c>
    </row>
    <row r="42" spans="1:5" hidden="1">
      <c r="A42" t="s">
        <v>130</v>
      </c>
      <c r="B42" t="s">
        <v>131</v>
      </c>
      <c r="C42">
        <v>251</v>
      </c>
      <c r="D42">
        <v>350</v>
      </c>
      <c r="E42">
        <v>76</v>
      </c>
    </row>
    <row r="43" spans="1:5" hidden="1">
      <c r="A43" t="s">
        <v>130</v>
      </c>
      <c r="B43" t="s">
        <v>132</v>
      </c>
      <c r="C43">
        <v>252</v>
      </c>
      <c r="D43">
        <v>372</v>
      </c>
      <c r="E43">
        <v>101</v>
      </c>
    </row>
    <row r="44" spans="1:5" hidden="1">
      <c r="A44" t="s">
        <v>130</v>
      </c>
      <c r="B44" t="s">
        <v>133</v>
      </c>
      <c r="C44">
        <v>261</v>
      </c>
      <c r="D44">
        <v>317</v>
      </c>
      <c r="E44">
        <v>103</v>
      </c>
    </row>
    <row r="45" spans="1:5" hidden="1">
      <c r="A45" t="s">
        <v>130</v>
      </c>
      <c r="B45" t="s">
        <v>134</v>
      </c>
      <c r="C45">
        <v>262</v>
      </c>
      <c r="D45">
        <v>374</v>
      </c>
      <c r="E45">
        <v>127</v>
      </c>
    </row>
    <row r="46" spans="1:5">
      <c r="A46" t="s">
        <v>130</v>
      </c>
      <c r="B46" t="s">
        <v>135</v>
      </c>
      <c r="C46">
        <v>271</v>
      </c>
      <c r="D46">
        <v>146</v>
      </c>
      <c r="E46">
        <v>78</v>
      </c>
    </row>
    <row r="47" spans="1:5" hidden="1">
      <c r="A47" t="s">
        <v>30</v>
      </c>
      <c r="B47" t="s">
        <v>131</v>
      </c>
      <c r="C47">
        <v>251</v>
      </c>
      <c r="D47">
        <v>8</v>
      </c>
      <c r="E47">
        <v>8</v>
      </c>
    </row>
    <row r="48" spans="1:5" hidden="1">
      <c r="A48" t="s">
        <v>30</v>
      </c>
      <c r="B48" t="s">
        <v>132</v>
      </c>
      <c r="C48">
        <v>252</v>
      </c>
      <c r="D48">
        <v>31</v>
      </c>
      <c r="E48">
        <v>14</v>
      </c>
    </row>
    <row r="49" spans="1:5" hidden="1">
      <c r="A49" t="s">
        <v>30</v>
      </c>
      <c r="B49" t="s">
        <v>133</v>
      </c>
      <c r="C49">
        <v>261</v>
      </c>
      <c r="D49">
        <v>98</v>
      </c>
      <c r="E49">
        <v>39</v>
      </c>
    </row>
    <row r="50" spans="1:5" hidden="1">
      <c r="A50" t="s">
        <v>30</v>
      </c>
      <c r="B50" t="s">
        <v>134</v>
      </c>
      <c r="C50">
        <v>262</v>
      </c>
      <c r="D50">
        <v>8</v>
      </c>
      <c r="E50">
        <v>2</v>
      </c>
    </row>
    <row r="51" spans="1:5">
      <c r="A51" t="s">
        <v>30</v>
      </c>
      <c r="B51" t="s">
        <v>135</v>
      </c>
      <c r="C51">
        <v>271</v>
      </c>
      <c r="D51">
        <v>3</v>
      </c>
      <c r="E51">
        <v>1</v>
      </c>
    </row>
    <row r="52" spans="1:5">
      <c r="A52" t="s">
        <v>31</v>
      </c>
      <c r="B52" t="s">
        <v>135</v>
      </c>
      <c r="C52">
        <v>271</v>
      </c>
      <c r="D52">
        <v>340</v>
      </c>
      <c r="E52">
        <v>104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7E4F-C26E-4B9A-BA1F-07193F90B466}">
  <dimension ref="A1:M165"/>
  <sheetViews>
    <sheetView workbookViewId="0">
      <selection activeCell="D30" sqref="D30"/>
    </sheetView>
  </sheetViews>
  <sheetFormatPr defaultRowHeight="13.2"/>
  <cols>
    <col min="1" max="1" width="15.6640625" bestFit="1" customWidth="1"/>
    <col min="2" max="2" width="10.33203125" bestFit="1" customWidth="1"/>
    <col min="3" max="3" width="21.21875" bestFit="1" customWidth="1"/>
    <col min="4" max="4" width="32.88671875" bestFit="1" customWidth="1"/>
    <col min="5" max="5" width="14.6640625" bestFit="1" customWidth="1"/>
    <col min="6" max="6" width="9.109375" bestFit="1" customWidth="1"/>
    <col min="7" max="7" width="11.109375" bestFit="1" customWidth="1"/>
    <col min="8" max="8" width="9.109375" bestFit="1" customWidth="1"/>
    <col min="9" max="10" width="11.109375" bestFit="1" customWidth="1"/>
    <col min="11" max="11" width="24.109375" bestFit="1" customWidth="1"/>
    <col min="12" max="12" width="22.77734375" bestFit="1" customWidth="1"/>
    <col min="13" max="13" width="53.88671875" bestFit="1" customWidth="1"/>
    <col min="14" max="15" width="13.6640625" customWidth="1"/>
    <col min="16" max="16" width="28.88671875" bestFit="1" customWidth="1"/>
    <col min="17" max="17" width="13.6640625" bestFit="1" customWidth="1"/>
    <col min="18" max="18" width="15.88671875" bestFit="1" customWidth="1"/>
  </cols>
  <sheetData>
    <row r="1" spans="1:13">
      <c r="F1">
        <f>SUBTOTAL(109,纏め[生産数])</f>
        <v>8812</v>
      </c>
      <c r="H1">
        <f>SUBTOTAL(109,纏め[品番数])</f>
        <v>3025</v>
      </c>
      <c r="J1">
        <f>SUBTOTAL(109,纏め[平均秒数])</f>
        <v>1271067</v>
      </c>
      <c r="K1">
        <f>SUBTOTAL(109,纏め[稼働日数　　(延べ日数）])</f>
        <v>26372</v>
      </c>
      <c r="M1">
        <f>SUBTOTAL(109,纏め[備考])</f>
        <v>0</v>
      </c>
    </row>
    <row r="2" spans="1:13">
      <c r="A2" t="s">
        <v>119</v>
      </c>
      <c r="B2" t="s">
        <v>120</v>
      </c>
      <c r="C2" t="s">
        <v>121</v>
      </c>
      <c r="D2" t="s">
        <v>137</v>
      </c>
      <c r="E2" t="s">
        <v>138</v>
      </c>
      <c r="F2" t="s">
        <v>59</v>
      </c>
      <c r="G2" t="s">
        <v>139</v>
      </c>
      <c r="H2" t="s">
        <v>60</v>
      </c>
      <c r="I2" t="s">
        <v>140</v>
      </c>
      <c r="J2" t="s">
        <v>61</v>
      </c>
      <c r="K2" t="s">
        <v>63</v>
      </c>
      <c r="L2" t="s">
        <v>141</v>
      </c>
      <c r="M2" t="s">
        <v>136</v>
      </c>
    </row>
    <row r="3" spans="1:13">
      <c r="A3" t="s">
        <v>128</v>
      </c>
      <c r="B3" t="s">
        <v>124</v>
      </c>
      <c r="C3">
        <v>232</v>
      </c>
      <c r="D3" t="s">
        <v>110</v>
      </c>
      <c r="E3" t="s">
        <v>142</v>
      </c>
      <c r="F3">
        <v>8</v>
      </c>
      <c r="G3" s="52">
        <v>9.8765432098765399E-2</v>
      </c>
      <c r="H3">
        <v>8</v>
      </c>
      <c r="I3" s="52">
        <v>0.103896103896104</v>
      </c>
      <c r="J3">
        <v>7319</v>
      </c>
      <c r="K3">
        <v>16</v>
      </c>
      <c r="L3" s="52">
        <v>6.7510548523206704E-2</v>
      </c>
    </row>
    <row r="4" spans="1:13">
      <c r="A4" t="s">
        <v>130</v>
      </c>
      <c r="B4" t="s">
        <v>124</v>
      </c>
      <c r="C4">
        <v>232</v>
      </c>
      <c r="D4" t="s">
        <v>92</v>
      </c>
      <c r="E4" t="s">
        <v>142</v>
      </c>
      <c r="F4">
        <v>1</v>
      </c>
      <c r="G4" s="52">
        <v>1.2345679012345699E-2</v>
      </c>
      <c r="H4">
        <v>1</v>
      </c>
      <c r="I4" s="52">
        <v>1.2987012987013E-2</v>
      </c>
      <c r="K4">
        <v>1</v>
      </c>
      <c r="L4" s="52">
        <v>4.2194092827004199E-3</v>
      </c>
    </row>
    <row r="5" spans="1:13">
      <c r="A5" t="s">
        <v>32</v>
      </c>
      <c r="B5" t="s">
        <v>124</v>
      </c>
      <c r="C5">
        <v>232</v>
      </c>
      <c r="D5" t="s">
        <v>81</v>
      </c>
      <c r="E5" t="s">
        <v>142</v>
      </c>
      <c r="F5">
        <v>1</v>
      </c>
      <c r="G5" s="52">
        <v>1.2345679012345699E-2</v>
      </c>
      <c r="H5">
        <v>1</v>
      </c>
      <c r="I5" s="52">
        <v>1.2987012987013E-2</v>
      </c>
      <c r="K5">
        <v>1</v>
      </c>
      <c r="L5" s="52">
        <v>4.2194092827004199E-3</v>
      </c>
    </row>
    <row r="6" spans="1:13">
      <c r="A6" t="s">
        <v>32</v>
      </c>
      <c r="B6" t="s">
        <v>124</v>
      </c>
      <c r="C6">
        <v>232</v>
      </c>
      <c r="D6" t="s">
        <v>103</v>
      </c>
      <c r="E6" t="s">
        <v>142</v>
      </c>
      <c r="F6">
        <v>19</v>
      </c>
      <c r="G6" s="52">
        <v>0.234567901234568</v>
      </c>
      <c r="H6">
        <v>19</v>
      </c>
      <c r="I6" s="52">
        <v>0.246753246753247</v>
      </c>
      <c r="J6">
        <v>13224</v>
      </c>
      <c r="K6">
        <v>95</v>
      </c>
      <c r="L6" s="52">
        <v>0.40084388185654002</v>
      </c>
    </row>
    <row r="7" spans="1:13">
      <c r="A7" t="s">
        <v>128</v>
      </c>
      <c r="B7" t="s">
        <v>124</v>
      </c>
      <c r="C7">
        <v>232</v>
      </c>
      <c r="D7" t="s">
        <v>94</v>
      </c>
      <c r="E7" t="s">
        <v>142</v>
      </c>
      <c r="F7">
        <v>4</v>
      </c>
      <c r="G7" s="52">
        <v>4.9382716049382699E-2</v>
      </c>
      <c r="H7">
        <v>2</v>
      </c>
      <c r="I7" s="52">
        <v>2.5974025974026E-2</v>
      </c>
      <c r="J7">
        <v>7574</v>
      </c>
      <c r="K7">
        <v>8</v>
      </c>
      <c r="L7" s="52">
        <v>3.37552742616034E-2</v>
      </c>
    </row>
    <row r="8" spans="1:13">
      <c r="A8" t="s">
        <v>128</v>
      </c>
      <c r="B8" t="s">
        <v>124</v>
      </c>
      <c r="C8">
        <v>232</v>
      </c>
      <c r="D8" t="s">
        <v>84</v>
      </c>
      <c r="E8" t="s">
        <v>142</v>
      </c>
      <c r="F8">
        <v>9</v>
      </c>
      <c r="G8" s="52">
        <v>0.11111111111111099</v>
      </c>
      <c r="H8">
        <v>7</v>
      </c>
      <c r="I8" s="52">
        <v>9.0909090909090898E-2</v>
      </c>
      <c r="J8">
        <v>11873</v>
      </c>
      <c r="K8">
        <v>36</v>
      </c>
      <c r="L8" s="52">
        <v>0.151898734177215</v>
      </c>
    </row>
    <row r="9" spans="1:13">
      <c r="A9" t="s">
        <v>125</v>
      </c>
      <c r="B9" t="s">
        <v>124</v>
      </c>
      <c r="C9">
        <v>232</v>
      </c>
      <c r="D9" t="s">
        <v>74</v>
      </c>
      <c r="E9" t="s">
        <v>142</v>
      </c>
      <c r="F9">
        <v>15</v>
      </c>
      <c r="G9" s="52">
        <v>0.18518518518518501</v>
      </c>
      <c r="H9">
        <v>15</v>
      </c>
      <c r="I9" s="52">
        <v>0.19480519480519501</v>
      </c>
      <c r="J9">
        <v>5785</v>
      </c>
      <c r="K9">
        <v>30</v>
      </c>
      <c r="L9" s="52">
        <v>0.126582278481013</v>
      </c>
    </row>
    <row r="10" spans="1:13">
      <c r="A10" t="s">
        <v>125</v>
      </c>
      <c r="B10" t="s">
        <v>124</v>
      </c>
      <c r="C10">
        <v>232</v>
      </c>
      <c r="D10" t="s">
        <v>72</v>
      </c>
      <c r="E10" t="s">
        <v>142</v>
      </c>
      <c r="F10">
        <v>18</v>
      </c>
      <c r="G10" s="52">
        <v>0.22222222222222199</v>
      </c>
      <c r="H10">
        <v>18</v>
      </c>
      <c r="I10" s="52">
        <v>0.23376623376623401</v>
      </c>
      <c r="J10">
        <v>5672</v>
      </c>
      <c r="K10">
        <v>36</v>
      </c>
      <c r="L10" s="52">
        <v>0.151898734177215</v>
      </c>
    </row>
    <row r="11" spans="1:13">
      <c r="A11" t="s">
        <v>28</v>
      </c>
      <c r="B11" t="s">
        <v>124</v>
      </c>
      <c r="C11">
        <v>232</v>
      </c>
      <c r="D11" t="s">
        <v>68</v>
      </c>
      <c r="E11" t="s">
        <v>142</v>
      </c>
      <c r="F11">
        <v>4</v>
      </c>
      <c r="G11" s="52">
        <v>4.9382716049382699E-2</v>
      </c>
      <c r="H11">
        <v>4</v>
      </c>
      <c r="I11" s="52">
        <v>5.1948051948052E-2</v>
      </c>
      <c r="J11">
        <v>7347</v>
      </c>
      <c r="K11">
        <v>8</v>
      </c>
      <c r="L11" s="52">
        <v>3.37552742616034E-2</v>
      </c>
    </row>
    <row r="12" spans="1:13">
      <c r="A12" t="s">
        <v>125</v>
      </c>
      <c r="B12" t="s">
        <v>124</v>
      </c>
      <c r="C12">
        <v>232</v>
      </c>
      <c r="D12" t="s">
        <v>93</v>
      </c>
      <c r="E12" t="s">
        <v>142</v>
      </c>
      <c r="F12">
        <v>2</v>
      </c>
      <c r="G12" s="52">
        <v>2.4691358024691398E-2</v>
      </c>
      <c r="H12">
        <v>2</v>
      </c>
      <c r="I12" s="52">
        <v>2.5974025974026E-2</v>
      </c>
      <c r="J12">
        <v>8027</v>
      </c>
      <c r="K12">
        <v>6</v>
      </c>
      <c r="L12" s="52">
        <v>2.53164556962025E-2</v>
      </c>
    </row>
    <row r="13" spans="1:13">
      <c r="A13" t="s">
        <v>28</v>
      </c>
      <c r="B13" t="s">
        <v>127</v>
      </c>
      <c r="C13">
        <v>241</v>
      </c>
      <c r="D13" t="s">
        <v>68</v>
      </c>
      <c r="E13" t="s">
        <v>142</v>
      </c>
      <c r="F13">
        <v>145</v>
      </c>
      <c r="G13" s="52">
        <v>0.53308823529411797</v>
      </c>
      <c r="H13">
        <v>70</v>
      </c>
      <c r="I13" s="52">
        <v>0.476190476190476</v>
      </c>
      <c r="J13">
        <v>8461</v>
      </c>
      <c r="K13">
        <v>435</v>
      </c>
      <c r="L13" s="52">
        <v>0.62770562770562799</v>
      </c>
    </row>
    <row r="14" spans="1:13">
      <c r="A14" t="s">
        <v>128</v>
      </c>
      <c r="B14" t="s">
        <v>127</v>
      </c>
      <c r="C14">
        <v>241</v>
      </c>
      <c r="D14" t="s">
        <v>110</v>
      </c>
      <c r="E14" t="s">
        <v>142</v>
      </c>
      <c r="F14">
        <v>66</v>
      </c>
      <c r="G14" s="52">
        <v>0.24264705882352899</v>
      </c>
      <c r="H14">
        <v>21</v>
      </c>
      <c r="I14" s="52">
        <v>0.14285714285714299</v>
      </c>
      <c r="J14">
        <v>6592</v>
      </c>
      <c r="K14">
        <v>132</v>
      </c>
      <c r="L14" s="52">
        <v>0.19047619047618999</v>
      </c>
    </row>
    <row r="15" spans="1:13">
      <c r="A15" t="s">
        <v>32</v>
      </c>
      <c r="B15" t="s">
        <v>127</v>
      </c>
      <c r="C15">
        <v>241</v>
      </c>
      <c r="D15" t="s">
        <v>103</v>
      </c>
      <c r="E15" t="s">
        <v>142</v>
      </c>
      <c r="F15">
        <v>14</v>
      </c>
      <c r="G15" s="52">
        <v>5.1470588235294101E-2</v>
      </c>
      <c r="H15">
        <v>12</v>
      </c>
      <c r="I15" s="52">
        <v>8.1632653061224497E-2</v>
      </c>
      <c r="J15">
        <v>3994</v>
      </c>
      <c r="K15">
        <v>28</v>
      </c>
      <c r="L15" s="52">
        <v>4.0404040404040401E-2</v>
      </c>
    </row>
    <row r="16" spans="1:13">
      <c r="A16" t="s">
        <v>32</v>
      </c>
      <c r="B16" t="s">
        <v>127</v>
      </c>
      <c r="C16">
        <v>241</v>
      </c>
      <c r="D16" t="s">
        <v>118</v>
      </c>
      <c r="E16" t="s">
        <v>142</v>
      </c>
      <c r="F16">
        <v>11</v>
      </c>
      <c r="G16" s="52">
        <v>4.0441176470588203E-2</v>
      </c>
      <c r="H16">
        <v>11</v>
      </c>
      <c r="I16" s="52">
        <v>7.4829931972789102E-2</v>
      </c>
      <c r="J16">
        <v>6072</v>
      </c>
      <c r="K16">
        <v>22</v>
      </c>
      <c r="L16" s="52">
        <v>3.1746031746031703E-2</v>
      </c>
    </row>
    <row r="17" spans="1:13">
      <c r="A17" t="s">
        <v>128</v>
      </c>
      <c r="B17" t="s">
        <v>127</v>
      </c>
      <c r="C17">
        <v>241</v>
      </c>
      <c r="D17" t="s">
        <v>84</v>
      </c>
      <c r="E17" t="s">
        <v>142</v>
      </c>
      <c r="F17">
        <v>5</v>
      </c>
      <c r="G17" s="52">
        <v>1.8382352941176499E-2</v>
      </c>
      <c r="H17">
        <v>5</v>
      </c>
      <c r="I17" s="52">
        <v>3.4013605442176902E-2</v>
      </c>
      <c r="J17">
        <v>6356</v>
      </c>
      <c r="K17">
        <v>10</v>
      </c>
      <c r="L17" s="52">
        <v>1.4430014430014401E-2</v>
      </c>
    </row>
    <row r="18" spans="1:13">
      <c r="A18" t="s">
        <v>32</v>
      </c>
      <c r="B18" t="s">
        <v>127</v>
      </c>
      <c r="C18">
        <v>241</v>
      </c>
      <c r="D18" t="s">
        <v>105</v>
      </c>
      <c r="E18" t="s">
        <v>142</v>
      </c>
      <c r="F18">
        <v>3</v>
      </c>
      <c r="G18" s="52">
        <v>1.10294117647059E-2</v>
      </c>
      <c r="H18">
        <v>3</v>
      </c>
      <c r="I18" s="52">
        <v>2.04081632653061E-2</v>
      </c>
      <c r="J18">
        <v>10783</v>
      </c>
      <c r="K18">
        <v>12</v>
      </c>
      <c r="L18" s="52">
        <v>1.7316017316017299E-2</v>
      </c>
    </row>
    <row r="19" spans="1:13">
      <c r="A19" t="s">
        <v>125</v>
      </c>
      <c r="B19" t="s">
        <v>127</v>
      </c>
      <c r="C19">
        <v>241</v>
      </c>
      <c r="D19" t="s">
        <v>90</v>
      </c>
      <c r="E19" t="s">
        <v>142</v>
      </c>
      <c r="F19">
        <v>7</v>
      </c>
      <c r="G19" s="52">
        <v>2.5735294117647099E-2</v>
      </c>
      <c r="H19">
        <v>7</v>
      </c>
      <c r="I19" s="52">
        <v>4.7619047619047603E-2</v>
      </c>
      <c r="J19">
        <v>6522</v>
      </c>
      <c r="K19">
        <v>14</v>
      </c>
      <c r="L19" s="52">
        <v>2.02020202020202E-2</v>
      </c>
    </row>
    <row r="20" spans="1:13">
      <c r="A20" t="s">
        <v>125</v>
      </c>
      <c r="B20" t="s">
        <v>127</v>
      </c>
      <c r="C20">
        <v>241</v>
      </c>
      <c r="D20" t="s">
        <v>88</v>
      </c>
      <c r="E20" t="s">
        <v>142</v>
      </c>
      <c r="F20">
        <v>2</v>
      </c>
      <c r="G20" s="52">
        <v>7.3529411764705899E-3</v>
      </c>
      <c r="H20">
        <v>2</v>
      </c>
      <c r="I20" s="52">
        <v>1.3605442176870699E-2</v>
      </c>
      <c r="K20">
        <v>2</v>
      </c>
      <c r="L20" s="52">
        <v>2.8860028860028899E-3</v>
      </c>
    </row>
    <row r="21" spans="1:13">
      <c r="A21" t="s">
        <v>125</v>
      </c>
      <c r="B21" t="s">
        <v>127</v>
      </c>
      <c r="C21">
        <v>241</v>
      </c>
      <c r="D21" t="s">
        <v>86</v>
      </c>
      <c r="E21" t="s">
        <v>142</v>
      </c>
      <c r="F21">
        <v>1</v>
      </c>
      <c r="G21" s="52">
        <v>3.6764705882352902E-3</v>
      </c>
      <c r="H21">
        <v>1</v>
      </c>
      <c r="I21" s="52">
        <v>6.8027210884353704E-3</v>
      </c>
      <c r="J21">
        <v>6777</v>
      </c>
      <c r="K21">
        <v>2</v>
      </c>
      <c r="L21" s="52">
        <v>2.8860028860028899E-3</v>
      </c>
    </row>
    <row r="22" spans="1:13">
      <c r="A22" t="s">
        <v>125</v>
      </c>
      <c r="B22" t="s">
        <v>127</v>
      </c>
      <c r="C22">
        <v>241</v>
      </c>
      <c r="D22" t="s">
        <v>72</v>
      </c>
      <c r="E22" t="s">
        <v>142</v>
      </c>
      <c r="F22">
        <v>18</v>
      </c>
      <c r="G22" s="52">
        <v>6.6176470588235295E-2</v>
      </c>
      <c r="H22">
        <v>15</v>
      </c>
      <c r="I22" s="52">
        <v>0.102040816326531</v>
      </c>
      <c r="J22">
        <v>6108</v>
      </c>
      <c r="K22">
        <v>36</v>
      </c>
      <c r="L22" s="52">
        <v>5.1948051948052E-2</v>
      </c>
    </row>
    <row r="23" spans="1:13">
      <c r="A23" t="s">
        <v>125</v>
      </c>
      <c r="B23" t="s">
        <v>129</v>
      </c>
      <c r="C23">
        <v>242</v>
      </c>
      <c r="D23" t="s">
        <v>93</v>
      </c>
      <c r="E23" t="s">
        <v>142</v>
      </c>
      <c r="F23">
        <v>1</v>
      </c>
      <c r="G23" s="52">
        <v>5.6179775280898901E-3</v>
      </c>
      <c r="H23">
        <v>1</v>
      </c>
      <c r="I23" s="52">
        <v>6.0240963855421699E-3</v>
      </c>
      <c r="J23">
        <v>7433</v>
      </c>
      <c r="K23">
        <v>2</v>
      </c>
      <c r="L23" s="52">
        <v>4.15800415800416E-3</v>
      </c>
    </row>
    <row r="24" spans="1:13">
      <c r="A24" t="s">
        <v>28</v>
      </c>
      <c r="B24" t="s">
        <v>129</v>
      </c>
      <c r="C24">
        <v>242</v>
      </c>
      <c r="D24" t="s">
        <v>68</v>
      </c>
      <c r="E24" t="s">
        <v>142</v>
      </c>
      <c r="F24">
        <v>50</v>
      </c>
      <c r="G24" s="52">
        <v>0.28089887640449401</v>
      </c>
      <c r="H24">
        <v>40</v>
      </c>
      <c r="I24" s="52">
        <v>0.240963855421687</v>
      </c>
      <c r="J24">
        <v>7335</v>
      </c>
      <c r="K24">
        <v>100</v>
      </c>
      <c r="L24" s="52">
        <v>0.207900207900208</v>
      </c>
    </row>
    <row r="25" spans="1:13">
      <c r="A25" t="s">
        <v>128</v>
      </c>
      <c r="B25" t="s">
        <v>129</v>
      </c>
      <c r="C25">
        <v>242</v>
      </c>
      <c r="D25" t="s">
        <v>84</v>
      </c>
      <c r="E25" t="s">
        <v>142</v>
      </c>
      <c r="F25">
        <v>6</v>
      </c>
      <c r="G25" s="52">
        <v>3.3707865168539297E-2</v>
      </c>
      <c r="H25">
        <v>6</v>
      </c>
      <c r="I25" s="52">
        <v>3.6144578313252997E-2</v>
      </c>
      <c r="J25">
        <v>12613</v>
      </c>
      <c r="K25">
        <v>30</v>
      </c>
      <c r="L25" s="52">
        <v>6.2370062370062401E-2</v>
      </c>
    </row>
    <row r="26" spans="1:13">
      <c r="A26" t="s">
        <v>128</v>
      </c>
      <c r="B26" t="s">
        <v>129</v>
      </c>
      <c r="C26">
        <v>242</v>
      </c>
      <c r="D26" t="s">
        <v>87</v>
      </c>
      <c r="E26" t="s">
        <v>142</v>
      </c>
      <c r="F26">
        <v>6</v>
      </c>
      <c r="G26" s="52">
        <v>3.3707865168539297E-2</v>
      </c>
      <c r="H26">
        <v>6</v>
      </c>
      <c r="I26" s="52">
        <v>3.6144578313252997E-2</v>
      </c>
      <c r="J26">
        <v>10234</v>
      </c>
      <c r="K26">
        <v>24</v>
      </c>
      <c r="L26" s="52">
        <v>4.9896049896049899E-2</v>
      </c>
      <c r="M26" t="s">
        <v>160</v>
      </c>
    </row>
    <row r="27" spans="1:13">
      <c r="A27" t="s">
        <v>128</v>
      </c>
      <c r="B27" t="s">
        <v>129</v>
      </c>
      <c r="C27">
        <v>242</v>
      </c>
      <c r="D27" t="s">
        <v>94</v>
      </c>
      <c r="E27" t="s">
        <v>142</v>
      </c>
      <c r="F27">
        <v>2</v>
      </c>
      <c r="G27" s="52">
        <v>1.1235955056179799E-2</v>
      </c>
      <c r="H27">
        <v>2</v>
      </c>
      <c r="I27" s="52">
        <v>1.20481927710843E-2</v>
      </c>
      <c r="J27">
        <v>3157</v>
      </c>
      <c r="K27">
        <v>4</v>
      </c>
      <c r="L27" s="52">
        <v>8.3160083160083199E-3</v>
      </c>
    </row>
    <row r="28" spans="1:13">
      <c r="A28" t="s">
        <v>128</v>
      </c>
      <c r="B28" t="s">
        <v>129</v>
      </c>
      <c r="C28">
        <v>242</v>
      </c>
      <c r="D28" t="s">
        <v>110</v>
      </c>
      <c r="E28" t="s">
        <v>142</v>
      </c>
      <c r="F28">
        <v>20</v>
      </c>
      <c r="G28" s="52">
        <v>0.112359550561798</v>
      </c>
      <c r="H28">
        <v>20</v>
      </c>
      <c r="I28" s="52">
        <v>0.120481927710843</v>
      </c>
      <c r="J28">
        <v>9245</v>
      </c>
      <c r="K28">
        <v>60</v>
      </c>
      <c r="L28" s="52">
        <v>0.124740124740125</v>
      </c>
    </row>
    <row r="29" spans="1:13">
      <c r="A29" t="s">
        <v>32</v>
      </c>
      <c r="B29" t="s">
        <v>129</v>
      </c>
      <c r="C29">
        <v>242</v>
      </c>
      <c r="D29" t="s">
        <v>103</v>
      </c>
      <c r="E29" t="s">
        <v>142</v>
      </c>
      <c r="F29">
        <v>19</v>
      </c>
      <c r="G29" s="52">
        <v>0.106741573033708</v>
      </c>
      <c r="H29">
        <v>19</v>
      </c>
      <c r="I29" s="52">
        <v>0.114457831325301</v>
      </c>
      <c r="J29">
        <v>15840</v>
      </c>
      <c r="K29">
        <v>114</v>
      </c>
      <c r="L29" s="52">
        <v>0.23700623700623699</v>
      </c>
    </row>
    <row r="30" spans="1:13">
      <c r="A30" t="s">
        <v>130</v>
      </c>
      <c r="B30" t="s">
        <v>129</v>
      </c>
      <c r="C30">
        <v>242</v>
      </c>
      <c r="D30" t="s">
        <v>79</v>
      </c>
      <c r="E30" t="s">
        <v>142</v>
      </c>
      <c r="F30">
        <v>10</v>
      </c>
      <c r="G30" s="52">
        <v>5.6179775280898903E-2</v>
      </c>
      <c r="H30">
        <v>8</v>
      </c>
      <c r="I30" s="52">
        <v>4.81927710843374E-2</v>
      </c>
      <c r="J30">
        <v>4317</v>
      </c>
      <c r="K30">
        <v>20</v>
      </c>
      <c r="L30" s="52">
        <v>4.1580041580041603E-2</v>
      </c>
    </row>
    <row r="31" spans="1:13">
      <c r="A31" t="s">
        <v>125</v>
      </c>
      <c r="B31" t="s">
        <v>129</v>
      </c>
      <c r="C31">
        <v>242</v>
      </c>
      <c r="D31" t="s">
        <v>76</v>
      </c>
      <c r="E31" t="s">
        <v>142</v>
      </c>
      <c r="F31">
        <v>1</v>
      </c>
      <c r="G31" s="52">
        <v>5.6179775280898901E-3</v>
      </c>
      <c r="H31">
        <v>1</v>
      </c>
      <c r="I31" s="52">
        <v>6.0240963855421699E-3</v>
      </c>
      <c r="K31">
        <v>1</v>
      </c>
      <c r="L31" s="52">
        <v>2.07900207900208E-3</v>
      </c>
    </row>
    <row r="32" spans="1:13">
      <c r="A32" t="s">
        <v>125</v>
      </c>
      <c r="B32" t="s">
        <v>129</v>
      </c>
      <c r="C32">
        <v>242</v>
      </c>
      <c r="D32" t="s">
        <v>90</v>
      </c>
      <c r="E32" t="s">
        <v>142</v>
      </c>
      <c r="F32">
        <v>10</v>
      </c>
      <c r="G32" s="52">
        <v>5.6179775280898903E-2</v>
      </c>
      <c r="H32">
        <v>10</v>
      </c>
      <c r="I32" s="52">
        <v>6.02409638554217E-2</v>
      </c>
      <c r="J32">
        <v>6522</v>
      </c>
      <c r="K32">
        <v>20</v>
      </c>
      <c r="L32" s="52">
        <v>4.1580041580041603E-2</v>
      </c>
    </row>
    <row r="33" spans="1:13">
      <c r="A33" t="s">
        <v>125</v>
      </c>
      <c r="B33" t="s">
        <v>129</v>
      </c>
      <c r="C33">
        <v>242</v>
      </c>
      <c r="D33" t="s">
        <v>72</v>
      </c>
      <c r="E33" t="s">
        <v>142</v>
      </c>
      <c r="F33">
        <v>15</v>
      </c>
      <c r="G33" s="52">
        <v>8.4269662921348298E-2</v>
      </c>
      <c r="H33">
        <v>15</v>
      </c>
      <c r="I33" s="52">
        <v>9.0361445783132502E-2</v>
      </c>
      <c r="J33">
        <v>6108</v>
      </c>
      <c r="K33">
        <v>30</v>
      </c>
      <c r="L33" s="52">
        <v>6.2370062370062401E-2</v>
      </c>
    </row>
    <row r="34" spans="1:13">
      <c r="A34" t="s">
        <v>32</v>
      </c>
      <c r="B34" t="s">
        <v>129</v>
      </c>
      <c r="C34">
        <v>242</v>
      </c>
      <c r="D34" t="s">
        <v>107</v>
      </c>
      <c r="E34" t="s">
        <v>142</v>
      </c>
      <c r="F34">
        <v>38</v>
      </c>
      <c r="G34" s="52">
        <v>0.213483146067416</v>
      </c>
      <c r="H34">
        <v>38</v>
      </c>
      <c r="I34" s="52">
        <v>0.22891566265060201</v>
      </c>
      <c r="J34">
        <v>7919</v>
      </c>
      <c r="K34">
        <v>76</v>
      </c>
      <c r="L34" s="52">
        <v>0.15800415800415801</v>
      </c>
    </row>
    <row r="35" spans="1:13">
      <c r="A35" t="s">
        <v>126</v>
      </c>
      <c r="B35" t="s">
        <v>131</v>
      </c>
      <c r="C35">
        <v>251</v>
      </c>
      <c r="D35" t="s">
        <v>64</v>
      </c>
      <c r="E35" t="s">
        <v>142</v>
      </c>
      <c r="F35">
        <v>55</v>
      </c>
      <c r="G35" s="52">
        <v>0.217391304347826</v>
      </c>
      <c r="H35">
        <v>39</v>
      </c>
      <c r="I35" s="52">
        <v>0.183098591549296</v>
      </c>
      <c r="J35">
        <v>6690</v>
      </c>
      <c r="K35">
        <v>110</v>
      </c>
      <c r="L35" s="52">
        <v>0.20109689213894</v>
      </c>
    </row>
    <row r="36" spans="1:13">
      <c r="A36" t="s">
        <v>28</v>
      </c>
      <c r="B36" t="s">
        <v>131</v>
      </c>
      <c r="C36">
        <v>251</v>
      </c>
      <c r="D36" t="s">
        <v>68</v>
      </c>
      <c r="E36" t="s">
        <v>142</v>
      </c>
      <c r="F36">
        <v>39</v>
      </c>
      <c r="G36" s="52">
        <v>0.154150197628458</v>
      </c>
      <c r="H36">
        <v>24</v>
      </c>
      <c r="I36" s="52">
        <v>0.11267605633802801</v>
      </c>
      <c r="J36">
        <v>6690</v>
      </c>
      <c r="K36">
        <v>78</v>
      </c>
      <c r="L36" s="52">
        <v>0.14259597806215701</v>
      </c>
    </row>
    <row r="37" spans="1:13">
      <c r="A37" t="s">
        <v>30</v>
      </c>
      <c r="B37" t="s">
        <v>131</v>
      </c>
      <c r="C37">
        <v>251</v>
      </c>
      <c r="D37" t="s">
        <v>117</v>
      </c>
      <c r="E37" t="s">
        <v>142</v>
      </c>
      <c r="F37">
        <v>8</v>
      </c>
      <c r="G37" s="52">
        <v>3.1620553359683799E-2</v>
      </c>
      <c r="H37">
        <v>8</v>
      </c>
      <c r="I37" s="52">
        <v>3.7558685446009397E-2</v>
      </c>
      <c r="J37">
        <v>2322</v>
      </c>
      <c r="K37">
        <v>8</v>
      </c>
      <c r="L37" s="52">
        <v>1.46252285191956E-2</v>
      </c>
    </row>
    <row r="38" spans="1:13">
      <c r="A38" t="s">
        <v>130</v>
      </c>
      <c r="B38" t="s">
        <v>131</v>
      </c>
      <c r="C38">
        <v>251</v>
      </c>
      <c r="D38" t="s">
        <v>70</v>
      </c>
      <c r="E38" t="s">
        <v>142</v>
      </c>
      <c r="F38">
        <v>11</v>
      </c>
      <c r="G38" s="52">
        <v>4.3478260869565202E-2</v>
      </c>
      <c r="H38">
        <v>11</v>
      </c>
      <c r="I38" s="52">
        <v>5.16431924882629E-2</v>
      </c>
      <c r="J38">
        <v>6690</v>
      </c>
      <c r="K38">
        <v>22</v>
      </c>
      <c r="L38" s="52">
        <v>4.0219378427787902E-2</v>
      </c>
    </row>
    <row r="39" spans="1:13">
      <c r="A39" t="s">
        <v>130</v>
      </c>
      <c r="B39" t="s">
        <v>131</v>
      </c>
      <c r="C39">
        <v>251</v>
      </c>
      <c r="D39" t="s">
        <v>79</v>
      </c>
      <c r="E39" t="s">
        <v>142</v>
      </c>
      <c r="F39">
        <v>8</v>
      </c>
      <c r="G39" s="52">
        <v>3.1620553359683799E-2</v>
      </c>
      <c r="H39">
        <v>8</v>
      </c>
      <c r="I39" s="52">
        <v>3.7558685446009397E-2</v>
      </c>
      <c r="J39">
        <v>6690</v>
      </c>
      <c r="K39">
        <v>16</v>
      </c>
      <c r="L39" s="52">
        <v>2.92504570383912E-2</v>
      </c>
    </row>
    <row r="40" spans="1:13">
      <c r="A40" t="s">
        <v>130</v>
      </c>
      <c r="B40" t="s">
        <v>131</v>
      </c>
      <c r="C40">
        <v>251</v>
      </c>
      <c r="D40" t="s">
        <v>92</v>
      </c>
      <c r="E40" t="s">
        <v>142</v>
      </c>
      <c r="F40">
        <v>1</v>
      </c>
      <c r="G40" s="52">
        <v>3.9525691699604697E-3</v>
      </c>
      <c r="H40">
        <v>1</v>
      </c>
      <c r="I40" s="52">
        <v>4.6948356807511703E-3</v>
      </c>
      <c r="J40">
        <v>9543</v>
      </c>
      <c r="K40">
        <v>3</v>
      </c>
      <c r="L40" s="52">
        <v>5.4844606946983501E-3</v>
      </c>
    </row>
    <row r="41" spans="1:13">
      <c r="A41" t="s">
        <v>32</v>
      </c>
      <c r="B41" t="s">
        <v>131</v>
      </c>
      <c r="C41">
        <v>251</v>
      </c>
      <c r="D41" t="s">
        <v>107</v>
      </c>
      <c r="E41" t="s">
        <v>142</v>
      </c>
      <c r="F41">
        <v>35</v>
      </c>
      <c r="G41" s="52">
        <v>0.138339920948617</v>
      </c>
      <c r="H41">
        <v>30</v>
      </c>
      <c r="I41" s="52">
        <v>0.140845070422535</v>
      </c>
      <c r="J41">
        <v>7683</v>
      </c>
      <c r="K41">
        <v>70</v>
      </c>
      <c r="L41" s="52">
        <v>0.127970749542962</v>
      </c>
      <c r="M41" t="s">
        <v>162</v>
      </c>
    </row>
    <row r="42" spans="1:13">
      <c r="A42" t="s">
        <v>32</v>
      </c>
      <c r="B42" t="s">
        <v>131</v>
      </c>
      <c r="C42">
        <v>251</v>
      </c>
      <c r="D42" t="s">
        <v>103</v>
      </c>
      <c r="E42" t="s">
        <v>142</v>
      </c>
      <c r="F42">
        <v>3</v>
      </c>
      <c r="G42" s="52">
        <v>1.18577075098814E-2</v>
      </c>
      <c r="H42">
        <v>3</v>
      </c>
      <c r="I42" s="52">
        <v>1.4084507042253501E-2</v>
      </c>
      <c r="J42">
        <v>9848</v>
      </c>
      <c r="K42">
        <v>9</v>
      </c>
      <c r="L42" s="52">
        <v>1.6453382084095101E-2</v>
      </c>
      <c r="M42" t="s">
        <v>163</v>
      </c>
    </row>
    <row r="43" spans="1:13">
      <c r="A43" t="s">
        <v>125</v>
      </c>
      <c r="B43" t="s">
        <v>131</v>
      </c>
      <c r="C43">
        <v>251</v>
      </c>
      <c r="D43" t="s">
        <v>67</v>
      </c>
      <c r="E43" t="s">
        <v>142</v>
      </c>
      <c r="F43">
        <v>6</v>
      </c>
      <c r="G43" s="52">
        <v>2.3715415019762799E-2</v>
      </c>
      <c r="H43">
        <v>6</v>
      </c>
      <c r="I43" s="52">
        <v>2.8169014084507001E-2</v>
      </c>
      <c r="J43">
        <v>6690</v>
      </c>
      <c r="K43">
        <v>12</v>
      </c>
      <c r="L43" s="52">
        <v>2.19378427787934E-2</v>
      </c>
    </row>
    <row r="44" spans="1:13">
      <c r="A44" t="s">
        <v>32</v>
      </c>
      <c r="B44" t="s">
        <v>131</v>
      </c>
      <c r="C44">
        <v>251</v>
      </c>
      <c r="D44" t="s">
        <v>93</v>
      </c>
      <c r="E44" t="s">
        <v>142</v>
      </c>
      <c r="F44">
        <v>3</v>
      </c>
      <c r="G44" s="52">
        <v>1.18577075098814E-2</v>
      </c>
      <c r="H44">
        <v>3</v>
      </c>
      <c r="I44" s="52">
        <v>1.4084507042253501E-2</v>
      </c>
      <c r="J44">
        <v>9848</v>
      </c>
      <c r="K44">
        <v>9</v>
      </c>
      <c r="L44" s="52">
        <v>1.6453382084095101E-2</v>
      </c>
    </row>
    <row r="45" spans="1:13">
      <c r="A45" t="s">
        <v>125</v>
      </c>
      <c r="B45" t="s">
        <v>131</v>
      </c>
      <c r="C45">
        <v>251</v>
      </c>
      <c r="D45" t="s">
        <v>90</v>
      </c>
      <c r="E45" t="s">
        <v>142</v>
      </c>
      <c r="F45">
        <v>31</v>
      </c>
      <c r="G45" s="52">
        <v>0.122529644268775</v>
      </c>
      <c r="H45">
        <v>30</v>
      </c>
      <c r="I45" s="52">
        <v>0.140845070422535</v>
      </c>
      <c r="J45">
        <v>8709</v>
      </c>
      <c r="K45">
        <v>93</v>
      </c>
      <c r="L45" s="52">
        <v>0.17001828153564899</v>
      </c>
    </row>
    <row r="46" spans="1:13">
      <c r="A46" t="s">
        <v>125</v>
      </c>
      <c r="B46" t="s">
        <v>131</v>
      </c>
      <c r="C46">
        <v>251</v>
      </c>
      <c r="D46" t="s">
        <v>72</v>
      </c>
      <c r="E46" t="s">
        <v>142</v>
      </c>
      <c r="F46">
        <v>25</v>
      </c>
      <c r="G46" s="52">
        <v>9.8814229249011898E-2</v>
      </c>
      <c r="H46">
        <v>23</v>
      </c>
      <c r="I46" s="52">
        <v>0.107981220657277</v>
      </c>
      <c r="J46">
        <v>5184</v>
      </c>
      <c r="K46">
        <v>50</v>
      </c>
      <c r="L46" s="52">
        <v>9.1407678244972604E-2</v>
      </c>
    </row>
    <row r="47" spans="1:13">
      <c r="A47" t="s">
        <v>32</v>
      </c>
      <c r="B47" t="s">
        <v>131</v>
      </c>
      <c r="C47">
        <v>251</v>
      </c>
      <c r="D47" t="s">
        <v>81</v>
      </c>
      <c r="E47" t="s">
        <v>142</v>
      </c>
      <c r="F47">
        <v>1</v>
      </c>
      <c r="G47" s="52">
        <v>3.9525691699604697E-3</v>
      </c>
      <c r="H47">
        <v>1</v>
      </c>
      <c r="I47" s="52">
        <v>4.6948356807511703E-3</v>
      </c>
      <c r="K47">
        <v>1</v>
      </c>
      <c r="L47" s="52">
        <v>1.82815356489945E-3</v>
      </c>
    </row>
    <row r="48" spans="1:13">
      <c r="A48" t="s">
        <v>128</v>
      </c>
      <c r="B48" t="s">
        <v>131</v>
      </c>
      <c r="C48">
        <v>251</v>
      </c>
      <c r="D48" t="s">
        <v>84</v>
      </c>
      <c r="E48" t="s">
        <v>142</v>
      </c>
      <c r="F48">
        <v>6</v>
      </c>
      <c r="G48" s="52">
        <v>2.3715415019762799E-2</v>
      </c>
      <c r="H48">
        <v>5</v>
      </c>
      <c r="I48" s="52">
        <v>2.3474178403755899E-2</v>
      </c>
      <c r="J48">
        <v>11451</v>
      </c>
      <c r="K48">
        <v>24</v>
      </c>
      <c r="L48" s="52">
        <v>4.3875685557586801E-2</v>
      </c>
    </row>
    <row r="49" spans="1:13">
      <c r="A49" t="s">
        <v>128</v>
      </c>
      <c r="B49" t="s">
        <v>131</v>
      </c>
      <c r="C49">
        <v>251</v>
      </c>
      <c r="D49" t="s">
        <v>110</v>
      </c>
      <c r="E49" t="s">
        <v>142</v>
      </c>
      <c r="F49">
        <v>21</v>
      </c>
      <c r="G49" s="52">
        <v>8.3003952569169995E-2</v>
      </c>
      <c r="H49">
        <v>21</v>
      </c>
      <c r="I49" s="52">
        <v>9.85915492957746E-2</v>
      </c>
      <c r="J49">
        <v>6592</v>
      </c>
      <c r="K49">
        <v>42</v>
      </c>
      <c r="L49" s="52">
        <v>7.6782449725776997E-2</v>
      </c>
    </row>
    <row r="50" spans="1:13">
      <c r="A50" t="s">
        <v>32</v>
      </c>
      <c r="B50" t="s">
        <v>132</v>
      </c>
      <c r="C50">
        <v>252</v>
      </c>
      <c r="D50" t="s">
        <v>93</v>
      </c>
      <c r="E50" t="s">
        <v>142</v>
      </c>
      <c r="F50">
        <v>3</v>
      </c>
      <c r="G50" s="52">
        <v>6.3424947145877403E-3</v>
      </c>
      <c r="H50">
        <v>3</v>
      </c>
      <c r="I50" s="52">
        <v>1.0638297872340399E-2</v>
      </c>
      <c r="J50">
        <v>10914</v>
      </c>
      <c r="K50">
        <v>12</v>
      </c>
      <c r="L50" s="52">
        <v>6.4690026954177899E-3</v>
      </c>
      <c r="M50" t="s">
        <v>164</v>
      </c>
    </row>
    <row r="51" spans="1:13">
      <c r="A51" t="s">
        <v>28</v>
      </c>
      <c r="B51" t="s">
        <v>132</v>
      </c>
      <c r="C51">
        <v>252</v>
      </c>
      <c r="D51" t="s">
        <v>68</v>
      </c>
      <c r="E51" t="s">
        <v>142</v>
      </c>
      <c r="F51">
        <v>93</v>
      </c>
      <c r="G51" s="52">
        <v>0.19661733615221999</v>
      </c>
      <c r="H51">
        <v>74</v>
      </c>
      <c r="I51" s="52">
        <v>0.26241134751772999</v>
      </c>
      <c r="J51">
        <v>10990</v>
      </c>
      <c r="K51">
        <v>372</v>
      </c>
      <c r="L51" s="52">
        <v>0.200539083557951</v>
      </c>
    </row>
    <row r="52" spans="1:13">
      <c r="A52" t="s">
        <v>32</v>
      </c>
      <c r="B52" t="s">
        <v>132</v>
      </c>
      <c r="C52">
        <v>252</v>
      </c>
      <c r="D52" t="s">
        <v>71</v>
      </c>
      <c r="E52" t="s">
        <v>142</v>
      </c>
      <c r="F52">
        <v>46</v>
      </c>
      <c r="G52" s="52">
        <v>9.7251585623678596E-2</v>
      </c>
      <c r="H52">
        <v>21</v>
      </c>
      <c r="I52" s="52">
        <v>7.4468085106383003E-2</v>
      </c>
      <c r="J52">
        <v>10990</v>
      </c>
      <c r="K52">
        <v>184</v>
      </c>
      <c r="L52" s="52">
        <v>9.9191374663072804E-2</v>
      </c>
    </row>
    <row r="53" spans="1:13">
      <c r="A53" t="s">
        <v>126</v>
      </c>
      <c r="B53" t="s">
        <v>132</v>
      </c>
      <c r="C53">
        <v>252</v>
      </c>
      <c r="D53" t="s">
        <v>64</v>
      </c>
      <c r="E53" t="s">
        <v>142</v>
      </c>
      <c r="F53">
        <v>109</v>
      </c>
      <c r="G53" s="52">
        <v>0.230443974630021</v>
      </c>
      <c r="H53">
        <v>61</v>
      </c>
      <c r="I53" s="52">
        <v>0.21631205673758899</v>
      </c>
      <c r="J53">
        <v>10990</v>
      </c>
      <c r="K53">
        <v>436</v>
      </c>
      <c r="L53" s="52">
        <v>0.23504043126684601</v>
      </c>
    </row>
    <row r="54" spans="1:13">
      <c r="A54" t="s">
        <v>128</v>
      </c>
      <c r="B54" t="s">
        <v>132</v>
      </c>
      <c r="C54">
        <v>252</v>
      </c>
      <c r="D54" t="s">
        <v>110</v>
      </c>
      <c r="E54" t="s">
        <v>142</v>
      </c>
      <c r="F54">
        <v>4</v>
      </c>
      <c r="G54" s="52">
        <v>8.4566596194503192E-3</v>
      </c>
      <c r="H54">
        <v>2</v>
      </c>
      <c r="I54" s="52">
        <v>7.09219858156028E-3</v>
      </c>
      <c r="J54">
        <v>12254</v>
      </c>
      <c r="K54">
        <v>20</v>
      </c>
      <c r="L54" s="52">
        <v>1.07816711590296E-2</v>
      </c>
    </row>
    <row r="55" spans="1:13">
      <c r="A55" t="s">
        <v>130</v>
      </c>
      <c r="B55" t="s">
        <v>132</v>
      </c>
      <c r="C55">
        <v>252</v>
      </c>
      <c r="D55" t="s">
        <v>111</v>
      </c>
      <c r="E55" t="s">
        <v>142</v>
      </c>
      <c r="F55">
        <v>9</v>
      </c>
      <c r="G55" s="52">
        <v>1.90274841437632E-2</v>
      </c>
      <c r="H55">
        <v>3</v>
      </c>
      <c r="I55" s="52">
        <v>1.0638297872340399E-2</v>
      </c>
      <c r="J55">
        <v>9890</v>
      </c>
      <c r="K55">
        <v>27</v>
      </c>
      <c r="L55" s="52">
        <v>1.4555256064690001E-2</v>
      </c>
    </row>
    <row r="56" spans="1:13">
      <c r="A56" t="s">
        <v>125</v>
      </c>
      <c r="B56" t="s">
        <v>132</v>
      </c>
      <c r="C56">
        <v>252</v>
      </c>
      <c r="D56" t="s">
        <v>90</v>
      </c>
      <c r="E56" t="s">
        <v>142</v>
      </c>
      <c r="F56">
        <v>65</v>
      </c>
      <c r="G56" s="52">
        <v>0.13742071881606799</v>
      </c>
      <c r="H56">
        <v>36</v>
      </c>
      <c r="I56" s="52">
        <v>0.12765957446808501</v>
      </c>
      <c r="J56">
        <v>13961</v>
      </c>
      <c r="K56">
        <v>325</v>
      </c>
      <c r="L56" s="52">
        <v>0.175202156334232</v>
      </c>
    </row>
    <row r="57" spans="1:13">
      <c r="A57" t="s">
        <v>125</v>
      </c>
      <c r="B57" t="s">
        <v>132</v>
      </c>
      <c r="C57">
        <v>252</v>
      </c>
      <c r="D57" t="s">
        <v>115</v>
      </c>
      <c r="E57" t="s">
        <v>142</v>
      </c>
      <c r="F57">
        <v>3</v>
      </c>
      <c r="G57" s="52">
        <v>6.3424947145877403E-3</v>
      </c>
      <c r="H57">
        <v>3</v>
      </c>
      <c r="I57" s="52">
        <v>1.0638297872340399E-2</v>
      </c>
      <c r="J57">
        <v>12763</v>
      </c>
      <c r="K57">
        <v>15</v>
      </c>
      <c r="L57" s="52">
        <v>8.0862533692722394E-3</v>
      </c>
    </row>
    <row r="58" spans="1:13">
      <c r="A58" t="s">
        <v>130</v>
      </c>
      <c r="B58" t="s">
        <v>132</v>
      </c>
      <c r="C58">
        <v>252</v>
      </c>
      <c r="D58">
        <v>141</v>
      </c>
      <c r="E58" t="s">
        <v>142</v>
      </c>
      <c r="F58">
        <v>7</v>
      </c>
      <c r="G58" s="52">
        <v>1.4799154334038099E-2</v>
      </c>
      <c r="H58">
        <v>2</v>
      </c>
      <c r="I58" s="52">
        <v>7.09219858156028E-3</v>
      </c>
      <c r="J58">
        <v>14012</v>
      </c>
      <c r="K58">
        <v>35</v>
      </c>
      <c r="L58" s="52">
        <v>1.88679245283019E-2</v>
      </c>
    </row>
    <row r="59" spans="1:13">
      <c r="A59" t="s">
        <v>130</v>
      </c>
      <c r="B59" t="s">
        <v>132</v>
      </c>
      <c r="C59">
        <v>252</v>
      </c>
      <c r="D59" t="s">
        <v>107</v>
      </c>
      <c r="E59" t="s">
        <v>142</v>
      </c>
      <c r="F59">
        <v>18</v>
      </c>
      <c r="G59" s="52">
        <v>3.80549682875264E-2</v>
      </c>
      <c r="H59">
        <v>11</v>
      </c>
      <c r="I59" s="52">
        <v>3.9007092198581603E-2</v>
      </c>
      <c r="J59">
        <v>12116</v>
      </c>
      <c r="K59">
        <v>90</v>
      </c>
      <c r="L59" s="52">
        <v>4.8517520215633402E-2</v>
      </c>
    </row>
    <row r="60" spans="1:13">
      <c r="A60" t="s">
        <v>125</v>
      </c>
      <c r="B60" t="s">
        <v>132</v>
      </c>
      <c r="C60">
        <v>252</v>
      </c>
      <c r="D60" t="s">
        <v>72</v>
      </c>
      <c r="E60" t="s">
        <v>142</v>
      </c>
      <c r="F60">
        <v>26</v>
      </c>
      <c r="G60" s="52">
        <v>5.4968287526427101E-2</v>
      </c>
      <c r="H60">
        <v>18</v>
      </c>
      <c r="I60" s="52">
        <v>6.3829787234042604E-2</v>
      </c>
      <c r="J60">
        <v>9146</v>
      </c>
      <c r="K60">
        <v>78</v>
      </c>
      <c r="L60" s="52">
        <v>4.20485175202156E-2</v>
      </c>
    </row>
    <row r="61" spans="1:13">
      <c r="A61" t="s">
        <v>130</v>
      </c>
      <c r="B61" t="s">
        <v>132</v>
      </c>
      <c r="C61">
        <v>252</v>
      </c>
      <c r="D61" t="s">
        <v>79</v>
      </c>
      <c r="E61" t="s">
        <v>142</v>
      </c>
      <c r="F61">
        <v>5</v>
      </c>
      <c r="G61" s="52">
        <v>1.05708245243129E-2</v>
      </c>
      <c r="H61">
        <v>5</v>
      </c>
      <c r="I61" s="52">
        <v>1.77304964539007E-2</v>
      </c>
      <c r="J61">
        <v>6513</v>
      </c>
      <c r="K61">
        <v>10</v>
      </c>
      <c r="L61" s="52">
        <v>5.3908355795148199E-3</v>
      </c>
    </row>
    <row r="62" spans="1:13">
      <c r="A62" t="s">
        <v>130</v>
      </c>
      <c r="B62" t="s">
        <v>132</v>
      </c>
      <c r="C62">
        <v>252</v>
      </c>
      <c r="D62" t="s">
        <v>70</v>
      </c>
      <c r="E62" t="s">
        <v>142</v>
      </c>
      <c r="F62">
        <v>46</v>
      </c>
      <c r="G62" s="52">
        <v>9.7251585623678596E-2</v>
      </c>
      <c r="H62">
        <v>21</v>
      </c>
      <c r="I62" s="52">
        <v>7.4468085106383003E-2</v>
      </c>
      <c r="J62">
        <v>10990</v>
      </c>
      <c r="K62">
        <v>184</v>
      </c>
      <c r="L62" s="52">
        <v>9.9191374663072804E-2</v>
      </c>
    </row>
    <row r="63" spans="1:13">
      <c r="A63" t="s">
        <v>30</v>
      </c>
      <c r="B63" t="s">
        <v>132</v>
      </c>
      <c r="C63">
        <v>252</v>
      </c>
      <c r="D63" t="s">
        <v>117</v>
      </c>
      <c r="E63" t="s">
        <v>142</v>
      </c>
      <c r="F63">
        <v>31</v>
      </c>
      <c r="G63" s="52">
        <v>6.5539112050740006E-2</v>
      </c>
      <c r="H63">
        <v>14</v>
      </c>
      <c r="I63" s="52">
        <v>4.9645390070922002E-2</v>
      </c>
      <c r="J63">
        <v>2322</v>
      </c>
      <c r="K63">
        <v>31</v>
      </c>
      <c r="L63" s="52">
        <v>1.6711590296496E-2</v>
      </c>
    </row>
    <row r="64" spans="1:13">
      <c r="A64" t="s">
        <v>128</v>
      </c>
      <c r="B64" t="s">
        <v>132</v>
      </c>
      <c r="C64">
        <v>252</v>
      </c>
      <c r="D64" t="s">
        <v>103</v>
      </c>
      <c r="E64" t="s">
        <v>142</v>
      </c>
      <c r="F64">
        <v>2</v>
      </c>
      <c r="G64" s="52">
        <v>4.2283298097251596E-3</v>
      </c>
      <c r="H64">
        <v>2</v>
      </c>
      <c r="I64" s="52">
        <v>7.09219858156028E-3</v>
      </c>
      <c r="J64">
        <v>12114</v>
      </c>
      <c r="K64">
        <v>10</v>
      </c>
      <c r="L64" s="52">
        <v>5.3908355795148199E-3</v>
      </c>
    </row>
    <row r="65" spans="1:12">
      <c r="A65" t="s">
        <v>125</v>
      </c>
      <c r="B65" t="s">
        <v>132</v>
      </c>
      <c r="C65">
        <v>252</v>
      </c>
      <c r="D65" t="s">
        <v>67</v>
      </c>
      <c r="E65" t="s">
        <v>142</v>
      </c>
      <c r="F65">
        <v>5</v>
      </c>
      <c r="G65" s="52">
        <v>1.05708245243129E-2</v>
      </c>
      <c r="H65">
        <v>5</v>
      </c>
      <c r="I65" s="52">
        <v>1.77304964539007E-2</v>
      </c>
      <c r="J65">
        <v>10990</v>
      </c>
      <c r="K65">
        <v>20</v>
      </c>
      <c r="L65" s="52">
        <v>1.07816711590296E-2</v>
      </c>
    </row>
    <row r="66" spans="1:12">
      <c r="A66" t="s">
        <v>130</v>
      </c>
      <c r="B66" t="s">
        <v>132</v>
      </c>
      <c r="C66">
        <v>252</v>
      </c>
      <c r="D66" t="s">
        <v>87</v>
      </c>
      <c r="E66" t="s">
        <v>142</v>
      </c>
      <c r="F66">
        <v>1</v>
      </c>
      <c r="G66" s="52">
        <v>2.1141649048625798E-3</v>
      </c>
      <c r="H66">
        <v>1</v>
      </c>
      <c r="I66" s="52">
        <v>3.54609929078014E-3</v>
      </c>
      <c r="J66">
        <v>15113</v>
      </c>
      <c r="K66">
        <v>6</v>
      </c>
      <c r="L66" s="52">
        <v>3.2345013477089002E-3</v>
      </c>
    </row>
    <row r="67" spans="1:12">
      <c r="A67" t="s">
        <v>130</v>
      </c>
      <c r="B67" t="s">
        <v>133</v>
      </c>
      <c r="C67">
        <v>261</v>
      </c>
      <c r="D67" t="s">
        <v>107</v>
      </c>
      <c r="E67" t="s">
        <v>142</v>
      </c>
      <c r="F67">
        <v>12</v>
      </c>
      <c r="G67" s="52">
        <v>2.04081632653061E-2</v>
      </c>
      <c r="H67">
        <v>10</v>
      </c>
      <c r="I67" s="52">
        <v>3.4602076124567498E-2</v>
      </c>
      <c r="J67">
        <v>7755</v>
      </c>
      <c r="K67">
        <v>24</v>
      </c>
      <c r="L67" s="52">
        <v>1.9623875715453799E-2</v>
      </c>
    </row>
    <row r="68" spans="1:12">
      <c r="A68" t="s">
        <v>130</v>
      </c>
      <c r="B68" t="s">
        <v>133</v>
      </c>
      <c r="C68">
        <v>261</v>
      </c>
      <c r="D68" t="s">
        <v>70</v>
      </c>
      <c r="E68" t="s">
        <v>142</v>
      </c>
      <c r="F68">
        <v>146</v>
      </c>
      <c r="G68" s="52">
        <v>0.24829931972789099</v>
      </c>
      <c r="H68">
        <v>63</v>
      </c>
      <c r="I68" s="52">
        <v>0.21799307958477501</v>
      </c>
      <c r="J68">
        <v>7482</v>
      </c>
      <c r="K68">
        <v>292</v>
      </c>
      <c r="L68" s="52">
        <v>0.23875715453802099</v>
      </c>
    </row>
    <row r="69" spans="1:12">
      <c r="A69" t="s">
        <v>130</v>
      </c>
      <c r="B69" t="s">
        <v>133</v>
      </c>
      <c r="C69">
        <v>261</v>
      </c>
      <c r="D69" t="s">
        <v>111</v>
      </c>
      <c r="E69" t="s">
        <v>142</v>
      </c>
      <c r="F69">
        <v>9</v>
      </c>
      <c r="G69" s="52">
        <v>1.53061224489796E-2</v>
      </c>
      <c r="H69">
        <v>5</v>
      </c>
      <c r="I69" s="52">
        <v>1.73010380622837E-2</v>
      </c>
      <c r="J69">
        <v>9276</v>
      </c>
      <c r="K69">
        <v>27</v>
      </c>
      <c r="L69" s="52">
        <v>2.2076860179885499E-2</v>
      </c>
    </row>
    <row r="70" spans="1:12">
      <c r="A70" t="s">
        <v>28</v>
      </c>
      <c r="B70" t="s">
        <v>133</v>
      </c>
      <c r="C70">
        <v>261</v>
      </c>
      <c r="D70" t="s">
        <v>68</v>
      </c>
      <c r="E70" t="s">
        <v>142</v>
      </c>
      <c r="F70">
        <v>46</v>
      </c>
      <c r="G70" s="52">
        <v>7.8231292517006806E-2</v>
      </c>
      <c r="H70">
        <v>30</v>
      </c>
      <c r="I70" s="52">
        <v>0.103806228373702</v>
      </c>
      <c r="J70">
        <v>7482</v>
      </c>
      <c r="K70">
        <v>92</v>
      </c>
      <c r="L70" s="52">
        <v>7.5224856909239607E-2</v>
      </c>
    </row>
    <row r="71" spans="1:12">
      <c r="A71" t="s">
        <v>128</v>
      </c>
      <c r="B71" t="s">
        <v>133</v>
      </c>
      <c r="C71">
        <v>261</v>
      </c>
      <c r="D71" t="s">
        <v>84</v>
      </c>
      <c r="E71" t="s">
        <v>142</v>
      </c>
      <c r="F71">
        <v>57</v>
      </c>
      <c r="G71" s="52">
        <v>9.6938775510204106E-2</v>
      </c>
      <c r="H71">
        <v>16</v>
      </c>
      <c r="I71" s="52">
        <v>5.5363321799308002E-2</v>
      </c>
      <c r="K71">
        <v>57</v>
      </c>
      <c r="L71" s="52">
        <v>4.6606704824202802E-2</v>
      </c>
    </row>
    <row r="72" spans="1:12">
      <c r="A72" t="s">
        <v>30</v>
      </c>
      <c r="B72" t="s">
        <v>133</v>
      </c>
      <c r="C72">
        <v>261</v>
      </c>
      <c r="D72" t="s">
        <v>117</v>
      </c>
      <c r="E72" t="s">
        <v>142</v>
      </c>
      <c r="F72">
        <v>82</v>
      </c>
      <c r="G72" s="52">
        <v>0.13945578231292499</v>
      </c>
      <c r="H72">
        <v>36</v>
      </c>
      <c r="I72" s="52">
        <v>0.124567474048443</v>
      </c>
      <c r="J72">
        <v>4650</v>
      </c>
      <c r="K72">
        <v>164</v>
      </c>
      <c r="L72" s="52">
        <v>0.13409648405560101</v>
      </c>
    </row>
    <row r="73" spans="1:12">
      <c r="A73" t="s">
        <v>128</v>
      </c>
      <c r="B73" t="s">
        <v>133</v>
      </c>
      <c r="C73">
        <v>261</v>
      </c>
      <c r="D73" t="s">
        <v>100</v>
      </c>
      <c r="E73" t="s">
        <v>142</v>
      </c>
      <c r="F73">
        <v>6</v>
      </c>
      <c r="G73" s="52">
        <v>1.02040816326531E-2</v>
      </c>
      <c r="H73">
        <v>5</v>
      </c>
      <c r="I73" s="52">
        <v>1.73010380622837E-2</v>
      </c>
      <c r="J73">
        <v>11486</v>
      </c>
      <c r="K73">
        <v>24</v>
      </c>
      <c r="L73" s="52">
        <v>1.9623875715453799E-2</v>
      </c>
    </row>
    <row r="74" spans="1:12">
      <c r="A74" t="s">
        <v>128</v>
      </c>
      <c r="B74" t="s">
        <v>133</v>
      </c>
      <c r="C74">
        <v>261</v>
      </c>
      <c r="D74" t="s">
        <v>103</v>
      </c>
      <c r="E74" t="s">
        <v>142</v>
      </c>
      <c r="F74">
        <v>6</v>
      </c>
      <c r="G74" s="52">
        <v>1.02040816326531E-2</v>
      </c>
      <c r="H74">
        <v>1</v>
      </c>
      <c r="I74" s="52">
        <v>3.4602076124567501E-3</v>
      </c>
      <c r="J74">
        <v>8037</v>
      </c>
      <c r="K74">
        <v>18</v>
      </c>
      <c r="L74" s="52">
        <v>1.47179067865904E-2</v>
      </c>
    </row>
    <row r="75" spans="1:12">
      <c r="A75" t="s">
        <v>128</v>
      </c>
      <c r="B75" t="s">
        <v>133</v>
      </c>
      <c r="C75">
        <v>261</v>
      </c>
      <c r="D75" t="s">
        <v>114</v>
      </c>
      <c r="E75" t="s">
        <v>142</v>
      </c>
      <c r="F75">
        <v>21</v>
      </c>
      <c r="G75" s="52">
        <v>3.5714285714285698E-2</v>
      </c>
      <c r="H75">
        <v>21</v>
      </c>
      <c r="I75" s="52">
        <v>7.2664359861591699E-2</v>
      </c>
      <c r="J75">
        <v>5443</v>
      </c>
      <c r="K75">
        <v>42</v>
      </c>
      <c r="L75" s="52">
        <v>3.4341782502044199E-2</v>
      </c>
    </row>
    <row r="76" spans="1:12">
      <c r="A76" t="s">
        <v>125</v>
      </c>
      <c r="B76" t="s">
        <v>133</v>
      </c>
      <c r="C76">
        <v>261</v>
      </c>
      <c r="D76" t="s">
        <v>89</v>
      </c>
      <c r="E76" t="s">
        <v>142</v>
      </c>
      <c r="F76">
        <v>2</v>
      </c>
      <c r="G76" s="52">
        <v>3.40136054421769E-3</v>
      </c>
      <c r="H76">
        <v>2</v>
      </c>
      <c r="I76" s="52">
        <v>6.9204152249135002E-3</v>
      </c>
      <c r="J76">
        <v>8210</v>
      </c>
      <c r="K76">
        <v>6</v>
      </c>
      <c r="L76" s="52">
        <v>4.9059689288634498E-3</v>
      </c>
    </row>
    <row r="77" spans="1:12">
      <c r="A77" t="s">
        <v>125</v>
      </c>
      <c r="B77" t="s">
        <v>133</v>
      </c>
      <c r="C77">
        <v>261</v>
      </c>
      <c r="D77" t="s">
        <v>72</v>
      </c>
      <c r="E77" t="s">
        <v>142</v>
      </c>
      <c r="F77">
        <v>7</v>
      </c>
      <c r="G77" s="52">
        <v>1.1904761904761901E-2</v>
      </c>
      <c r="H77">
        <v>5</v>
      </c>
      <c r="I77" s="52">
        <v>1.73010380622837E-2</v>
      </c>
      <c r="J77">
        <v>6165</v>
      </c>
      <c r="K77">
        <v>14</v>
      </c>
      <c r="L77" s="52">
        <v>1.14472608340147E-2</v>
      </c>
    </row>
    <row r="78" spans="1:12">
      <c r="A78" t="s">
        <v>125</v>
      </c>
      <c r="B78" t="s">
        <v>133</v>
      </c>
      <c r="C78">
        <v>261</v>
      </c>
      <c r="D78" t="s">
        <v>67</v>
      </c>
      <c r="E78" t="s">
        <v>142</v>
      </c>
      <c r="F78">
        <v>7</v>
      </c>
      <c r="G78" s="52">
        <v>1.1904761904761901E-2</v>
      </c>
      <c r="H78">
        <v>2</v>
      </c>
      <c r="I78" s="52">
        <v>6.9204152249135002E-3</v>
      </c>
      <c r="J78">
        <v>7482</v>
      </c>
      <c r="K78">
        <v>14</v>
      </c>
      <c r="L78" s="52">
        <v>1.14472608340147E-2</v>
      </c>
    </row>
    <row r="79" spans="1:12">
      <c r="A79" t="s">
        <v>126</v>
      </c>
      <c r="B79" t="s">
        <v>133</v>
      </c>
      <c r="C79">
        <v>261</v>
      </c>
      <c r="D79" t="s">
        <v>64</v>
      </c>
      <c r="E79" t="s">
        <v>142</v>
      </c>
      <c r="F79">
        <v>16</v>
      </c>
      <c r="G79" s="52">
        <v>2.7210884353741499E-2</v>
      </c>
      <c r="H79">
        <v>14</v>
      </c>
      <c r="I79" s="52">
        <v>4.8442906574394498E-2</v>
      </c>
      <c r="J79">
        <v>7482</v>
      </c>
      <c r="K79">
        <v>32</v>
      </c>
      <c r="L79" s="52">
        <v>2.6165167620605102E-2</v>
      </c>
    </row>
    <row r="80" spans="1:12">
      <c r="A80" t="s">
        <v>32</v>
      </c>
      <c r="B80" t="s">
        <v>133</v>
      </c>
      <c r="C80">
        <v>261</v>
      </c>
      <c r="D80" t="s">
        <v>71</v>
      </c>
      <c r="E80" t="s">
        <v>142</v>
      </c>
      <c r="F80">
        <v>146</v>
      </c>
      <c r="G80" s="52">
        <v>0.24829931972789099</v>
      </c>
      <c r="H80">
        <v>63</v>
      </c>
      <c r="I80" s="52">
        <v>0.21799307958477501</v>
      </c>
      <c r="J80">
        <v>7482</v>
      </c>
      <c r="K80">
        <v>292</v>
      </c>
      <c r="L80" s="52">
        <v>0.23875715453802099</v>
      </c>
    </row>
    <row r="81" spans="1:13">
      <c r="A81" t="s">
        <v>125</v>
      </c>
      <c r="B81" t="s">
        <v>133</v>
      </c>
      <c r="C81">
        <v>261</v>
      </c>
      <c r="D81" t="s">
        <v>90</v>
      </c>
      <c r="E81" t="s">
        <v>142</v>
      </c>
      <c r="F81">
        <v>25</v>
      </c>
      <c r="G81" s="52">
        <v>4.2517006802721101E-2</v>
      </c>
      <c r="H81">
        <v>16</v>
      </c>
      <c r="I81" s="52">
        <v>5.5363321799308002E-2</v>
      </c>
      <c r="J81">
        <v>13068</v>
      </c>
      <c r="K81">
        <v>125</v>
      </c>
      <c r="L81" s="52">
        <v>0.10220768601798901</v>
      </c>
    </row>
    <row r="82" spans="1:13">
      <c r="A82" t="s">
        <v>126</v>
      </c>
      <c r="B82" t="s">
        <v>134</v>
      </c>
      <c r="C82">
        <v>262</v>
      </c>
      <c r="D82" t="s">
        <v>64</v>
      </c>
      <c r="E82" t="s">
        <v>142</v>
      </c>
      <c r="F82">
        <v>18</v>
      </c>
      <c r="G82" s="52">
        <v>4.1666666666666699E-2</v>
      </c>
      <c r="H82">
        <v>15</v>
      </c>
      <c r="I82" s="52">
        <v>5.6179775280898903E-2</v>
      </c>
      <c r="J82">
        <v>14987</v>
      </c>
      <c r="K82">
        <v>90</v>
      </c>
      <c r="L82" s="52">
        <v>4.3206913106096999E-2</v>
      </c>
    </row>
    <row r="83" spans="1:13">
      <c r="A83" t="s">
        <v>125</v>
      </c>
      <c r="B83" t="s">
        <v>134</v>
      </c>
      <c r="C83">
        <v>262</v>
      </c>
      <c r="D83" t="s">
        <v>72</v>
      </c>
      <c r="E83" t="s">
        <v>142</v>
      </c>
      <c r="F83">
        <v>23</v>
      </c>
      <c r="G83" s="52">
        <v>5.32407407407407E-2</v>
      </c>
      <c r="H83">
        <v>21</v>
      </c>
      <c r="I83" s="52">
        <v>7.8651685393258397E-2</v>
      </c>
      <c r="J83">
        <v>7573</v>
      </c>
      <c r="K83">
        <v>46</v>
      </c>
      <c r="L83" s="52">
        <v>2.2083533365338501E-2</v>
      </c>
    </row>
    <row r="84" spans="1:13">
      <c r="A84" t="s">
        <v>125</v>
      </c>
      <c r="B84" t="s">
        <v>134</v>
      </c>
      <c r="C84">
        <v>262</v>
      </c>
      <c r="D84" t="s">
        <v>90</v>
      </c>
      <c r="E84" t="s">
        <v>142</v>
      </c>
      <c r="F84">
        <v>47</v>
      </c>
      <c r="G84" s="52">
        <v>0.108796296296296</v>
      </c>
      <c r="H84">
        <v>42</v>
      </c>
      <c r="I84" s="52">
        <v>0.15730337078651699</v>
      </c>
      <c r="J84">
        <v>9838</v>
      </c>
      <c r="K84">
        <v>141</v>
      </c>
      <c r="L84" s="52">
        <v>6.7690830532885299E-2</v>
      </c>
      <c r="M84" t="s">
        <v>155</v>
      </c>
    </row>
    <row r="85" spans="1:13">
      <c r="A85" t="s">
        <v>32</v>
      </c>
      <c r="B85" t="s">
        <v>134</v>
      </c>
      <c r="C85">
        <v>262</v>
      </c>
      <c r="D85" t="s">
        <v>71</v>
      </c>
      <c r="E85" t="s">
        <v>142</v>
      </c>
      <c r="F85">
        <v>89</v>
      </c>
      <c r="G85" s="52">
        <v>0.20601851851851899</v>
      </c>
      <c r="H85">
        <v>49</v>
      </c>
      <c r="I85" s="52">
        <v>0.183520599250936</v>
      </c>
      <c r="J85">
        <v>14987</v>
      </c>
      <c r="K85">
        <v>445</v>
      </c>
      <c r="L85" s="52">
        <v>0.21363418146903501</v>
      </c>
    </row>
    <row r="86" spans="1:13">
      <c r="A86" t="s">
        <v>130</v>
      </c>
      <c r="B86" t="s">
        <v>134</v>
      </c>
      <c r="C86">
        <v>262</v>
      </c>
      <c r="D86" t="s">
        <v>111</v>
      </c>
      <c r="E86" t="s">
        <v>142</v>
      </c>
      <c r="F86">
        <v>6</v>
      </c>
      <c r="G86" s="52">
        <v>1.38888888888889E-2</v>
      </c>
      <c r="H86">
        <v>6</v>
      </c>
      <c r="I86" s="52">
        <v>2.2471910112359599E-2</v>
      </c>
      <c r="J86">
        <v>13597</v>
      </c>
      <c r="K86">
        <v>30</v>
      </c>
      <c r="L86" s="52">
        <v>1.4402304368699E-2</v>
      </c>
    </row>
    <row r="87" spans="1:13">
      <c r="A87" t="s">
        <v>130</v>
      </c>
      <c r="B87" t="s">
        <v>134</v>
      </c>
      <c r="C87">
        <v>262</v>
      </c>
      <c r="D87" t="s">
        <v>70</v>
      </c>
      <c r="E87" t="s">
        <v>142</v>
      </c>
      <c r="F87">
        <v>86</v>
      </c>
      <c r="G87" s="52">
        <v>0.19907407407407399</v>
      </c>
      <c r="H87">
        <v>46</v>
      </c>
      <c r="I87" s="52">
        <v>0.172284644194757</v>
      </c>
      <c r="J87">
        <v>14987</v>
      </c>
      <c r="K87">
        <v>430</v>
      </c>
      <c r="L87" s="52">
        <v>0.20643302928468599</v>
      </c>
    </row>
    <row r="88" spans="1:13">
      <c r="A88" t="s">
        <v>130</v>
      </c>
      <c r="B88" t="s">
        <v>134</v>
      </c>
      <c r="C88">
        <v>262</v>
      </c>
      <c r="D88" t="s">
        <v>107</v>
      </c>
      <c r="E88" t="s">
        <v>142</v>
      </c>
      <c r="F88">
        <v>52</v>
      </c>
      <c r="G88" s="52">
        <v>0.12037037037037</v>
      </c>
      <c r="H88">
        <v>34</v>
      </c>
      <c r="I88" s="52">
        <v>0.12734082397003699</v>
      </c>
      <c r="J88">
        <v>12105</v>
      </c>
      <c r="K88">
        <v>260</v>
      </c>
      <c r="L88" s="52">
        <v>0.124819971195391</v>
      </c>
    </row>
    <row r="89" spans="1:13">
      <c r="A89" t="s">
        <v>28</v>
      </c>
      <c r="B89" t="s">
        <v>134</v>
      </c>
      <c r="C89">
        <v>262</v>
      </c>
      <c r="D89" t="s">
        <v>68</v>
      </c>
      <c r="E89" t="s">
        <v>142</v>
      </c>
      <c r="F89">
        <v>86</v>
      </c>
      <c r="G89" s="52">
        <v>0.19907407407407399</v>
      </c>
      <c r="H89">
        <v>49</v>
      </c>
      <c r="I89" s="52">
        <v>0.183520599250936</v>
      </c>
      <c r="J89">
        <v>15600</v>
      </c>
      <c r="K89">
        <v>516</v>
      </c>
      <c r="L89" s="52">
        <v>0.24771963514162301</v>
      </c>
    </row>
    <row r="90" spans="1:13">
      <c r="A90" t="s">
        <v>130</v>
      </c>
      <c r="B90" t="s">
        <v>134</v>
      </c>
      <c r="C90">
        <v>262</v>
      </c>
      <c r="D90" t="s">
        <v>87</v>
      </c>
      <c r="E90" t="s">
        <v>142</v>
      </c>
      <c r="F90">
        <v>25</v>
      </c>
      <c r="G90" s="52">
        <v>5.7870370370370398E-2</v>
      </c>
      <c r="H90">
        <v>5</v>
      </c>
      <c r="I90" s="52">
        <v>1.8726591760299598E-2</v>
      </c>
      <c r="J90">
        <v>13517</v>
      </c>
      <c r="K90">
        <v>125</v>
      </c>
      <c r="L90" s="52">
        <v>6.00096015362458E-2</v>
      </c>
    </row>
    <row r="91" spans="1:13">
      <c r="A91" t="s">
        <v>130</v>
      </c>
      <c r="B91" t="s">
        <v>135</v>
      </c>
      <c r="C91">
        <v>271</v>
      </c>
      <c r="D91" t="s">
        <v>107</v>
      </c>
      <c r="E91" t="s">
        <v>142</v>
      </c>
      <c r="F91">
        <v>33</v>
      </c>
      <c r="G91" s="52">
        <v>9.4017094017094002E-2</v>
      </c>
      <c r="H91">
        <v>22</v>
      </c>
      <c r="I91" s="52">
        <v>9.2436974789915999E-2</v>
      </c>
      <c r="J91">
        <v>10969</v>
      </c>
      <c r="K91">
        <v>132</v>
      </c>
      <c r="L91" s="52">
        <v>0.21086261980830701</v>
      </c>
    </row>
    <row r="92" spans="1:13">
      <c r="A92" t="s">
        <v>130</v>
      </c>
      <c r="B92" t="s">
        <v>135</v>
      </c>
      <c r="C92">
        <v>271</v>
      </c>
      <c r="D92" t="s">
        <v>70</v>
      </c>
      <c r="E92" t="s">
        <v>142</v>
      </c>
      <c r="F92">
        <v>46</v>
      </c>
      <c r="G92" s="52">
        <v>0.131054131054131</v>
      </c>
      <c r="H92">
        <v>43</v>
      </c>
      <c r="I92" s="52">
        <v>0.18067226890756299</v>
      </c>
      <c r="J92">
        <v>5136</v>
      </c>
      <c r="K92">
        <v>92</v>
      </c>
      <c r="L92" s="52">
        <v>0.146964856230032</v>
      </c>
    </row>
    <row r="93" spans="1:13">
      <c r="A93" t="s">
        <v>30</v>
      </c>
      <c r="B93" t="s">
        <v>135</v>
      </c>
      <c r="C93">
        <v>271</v>
      </c>
      <c r="D93">
        <v>141</v>
      </c>
      <c r="E93" t="s">
        <v>142</v>
      </c>
      <c r="F93">
        <v>24</v>
      </c>
      <c r="G93" s="52">
        <v>6.8376068376068397E-2</v>
      </c>
      <c r="H93">
        <v>8</v>
      </c>
      <c r="I93" s="52">
        <v>3.3613445378151301E-2</v>
      </c>
      <c r="J93">
        <v>10494</v>
      </c>
      <c r="K93">
        <v>96</v>
      </c>
      <c r="L93" s="52">
        <v>0.153354632587859</v>
      </c>
    </row>
    <row r="94" spans="1:13">
      <c r="A94" t="s">
        <v>128</v>
      </c>
      <c r="B94" t="s">
        <v>135</v>
      </c>
      <c r="C94">
        <v>271</v>
      </c>
      <c r="D94" t="s">
        <v>114</v>
      </c>
      <c r="E94" t="s">
        <v>142</v>
      </c>
      <c r="F94">
        <v>16</v>
      </c>
      <c r="G94" s="52">
        <v>4.55840455840456E-2</v>
      </c>
      <c r="H94">
        <v>12</v>
      </c>
      <c r="I94" s="52">
        <v>5.0420168067226899E-2</v>
      </c>
      <c r="K94">
        <v>16</v>
      </c>
      <c r="L94" s="52">
        <v>2.55591054313099E-2</v>
      </c>
    </row>
    <row r="95" spans="1:13">
      <c r="A95" t="s">
        <v>32</v>
      </c>
      <c r="B95" t="s">
        <v>135</v>
      </c>
      <c r="C95">
        <v>271</v>
      </c>
      <c r="D95" t="s">
        <v>71</v>
      </c>
      <c r="E95" t="s">
        <v>142</v>
      </c>
      <c r="F95">
        <v>49</v>
      </c>
      <c r="G95" s="52">
        <v>0.13960113960114001</v>
      </c>
      <c r="H95">
        <v>34</v>
      </c>
      <c r="I95" s="52">
        <v>0.14285714285714299</v>
      </c>
      <c r="K95">
        <v>49</v>
      </c>
      <c r="L95" s="52">
        <v>7.8274760383386599E-2</v>
      </c>
    </row>
    <row r="96" spans="1:13">
      <c r="A96" t="s">
        <v>31</v>
      </c>
      <c r="B96" t="s">
        <v>135</v>
      </c>
      <c r="C96">
        <v>271</v>
      </c>
      <c r="D96" t="s">
        <v>68</v>
      </c>
      <c r="E96" t="s">
        <v>142</v>
      </c>
      <c r="F96">
        <v>47</v>
      </c>
      <c r="G96" s="52">
        <v>0.13390313390313399</v>
      </c>
      <c r="H96">
        <v>29</v>
      </c>
      <c r="I96" s="52">
        <v>0.121848739495798</v>
      </c>
      <c r="J96">
        <v>7010</v>
      </c>
      <c r="K96">
        <v>94</v>
      </c>
      <c r="L96" s="52">
        <v>0.150159744408946</v>
      </c>
    </row>
    <row r="97" spans="1:13">
      <c r="A97" t="s">
        <v>128</v>
      </c>
      <c r="B97" t="s">
        <v>135</v>
      </c>
      <c r="C97">
        <v>271</v>
      </c>
      <c r="D97" t="s">
        <v>100</v>
      </c>
      <c r="E97" t="s">
        <v>142</v>
      </c>
      <c r="F97">
        <v>3</v>
      </c>
      <c r="G97" s="52">
        <v>8.5470085470085496E-3</v>
      </c>
      <c r="H97">
        <v>2</v>
      </c>
      <c r="I97" s="52">
        <v>8.4033613445378096E-3</v>
      </c>
      <c r="K97">
        <v>3</v>
      </c>
      <c r="L97" s="52">
        <v>4.7923322683706103E-3</v>
      </c>
    </row>
    <row r="98" spans="1:13">
      <c r="A98" t="s">
        <v>128</v>
      </c>
      <c r="B98" t="s">
        <v>135</v>
      </c>
      <c r="C98">
        <v>271</v>
      </c>
      <c r="D98" t="s">
        <v>84</v>
      </c>
      <c r="E98" t="s">
        <v>142</v>
      </c>
      <c r="F98">
        <v>23</v>
      </c>
      <c r="G98" s="52">
        <v>6.5527065527065498E-2</v>
      </c>
      <c r="H98">
        <v>21</v>
      </c>
      <c r="I98" s="52">
        <v>8.8235294117647106E-2</v>
      </c>
      <c r="K98">
        <v>23</v>
      </c>
      <c r="L98" s="52">
        <v>3.6741214057508E-2</v>
      </c>
    </row>
    <row r="99" spans="1:13">
      <c r="A99" t="s">
        <v>125</v>
      </c>
      <c r="B99" t="s">
        <v>135</v>
      </c>
      <c r="C99">
        <v>271</v>
      </c>
      <c r="D99" t="s">
        <v>90</v>
      </c>
      <c r="E99" t="s">
        <v>142</v>
      </c>
      <c r="F99">
        <v>45</v>
      </c>
      <c r="G99" s="52">
        <v>0.128205128205128</v>
      </c>
      <c r="H99">
        <v>34</v>
      </c>
      <c r="I99" s="52">
        <v>0.14285714285714299</v>
      </c>
      <c r="K99">
        <v>45</v>
      </c>
      <c r="L99" s="52">
        <v>7.1884984025559095E-2</v>
      </c>
      <c r="M99" t="s">
        <v>156</v>
      </c>
    </row>
    <row r="100" spans="1:13">
      <c r="A100" t="s">
        <v>125</v>
      </c>
      <c r="B100" t="s">
        <v>135</v>
      </c>
      <c r="C100">
        <v>271</v>
      </c>
      <c r="D100" t="s">
        <v>72</v>
      </c>
      <c r="E100" t="s">
        <v>142</v>
      </c>
      <c r="F100">
        <v>2</v>
      </c>
      <c r="G100" s="52">
        <v>5.6980056980057E-3</v>
      </c>
      <c r="H100">
        <v>2</v>
      </c>
      <c r="I100" s="52">
        <v>8.4033613445378096E-3</v>
      </c>
      <c r="K100">
        <v>2</v>
      </c>
      <c r="L100" s="52">
        <v>3.1948881789137401E-3</v>
      </c>
    </row>
    <row r="101" spans="1:13">
      <c r="A101" t="s">
        <v>126</v>
      </c>
      <c r="B101" t="s">
        <v>135</v>
      </c>
      <c r="C101">
        <v>271</v>
      </c>
      <c r="D101" t="s">
        <v>64</v>
      </c>
      <c r="E101" t="s">
        <v>142</v>
      </c>
      <c r="F101">
        <v>52</v>
      </c>
      <c r="G101" s="52">
        <v>0.148148148148148</v>
      </c>
      <c r="H101">
        <v>25</v>
      </c>
      <c r="I101" s="52">
        <v>0.105042016806723</v>
      </c>
      <c r="K101">
        <v>52</v>
      </c>
      <c r="L101" s="52">
        <v>8.3067092651757199E-2</v>
      </c>
    </row>
    <row r="102" spans="1:13">
      <c r="A102" t="s">
        <v>28</v>
      </c>
      <c r="B102" t="s">
        <v>135</v>
      </c>
      <c r="C102">
        <v>271</v>
      </c>
      <c r="D102" t="s">
        <v>68</v>
      </c>
      <c r="E102" t="s">
        <v>142</v>
      </c>
      <c r="F102">
        <v>11</v>
      </c>
      <c r="G102" s="52">
        <v>3.1339031339031299E-2</v>
      </c>
      <c r="H102">
        <v>6</v>
      </c>
      <c r="I102" s="52">
        <v>2.5210084033613401E-2</v>
      </c>
      <c r="J102">
        <v>6992</v>
      </c>
      <c r="K102">
        <v>22</v>
      </c>
      <c r="L102" s="52">
        <v>3.5143769968051103E-2</v>
      </c>
    </row>
    <row r="103" spans="1:13">
      <c r="A103" t="s">
        <v>126</v>
      </c>
      <c r="B103" t="s">
        <v>124</v>
      </c>
      <c r="C103">
        <v>232</v>
      </c>
      <c r="D103" t="s">
        <v>108</v>
      </c>
      <c r="E103" t="s">
        <v>49</v>
      </c>
      <c r="F103">
        <v>18</v>
      </c>
      <c r="G103" s="52">
        <v>3.6363636363636397E-2</v>
      </c>
      <c r="H103">
        <v>3</v>
      </c>
      <c r="I103" s="52">
        <v>2.8571428571428598E-2</v>
      </c>
      <c r="J103">
        <v>8069</v>
      </c>
      <c r="K103">
        <v>54</v>
      </c>
      <c r="L103" s="52">
        <v>4.94958753437214E-2</v>
      </c>
    </row>
    <row r="104" spans="1:13">
      <c r="A104" t="s">
        <v>128</v>
      </c>
      <c r="B104" t="s">
        <v>124</v>
      </c>
      <c r="C104">
        <v>232</v>
      </c>
      <c r="D104" t="s">
        <v>84</v>
      </c>
      <c r="E104" t="s">
        <v>49</v>
      </c>
      <c r="F104">
        <v>21</v>
      </c>
      <c r="G104" s="52">
        <v>4.2424242424242399E-2</v>
      </c>
      <c r="H104">
        <v>5</v>
      </c>
      <c r="I104" s="52">
        <v>4.7619047619047603E-2</v>
      </c>
      <c r="J104">
        <v>11873</v>
      </c>
      <c r="K104">
        <v>84</v>
      </c>
      <c r="L104" s="52">
        <v>7.6993583868011001E-2</v>
      </c>
    </row>
    <row r="105" spans="1:13">
      <c r="A105" t="s">
        <v>128</v>
      </c>
      <c r="B105" t="s">
        <v>124</v>
      </c>
      <c r="C105">
        <v>232</v>
      </c>
      <c r="D105" t="s">
        <v>94</v>
      </c>
      <c r="E105" t="s">
        <v>49</v>
      </c>
      <c r="F105">
        <v>138</v>
      </c>
      <c r="G105" s="52">
        <v>0.27878787878787897</v>
      </c>
      <c r="H105">
        <v>15</v>
      </c>
      <c r="I105" s="52">
        <v>0.14285714285714299</v>
      </c>
      <c r="J105">
        <v>7639</v>
      </c>
      <c r="K105">
        <v>276</v>
      </c>
      <c r="L105" s="52">
        <v>0.25297891842346498</v>
      </c>
    </row>
    <row r="106" spans="1:13">
      <c r="A106" t="s">
        <v>128</v>
      </c>
      <c r="B106" t="s">
        <v>124</v>
      </c>
      <c r="C106">
        <v>232</v>
      </c>
      <c r="D106" t="s">
        <v>110</v>
      </c>
      <c r="E106" t="s">
        <v>49</v>
      </c>
      <c r="F106">
        <v>88</v>
      </c>
      <c r="G106" s="52">
        <v>0.17777777777777801</v>
      </c>
      <c r="H106">
        <v>16</v>
      </c>
      <c r="I106" s="52">
        <v>0.15238095238095201</v>
      </c>
      <c r="J106">
        <v>7332</v>
      </c>
      <c r="K106">
        <v>176</v>
      </c>
      <c r="L106" s="52">
        <v>0.16131989000916599</v>
      </c>
    </row>
    <row r="107" spans="1:13">
      <c r="A107" t="s">
        <v>32</v>
      </c>
      <c r="B107" t="s">
        <v>124</v>
      </c>
      <c r="C107">
        <v>232</v>
      </c>
      <c r="D107" t="s">
        <v>103</v>
      </c>
      <c r="E107" t="s">
        <v>49</v>
      </c>
      <c r="F107">
        <v>11</v>
      </c>
      <c r="G107" s="52">
        <v>2.2222222222222199E-2</v>
      </c>
      <c r="H107">
        <v>3</v>
      </c>
      <c r="I107" s="52">
        <v>2.8571428571428598E-2</v>
      </c>
      <c r="J107">
        <v>13224</v>
      </c>
      <c r="K107">
        <v>55</v>
      </c>
      <c r="L107" s="52">
        <v>5.0412465627864403E-2</v>
      </c>
    </row>
    <row r="108" spans="1:13">
      <c r="A108" t="s">
        <v>125</v>
      </c>
      <c r="B108" t="s">
        <v>124</v>
      </c>
      <c r="C108">
        <v>232</v>
      </c>
      <c r="D108" t="s">
        <v>72</v>
      </c>
      <c r="E108" t="s">
        <v>49</v>
      </c>
      <c r="F108">
        <v>54</v>
      </c>
      <c r="G108" s="52">
        <v>0.109090909090909</v>
      </c>
      <c r="H108">
        <v>19</v>
      </c>
      <c r="I108" s="52">
        <v>0.180952380952381</v>
      </c>
      <c r="J108">
        <v>4705</v>
      </c>
      <c r="K108">
        <v>108</v>
      </c>
      <c r="L108" s="52">
        <v>9.8991750687442703E-2</v>
      </c>
    </row>
    <row r="109" spans="1:13">
      <c r="A109" t="s">
        <v>125</v>
      </c>
      <c r="B109" t="s">
        <v>124</v>
      </c>
      <c r="C109">
        <v>232</v>
      </c>
      <c r="D109" t="s">
        <v>93</v>
      </c>
      <c r="E109" t="s">
        <v>49</v>
      </c>
      <c r="F109">
        <v>8</v>
      </c>
      <c r="G109" s="52">
        <v>1.61616161616162E-2</v>
      </c>
      <c r="H109">
        <v>2</v>
      </c>
      <c r="I109" s="52">
        <v>1.9047619047619001E-2</v>
      </c>
      <c r="J109">
        <v>8213</v>
      </c>
      <c r="K109">
        <v>24</v>
      </c>
      <c r="L109" s="52">
        <v>2.1998166819431699E-2</v>
      </c>
    </row>
    <row r="110" spans="1:13">
      <c r="A110" t="s">
        <v>28</v>
      </c>
      <c r="B110" t="s">
        <v>124</v>
      </c>
      <c r="C110">
        <v>232</v>
      </c>
      <c r="D110" t="s">
        <v>68</v>
      </c>
      <c r="E110" t="s">
        <v>49</v>
      </c>
      <c r="F110">
        <v>157</v>
      </c>
      <c r="G110" s="52">
        <v>0.31717171717171699</v>
      </c>
      <c r="H110">
        <v>42</v>
      </c>
      <c r="I110" s="52">
        <v>0.4</v>
      </c>
      <c r="J110">
        <v>7347</v>
      </c>
      <c r="K110">
        <v>314</v>
      </c>
      <c r="L110" s="52">
        <v>0.28780934922089801</v>
      </c>
    </row>
    <row r="111" spans="1:13">
      <c r="A111" t="s">
        <v>32</v>
      </c>
      <c r="B111" t="s">
        <v>127</v>
      </c>
      <c r="C111">
        <v>241</v>
      </c>
      <c r="D111" t="s">
        <v>103</v>
      </c>
      <c r="E111" t="s">
        <v>49</v>
      </c>
      <c r="F111">
        <v>25</v>
      </c>
      <c r="G111" s="52">
        <v>4.69043151969981E-2</v>
      </c>
      <c r="H111">
        <v>6</v>
      </c>
      <c r="I111" s="52">
        <v>4.7244094488188997E-2</v>
      </c>
      <c r="J111">
        <v>3994</v>
      </c>
      <c r="K111">
        <v>50</v>
      </c>
      <c r="L111" s="52">
        <v>4.69043151969981E-2</v>
      </c>
    </row>
    <row r="112" spans="1:13">
      <c r="A112" t="s">
        <v>28</v>
      </c>
      <c r="B112" t="s">
        <v>127</v>
      </c>
      <c r="C112">
        <v>241</v>
      </c>
      <c r="D112" t="s">
        <v>68</v>
      </c>
      <c r="E112" t="s">
        <v>49</v>
      </c>
      <c r="F112">
        <v>229</v>
      </c>
      <c r="G112" s="52">
        <v>0.429643527204503</v>
      </c>
      <c r="H112">
        <v>53</v>
      </c>
      <c r="I112" s="52">
        <v>0.41732283464566899</v>
      </c>
      <c r="J112">
        <v>7143</v>
      </c>
      <c r="K112">
        <v>458</v>
      </c>
      <c r="L112" s="52">
        <v>0.429643527204503</v>
      </c>
    </row>
    <row r="113" spans="1:13">
      <c r="A113" t="s">
        <v>128</v>
      </c>
      <c r="B113" t="s">
        <v>127</v>
      </c>
      <c r="C113">
        <v>241</v>
      </c>
      <c r="D113" t="s">
        <v>110</v>
      </c>
      <c r="E113" t="s">
        <v>49</v>
      </c>
      <c r="F113">
        <v>122</v>
      </c>
      <c r="G113" s="52">
        <v>0.228893058161351</v>
      </c>
      <c r="H113">
        <v>17</v>
      </c>
      <c r="I113" s="52">
        <v>0.133858267716535</v>
      </c>
      <c r="J113">
        <v>5953</v>
      </c>
      <c r="K113">
        <v>244</v>
      </c>
      <c r="L113" s="52">
        <v>0.228893058161351</v>
      </c>
    </row>
    <row r="114" spans="1:13">
      <c r="A114" t="s">
        <v>32</v>
      </c>
      <c r="B114" t="s">
        <v>127</v>
      </c>
      <c r="C114">
        <v>241</v>
      </c>
      <c r="D114" t="s">
        <v>118</v>
      </c>
      <c r="E114" t="s">
        <v>49</v>
      </c>
      <c r="F114">
        <v>11</v>
      </c>
      <c r="G114" s="52">
        <v>2.0637898686679201E-2</v>
      </c>
      <c r="H114">
        <v>11</v>
      </c>
      <c r="I114" s="52">
        <v>8.66141732283464E-2</v>
      </c>
      <c r="J114">
        <v>6072</v>
      </c>
      <c r="K114">
        <v>22</v>
      </c>
      <c r="L114" s="52">
        <v>2.0637898686679201E-2</v>
      </c>
    </row>
    <row r="115" spans="1:13">
      <c r="A115" t="s">
        <v>128</v>
      </c>
      <c r="B115" t="s">
        <v>127</v>
      </c>
      <c r="C115">
        <v>241</v>
      </c>
      <c r="D115" t="s">
        <v>84</v>
      </c>
      <c r="E115" t="s">
        <v>49</v>
      </c>
      <c r="F115">
        <v>15</v>
      </c>
      <c r="G115" s="52">
        <v>2.8142589118198901E-2</v>
      </c>
      <c r="H115">
        <v>3</v>
      </c>
      <c r="I115" s="52">
        <v>2.3622047244094498E-2</v>
      </c>
      <c r="J115">
        <v>7060</v>
      </c>
      <c r="K115">
        <v>30</v>
      </c>
      <c r="L115" s="52">
        <v>2.8142589118198901E-2</v>
      </c>
    </row>
    <row r="116" spans="1:13">
      <c r="A116" t="s">
        <v>125</v>
      </c>
      <c r="B116" t="s">
        <v>127</v>
      </c>
      <c r="C116">
        <v>241</v>
      </c>
      <c r="D116" t="s">
        <v>72</v>
      </c>
      <c r="E116" t="s">
        <v>49</v>
      </c>
      <c r="F116">
        <v>71</v>
      </c>
      <c r="G116" s="52">
        <v>0.13320825515947499</v>
      </c>
      <c r="H116">
        <v>17</v>
      </c>
      <c r="I116" s="52">
        <v>0.133858267716535</v>
      </c>
      <c r="J116">
        <v>5692</v>
      </c>
      <c r="K116">
        <v>142</v>
      </c>
      <c r="L116" s="52">
        <v>0.13320825515947499</v>
      </c>
    </row>
    <row r="117" spans="1:13">
      <c r="A117" t="s">
        <v>125</v>
      </c>
      <c r="B117" t="s">
        <v>127</v>
      </c>
      <c r="C117">
        <v>241</v>
      </c>
      <c r="D117" t="s">
        <v>90</v>
      </c>
      <c r="E117" t="s">
        <v>49</v>
      </c>
      <c r="F117">
        <v>60</v>
      </c>
      <c r="G117" s="52">
        <v>0.11257035647279599</v>
      </c>
      <c r="H117">
        <v>20</v>
      </c>
      <c r="I117" s="52">
        <v>0.15748031496063</v>
      </c>
      <c r="J117">
        <v>7556</v>
      </c>
      <c r="K117">
        <v>120</v>
      </c>
      <c r="L117" s="52">
        <v>0.11257035647279599</v>
      </c>
    </row>
    <row r="118" spans="1:13">
      <c r="A118" t="s">
        <v>28</v>
      </c>
      <c r="B118" t="s">
        <v>129</v>
      </c>
      <c r="C118">
        <v>242</v>
      </c>
      <c r="D118" t="s">
        <v>68</v>
      </c>
      <c r="E118" t="s">
        <v>49</v>
      </c>
      <c r="F118">
        <v>281</v>
      </c>
      <c r="G118" s="52">
        <v>0.28269617706237399</v>
      </c>
      <c r="H118">
        <v>68</v>
      </c>
      <c r="I118" s="52">
        <v>0.34517766497461899</v>
      </c>
      <c r="J118">
        <v>9483</v>
      </c>
      <c r="K118">
        <v>843</v>
      </c>
      <c r="L118" s="52">
        <v>0.25811390079608099</v>
      </c>
    </row>
    <row r="119" spans="1:13">
      <c r="A119" t="s">
        <v>128</v>
      </c>
      <c r="B119" t="s">
        <v>129</v>
      </c>
      <c r="C119">
        <v>242</v>
      </c>
      <c r="D119" t="s">
        <v>84</v>
      </c>
      <c r="E119" t="s">
        <v>49</v>
      </c>
      <c r="F119">
        <v>26</v>
      </c>
      <c r="G119" s="52">
        <v>2.6156941649899401E-2</v>
      </c>
      <c r="H119">
        <v>4</v>
      </c>
      <c r="I119" s="52">
        <v>2.0304568527918801E-2</v>
      </c>
      <c r="J119">
        <v>12613</v>
      </c>
      <c r="K119">
        <v>130</v>
      </c>
      <c r="L119" s="52">
        <v>3.9804041641151297E-2</v>
      </c>
    </row>
    <row r="120" spans="1:13">
      <c r="A120" t="s">
        <v>128</v>
      </c>
      <c r="B120" t="s">
        <v>129</v>
      </c>
      <c r="C120">
        <v>242</v>
      </c>
      <c r="D120" t="s">
        <v>110</v>
      </c>
      <c r="E120" t="s">
        <v>49</v>
      </c>
      <c r="F120">
        <v>143</v>
      </c>
      <c r="G120" s="52">
        <v>0.14386317907444701</v>
      </c>
      <c r="H120">
        <v>25</v>
      </c>
      <c r="I120" s="52">
        <v>0.12690355329949199</v>
      </c>
      <c r="J120">
        <v>10038</v>
      </c>
      <c r="K120">
        <v>572</v>
      </c>
      <c r="L120" s="52">
        <v>0.17513778322106599</v>
      </c>
    </row>
    <row r="121" spans="1:13">
      <c r="A121" t="s">
        <v>125</v>
      </c>
      <c r="B121" t="s">
        <v>129</v>
      </c>
      <c r="C121">
        <v>242</v>
      </c>
      <c r="D121" t="s">
        <v>72</v>
      </c>
      <c r="E121" t="s">
        <v>49</v>
      </c>
      <c r="F121">
        <v>78</v>
      </c>
      <c r="G121" s="52">
        <v>7.8470824949698204E-2</v>
      </c>
      <c r="H121">
        <v>19</v>
      </c>
      <c r="I121" s="52">
        <v>9.6446700507614197E-2</v>
      </c>
      <c r="J121">
        <v>6320</v>
      </c>
      <c r="K121">
        <v>156</v>
      </c>
      <c r="L121" s="52">
        <v>4.7764849969381497E-2</v>
      </c>
    </row>
    <row r="122" spans="1:13">
      <c r="A122" t="s">
        <v>130</v>
      </c>
      <c r="B122" t="s">
        <v>129</v>
      </c>
      <c r="C122">
        <v>242</v>
      </c>
      <c r="D122" t="s">
        <v>92</v>
      </c>
      <c r="E122" t="s">
        <v>49</v>
      </c>
      <c r="F122">
        <v>5</v>
      </c>
      <c r="G122" s="52">
        <v>5.0301810865191103E-3</v>
      </c>
      <c r="H122">
        <v>2</v>
      </c>
      <c r="I122" s="52">
        <v>1.01522842639594E-2</v>
      </c>
      <c r="K122">
        <v>5</v>
      </c>
      <c r="L122" s="52">
        <v>1.53092467850582E-3</v>
      </c>
    </row>
    <row r="123" spans="1:13">
      <c r="A123" t="s">
        <v>130</v>
      </c>
      <c r="B123" t="s">
        <v>129</v>
      </c>
      <c r="C123">
        <v>242</v>
      </c>
      <c r="D123" t="s">
        <v>87</v>
      </c>
      <c r="E123" t="s">
        <v>49</v>
      </c>
      <c r="F123">
        <v>15</v>
      </c>
      <c r="G123" s="52">
        <v>1.5090543259557301E-2</v>
      </c>
      <c r="H123">
        <v>5</v>
      </c>
      <c r="I123" s="52">
        <v>2.5380710659898501E-2</v>
      </c>
      <c r="J123">
        <v>10490</v>
      </c>
      <c r="K123">
        <v>60</v>
      </c>
      <c r="L123" s="52">
        <v>1.83710961420698E-2</v>
      </c>
      <c r="M123" t="s">
        <v>161</v>
      </c>
    </row>
    <row r="124" spans="1:13">
      <c r="A124" t="s">
        <v>130</v>
      </c>
      <c r="B124" t="s">
        <v>129</v>
      </c>
      <c r="C124">
        <v>242</v>
      </c>
      <c r="D124" t="s">
        <v>79</v>
      </c>
      <c r="E124" t="s">
        <v>49</v>
      </c>
      <c r="F124">
        <v>78</v>
      </c>
      <c r="G124" s="52">
        <v>7.8470824949698204E-2</v>
      </c>
      <c r="H124">
        <v>14</v>
      </c>
      <c r="I124" s="52">
        <v>7.1065989847715699E-2</v>
      </c>
      <c r="K124">
        <v>78</v>
      </c>
      <c r="L124" s="52">
        <v>2.38824249846908E-2</v>
      </c>
    </row>
    <row r="125" spans="1:13">
      <c r="A125" t="s">
        <v>128</v>
      </c>
      <c r="B125" t="s">
        <v>129</v>
      </c>
      <c r="C125">
        <v>242</v>
      </c>
      <c r="D125" t="s">
        <v>94</v>
      </c>
      <c r="E125" t="s">
        <v>49</v>
      </c>
      <c r="F125">
        <v>36</v>
      </c>
      <c r="G125" s="52">
        <v>3.6217303822937599E-2</v>
      </c>
      <c r="H125">
        <v>3</v>
      </c>
      <c r="I125" s="52">
        <v>1.5228426395939101E-2</v>
      </c>
      <c r="J125">
        <v>13405</v>
      </c>
      <c r="K125">
        <v>180</v>
      </c>
      <c r="L125" s="52">
        <v>5.5113288426209397E-2</v>
      </c>
    </row>
    <row r="126" spans="1:13">
      <c r="A126" t="s">
        <v>125</v>
      </c>
      <c r="B126" t="s">
        <v>129</v>
      </c>
      <c r="C126">
        <v>242</v>
      </c>
      <c r="D126" t="s">
        <v>90</v>
      </c>
      <c r="E126" t="s">
        <v>49</v>
      </c>
      <c r="F126">
        <v>54</v>
      </c>
      <c r="G126" s="52">
        <v>5.4325955734406399E-2</v>
      </c>
      <c r="H126">
        <v>19</v>
      </c>
      <c r="I126" s="52">
        <v>9.6446700507614197E-2</v>
      </c>
      <c r="J126">
        <v>9654</v>
      </c>
      <c r="K126">
        <v>162</v>
      </c>
      <c r="L126" s="52">
        <v>4.9601959583588498E-2</v>
      </c>
    </row>
    <row r="127" spans="1:13">
      <c r="A127" t="s">
        <v>32</v>
      </c>
      <c r="B127" t="s">
        <v>129</v>
      </c>
      <c r="C127">
        <v>242</v>
      </c>
      <c r="D127" t="s">
        <v>93</v>
      </c>
      <c r="E127" t="s">
        <v>49</v>
      </c>
      <c r="F127">
        <v>16</v>
      </c>
      <c r="G127" s="52">
        <v>1.60965794768612E-2</v>
      </c>
      <c r="H127">
        <v>1</v>
      </c>
      <c r="I127" s="52">
        <v>5.0761421319797002E-3</v>
      </c>
      <c r="J127">
        <v>7662</v>
      </c>
      <c r="K127">
        <v>32</v>
      </c>
      <c r="L127" s="52">
        <v>9.7979179424372304E-3</v>
      </c>
      <c r="M127" t="s">
        <v>159</v>
      </c>
    </row>
    <row r="128" spans="1:13">
      <c r="A128" t="s">
        <v>32</v>
      </c>
      <c r="B128" t="s">
        <v>129</v>
      </c>
      <c r="C128">
        <v>242</v>
      </c>
      <c r="D128" t="s">
        <v>107</v>
      </c>
      <c r="E128" t="s">
        <v>49</v>
      </c>
      <c r="F128">
        <v>262</v>
      </c>
      <c r="G128" s="52">
        <v>0.263581488933602</v>
      </c>
      <c r="H128">
        <v>37</v>
      </c>
      <c r="I128" s="52">
        <v>0.18781725888324899</v>
      </c>
      <c r="J128">
        <v>10175</v>
      </c>
      <c r="K128">
        <v>1048</v>
      </c>
      <c r="L128" s="52">
        <v>0.32088181261481902</v>
      </c>
    </row>
    <row r="129" spans="1:13">
      <c r="A129" t="s">
        <v>28</v>
      </c>
      <c r="B129" t="s">
        <v>131</v>
      </c>
      <c r="C129">
        <v>251</v>
      </c>
      <c r="D129" t="s">
        <v>68</v>
      </c>
      <c r="E129" t="s">
        <v>49</v>
      </c>
      <c r="F129">
        <v>279</v>
      </c>
      <c r="G129" s="52">
        <v>0.326315789473684</v>
      </c>
      <c r="H129">
        <v>53</v>
      </c>
      <c r="I129" s="52">
        <v>0.39552238805970102</v>
      </c>
      <c r="J129">
        <v>7267</v>
      </c>
      <c r="K129">
        <v>558</v>
      </c>
      <c r="L129" s="52">
        <v>0.26878612716763001</v>
      </c>
    </row>
    <row r="130" spans="1:13">
      <c r="A130" t="s">
        <v>128</v>
      </c>
      <c r="B130" t="s">
        <v>131</v>
      </c>
      <c r="C130">
        <v>251</v>
      </c>
      <c r="D130" t="s">
        <v>84</v>
      </c>
      <c r="E130" t="s">
        <v>49</v>
      </c>
      <c r="F130">
        <v>29</v>
      </c>
      <c r="G130" s="52">
        <v>3.3918128654970799E-2</v>
      </c>
      <c r="H130">
        <v>5</v>
      </c>
      <c r="I130" s="52">
        <v>3.7313432835820899E-2</v>
      </c>
      <c r="J130">
        <v>10460</v>
      </c>
      <c r="K130">
        <v>116</v>
      </c>
      <c r="L130" s="52">
        <v>5.5876685934489398E-2</v>
      </c>
    </row>
    <row r="131" spans="1:13">
      <c r="A131" t="s">
        <v>125</v>
      </c>
      <c r="B131" t="s">
        <v>131</v>
      </c>
      <c r="C131">
        <v>251</v>
      </c>
      <c r="D131" t="s">
        <v>72</v>
      </c>
      <c r="E131" t="s">
        <v>49</v>
      </c>
      <c r="F131">
        <v>63</v>
      </c>
      <c r="G131" s="52">
        <v>7.3684210526315796E-2</v>
      </c>
      <c r="H131">
        <v>18</v>
      </c>
      <c r="I131" s="52">
        <v>0.134328358208955</v>
      </c>
      <c r="J131">
        <v>5449</v>
      </c>
      <c r="K131">
        <v>126</v>
      </c>
      <c r="L131" s="52">
        <v>6.06936416184971E-2</v>
      </c>
    </row>
    <row r="132" spans="1:13">
      <c r="A132" t="s">
        <v>125</v>
      </c>
      <c r="B132" t="s">
        <v>131</v>
      </c>
      <c r="C132">
        <v>251</v>
      </c>
      <c r="D132" t="s">
        <v>90</v>
      </c>
      <c r="E132" t="s">
        <v>49</v>
      </c>
      <c r="F132">
        <v>56</v>
      </c>
      <c r="G132" s="52">
        <v>6.5497076023391804E-2</v>
      </c>
      <c r="H132">
        <v>16</v>
      </c>
      <c r="I132" s="52">
        <v>0.119402985074627</v>
      </c>
      <c r="J132">
        <v>9281</v>
      </c>
      <c r="K132">
        <v>168</v>
      </c>
      <c r="L132" s="52">
        <v>8.0924855491329495E-2</v>
      </c>
    </row>
    <row r="133" spans="1:13">
      <c r="A133" t="s">
        <v>130</v>
      </c>
      <c r="B133" t="s">
        <v>131</v>
      </c>
      <c r="C133">
        <v>251</v>
      </c>
      <c r="D133" t="s">
        <v>79</v>
      </c>
      <c r="E133" t="s">
        <v>49</v>
      </c>
      <c r="F133">
        <v>43</v>
      </c>
      <c r="G133" s="52">
        <v>5.0292397660818701E-2</v>
      </c>
      <c r="H133">
        <v>8</v>
      </c>
      <c r="I133" s="52">
        <v>5.9701492537313397E-2</v>
      </c>
      <c r="J133">
        <v>4598</v>
      </c>
      <c r="K133">
        <v>86</v>
      </c>
      <c r="L133" s="52">
        <v>4.1425818882466298E-2</v>
      </c>
    </row>
    <row r="134" spans="1:13">
      <c r="A134" t="s">
        <v>128</v>
      </c>
      <c r="B134" t="s">
        <v>131</v>
      </c>
      <c r="C134">
        <v>251</v>
      </c>
      <c r="D134" t="s">
        <v>110</v>
      </c>
      <c r="E134" t="s">
        <v>49</v>
      </c>
      <c r="F134">
        <v>133</v>
      </c>
      <c r="G134" s="52">
        <v>0.155555555555556</v>
      </c>
      <c r="H134">
        <v>16</v>
      </c>
      <c r="I134" s="52">
        <v>0.119402985074627</v>
      </c>
      <c r="J134">
        <v>6610</v>
      </c>
      <c r="K134">
        <v>266</v>
      </c>
      <c r="L134" s="52">
        <v>0.12813102119460501</v>
      </c>
    </row>
    <row r="135" spans="1:13">
      <c r="A135" t="s">
        <v>130</v>
      </c>
      <c r="B135" t="s">
        <v>131</v>
      </c>
      <c r="C135">
        <v>251</v>
      </c>
      <c r="D135" t="s">
        <v>107</v>
      </c>
      <c r="E135" t="s">
        <v>49</v>
      </c>
      <c r="F135">
        <v>248</v>
      </c>
      <c r="G135" s="52">
        <v>0.29005847953216402</v>
      </c>
      <c r="H135">
        <v>17</v>
      </c>
      <c r="I135" s="52">
        <v>0.12686567164179099</v>
      </c>
      <c r="J135">
        <v>8080</v>
      </c>
      <c r="K135">
        <v>744</v>
      </c>
      <c r="L135" s="52">
        <v>0.35838150289017301</v>
      </c>
      <c r="M135" t="s">
        <v>162</v>
      </c>
    </row>
    <row r="136" spans="1:13">
      <c r="A136" t="s">
        <v>130</v>
      </c>
      <c r="B136" t="s">
        <v>131</v>
      </c>
      <c r="C136">
        <v>251</v>
      </c>
      <c r="D136" t="s">
        <v>87</v>
      </c>
      <c r="E136" t="s">
        <v>49</v>
      </c>
      <c r="F136">
        <v>4</v>
      </c>
      <c r="G136" s="52">
        <v>4.6783625730994196E-3</v>
      </c>
      <c r="H136">
        <v>1</v>
      </c>
      <c r="I136" s="52">
        <v>7.4626865671641798E-3</v>
      </c>
      <c r="J136">
        <v>8454</v>
      </c>
      <c r="K136">
        <v>12</v>
      </c>
      <c r="L136" s="52">
        <v>5.78034682080925E-3</v>
      </c>
    </row>
    <row r="137" spans="1:13">
      <c r="A137" t="s">
        <v>32</v>
      </c>
      <c r="B137" t="s">
        <v>132</v>
      </c>
      <c r="C137">
        <v>252</v>
      </c>
      <c r="D137" t="s">
        <v>93</v>
      </c>
      <c r="E137" t="s">
        <v>49</v>
      </c>
      <c r="F137">
        <v>18</v>
      </c>
      <c r="G137" s="52">
        <v>1.54772141014617E-2</v>
      </c>
      <c r="H137">
        <v>2</v>
      </c>
      <c r="I137" s="52">
        <v>8.1300813008130107E-3</v>
      </c>
      <c r="J137">
        <v>9999</v>
      </c>
      <c r="K137">
        <v>54</v>
      </c>
      <c r="L137" s="52">
        <v>1.20616484252848E-2</v>
      </c>
      <c r="M137" t="s">
        <v>164</v>
      </c>
    </row>
    <row r="138" spans="1:13">
      <c r="A138" t="s">
        <v>125</v>
      </c>
      <c r="B138" t="s">
        <v>132</v>
      </c>
      <c r="C138">
        <v>252</v>
      </c>
      <c r="D138" t="s">
        <v>72</v>
      </c>
      <c r="E138" t="s">
        <v>49</v>
      </c>
      <c r="F138">
        <v>99</v>
      </c>
      <c r="G138" s="52">
        <v>8.5124677558039596E-2</v>
      </c>
      <c r="H138">
        <v>29</v>
      </c>
      <c r="I138" s="52">
        <v>0.117886178861789</v>
      </c>
      <c r="J138">
        <v>7187</v>
      </c>
      <c r="K138">
        <v>198</v>
      </c>
      <c r="L138" s="52">
        <v>4.4226044226044203E-2</v>
      </c>
    </row>
    <row r="139" spans="1:13">
      <c r="A139" t="s">
        <v>125</v>
      </c>
      <c r="B139" t="s">
        <v>132</v>
      </c>
      <c r="C139">
        <v>252</v>
      </c>
      <c r="D139" t="s">
        <v>90</v>
      </c>
      <c r="E139" t="s">
        <v>49</v>
      </c>
      <c r="F139">
        <v>139</v>
      </c>
      <c r="G139" s="52">
        <v>0.119518486672399</v>
      </c>
      <c r="H139">
        <v>40</v>
      </c>
      <c r="I139" s="52">
        <v>0.16260162601625999</v>
      </c>
      <c r="J139">
        <v>13178</v>
      </c>
      <c r="K139">
        <v>695</v>
      </c>
      <c r="L139" s="52">
        <v>0.15523788251060999</v>
      </c>
    </row>
    <row r="140" spans="1:13">
      <c r="A140" t="s">
        <v>130</v>
      </c>
      <c r="B140" t="s">
        <v>132</v>
      </c>
      <c r="C140">
        <v>252</v>
      </c>
      <c r="D140" t="s">
        <v>107</v>
      </c>
      <c r="E140" t="s">
        <v>49</v>
      </c>
      <c r="F140">
        <v>250</v>
      </c>
      <c r="G140" s="52">
        <v>0.214961306964746</v>
      </c>
      <c r="H140">
        <v>41</v>
      </c>
      <c r="I140" s="52">
        <v>0.16666666666666699</v>
      </c>
      <c r="J140">
        <v>11971</v>
      </c>
      <c r="K140">
        <v>1000</v>
      </c>
      <c r="L140" s="52">
        <v>0.22336385972749601</v>
      </c>
    </row>
    <row r="141" spans="1:13">
      <c r="A141" t="s">
        <v>130</v>
      </c>
      <c r="B141" t="s">
        <v>132</v>
      </c>
      <c r="C141">
        <v>252</v>
      </c>
      <c r="D141" t="s">
        <v>87</v>
      </c>
      <c r="E141" t="s">
        <v>49</v>
      </c>
      <c r="F141">
        <v>2</v>
      </c>
      <c r="G141" s="52">
        <v>1.7196904557179699E-3</v>
      </c>
      <c r="H141">
        <v>1</v>
      </c>
      <c r="I141" s="52">
        <v>4.0650406504065002E-3</v>
      </c>
      <c r="J141">
        <v>15113</v>
      </c>
      <c r="K141">
        <v>12</v>
      </c>
      <c r="L141" s="52">
        <v>2.68036631672995E-3</v>
      </c>
    </row>
    <row r="142" spans="1:13">
      <c r="A142" t="s">
        <v>130</v>
      </c>
      <c r="B142" t="s">
        <v>132</v>
      </c>
      <c r="C142">
        <v>252</v>
      </c>
      <c r="D142" t="s">
        <v>79</v>
      </c>
      <c r="E142" t="s">
        <v>49</v>
      </c>
      <c r="F142">
        <v>34</v>
      </c>
      <c r="G142" s="52">
        <v>2.9234737747205499E-2</v>
      </c>
      <c r="H142">
        <v>16</v>
      </c>
      <c r="I142" s="52">
        <v>6.50406504065041E-2</v>
      </c>
      <c r="J142">
        <v>7387</v>
      </c>
      <c r="K142">
        <v>68</v>
      </c>
      <c r="L142" s="52">
        <v>1.5188742461469701E-2</v>
      </c>
    </row>
    <row r="143" spans="1:13">
      <c r="A143" t="s">
        <v>28</v>
      </c>
      <c r="B143" t="s">
        <v>132</v>
      </c>
      <c r="C143">
        <v>252</v>
      </c>
      <c r="D143" t="s">
        <v>68</v>
      </c>
      <c r="E143" t="s">
        <v>49</v>
      </c>
      <c r="F143">
        <v>567</v>
      </c>
      <c r="G143" s="52">
        <v>0.48753224419604502</v>
      </c>
      <c r="H143">
        <v>109</v>
      </c>
      <c r="I143" s="52">
        <v>0.44308943089430902</v>
      </c>
      <c r="J143">
        <v>10546</v>
      </c>
      <c r="K143">
        <v>2268</v>
      </c>
      <c r="L143" s="52">
        <v>0.50658923386196097</v>
      </c>
    </row>
    <row r="144" spans="1:13">
      <c r="A144" t="s">
        <v>128</v>
      </c>
      <c r="B144" t="s">
        <v>132</v>
      </c>
      <c r="C144">
        <v>252</v>
      </c>
      <c r="D144" t="s">
        <v>103</v>
      </c>
      <c r="E144" t="s">
        <v>49</v>
      </c>
      <c r="F144">
        <v>20</v>
      </c>
      <c r="G144" s="52">
        <v>1.7196904557179701E-2</v>
      </c>
      <c r="H144">
        <v>5</v>
      </c>
      <c r="I144" s="52">
        <v>2.0325203252032499E-2</v>
      </c>
      <c r="J144">
        <v>11438</v>
      </c>
      <c r="K144">
        <v>80</v>
      </c>
      <c r="L144" s="52">
        <v>1.7869108778199701E-2</v>
      </c>
    </row>
    <row r="145" spans="1:12">
      <c r="A145" t="s">
        <v>128</v>
      </c>
      <c r="B145" t="s">
        <v>132</v>
      </c>
      <c r="C145">
        <v>252</v>
      </c>
      <c r="D145" t="s">
        <v>110</v>
      </c>
      <c r="E145" t="s">
        <v>49</v>
      </c>
      <c r="F145">
        <v>34</v>
      </c>
      <c r="G145" s="52">
        <v>2.9234737747205499E-2</v>
      </c>
      <c r="H145">
        <v>3</v>
      </c>
      <c r="I145" s="52">
        <v>1.21951219512195E-2</v>
      </c>
      <c r="J145">
        <v>9610</v>
      </c>
      <c r="K145">
        <v>102</v>
      </c>
      <c r="L145" s="52">
        <v>2.27831136922046E-2</v>
      </c>
    </row>
    <row r="146" spans="1:12">
      <c r="A146" t="s">
        <v>130</v>
      </c>
      <c r="B146" t="s">
        <v>133</v>
      </c>
      <c r="C146">
        <v>261</v>
      </c>
      <c r="D146" t="s">
        <v>107</v>
      </c>
      <c r="E146" t="s">
        <v>49</v>
      </c>
      <c r="F146">
        <v>150</v>
      </c>
      <c r="G146" s="52">
        <v>0.27422303473491799</v>
      </c>
      <c r="H146">
        <v>25</v>
      </c>
      <c r="I146" s="52">
        <v>0.16778523489932901</v>
      </c>
      <c r="J146">
        <v>7950</v>
      </c>
      <c r="K146">
        <v>300</v>
      </c>
      <c r="L146" s="52">
        <v>0.201748486886348</v>
      </c>
    </row>
    <row r="147" spans="1:12">
      <c r="A147" t="s">
        <v>28</v>
      </c>
      <c r="B147" t="s">
        <v>133</v>
      </c>
      <c r="C147">
        <v>261</v>
      </c>
      <c r="D147" t="s">
        <v>68</v>
      </c>
      <c r="E147" t="s">
        <v>49</v>
      </c>
      <c r="F147">
        <v>273</v>
      </c>
      <c r="G147" s="52">
        <v>0.49908592321755002</v>
      </c>
      <c r="H147">
        <v>82</v>
      </c>
      <c r="I147" s="52">
        <v>0.55033557046979897</v>
      </c>
      <c r="J147">
        <v>9673</v>
      </c>
      <c r="K147">
        <v>819</v>
      </c>
      <c r="L147" s="52">
        <v>0.55077336919973097</v>
      </c>
    </row>
    <row r="148" spans="1:12">
      <c r="A148" t="s">
        <v>128</v>
      </c>
      <c r="B148" t="s">
        <v>133</v>
      </c>
      <c r="C148">
        <v>261</v>
      </c>
      <c r="D148" t="s">
        <v>100</v>
      </c>
      <c r="E148" t="s">
        <v>49</v>
      </c>
      <c r="F148">
        <v>16</v>
      </c>
      <c r="G148" s="52">
        <v>2.92504570383912E-2</v>
      </c>
      <c r="H148">
        <v>5</v>
      </c>
      <c r="I148" s="52">
        <v>3.35570469798658E-2</v>
      </c>
      <c r="J148">
        <v>11610</v>
      </c>
      <c r="K148">
        <v>64</v>
      </c>
      <c r="L148" s="52">
        <v>4.3039677202421002E-2</v>
      </c>
    </row>
    <row r="149" spans="1:12">
      <c r="A149" t="s">
        <v>128</v>
      </c>
      <c r="B149" t="s">
        <v>133</v>
      </c>
      <c r="C149">
        <v>261</v>
      </c>
      <c r="D149" t="s">
        <v>103</v>
      </c>
      <c r="E149" t="s">
        <v>49</v>
      </c>
      <c r="F149">
        <v>10</v>
      </c>
      <c r="G149" s="52">
        <v>1.8281535648994499E-2</v>
      </c>
      <c r="H149">
        <v>3</v>
      </c>
      <c r="I149" s="52">
        <v>2.01342281879195E-2</v>
      </c>
      <c r="J149">
        <v>5432</v>
      </c>
      <c r="K149">
        <v>20</v>
      </c>
      <c r="L149" s="52">
        <v>1.3449899125756601E-2</v>
      </c>
    </row>
    <row r="150" spans="1:12">
      <c r="A150" t="s">
        <v>30</v>
      </c>
      <c r="B150" t="s">
        <v>133</v>
      </c>
      <c r="C150">
        <v>261</v>
      </c>
      <c r="D150" t="s">
        <v>117</v>
      </c>
      <c r="E150" t="s">
        <v>49</v>
      </c>
      <c r="F150">
        <v>16</v>
      </c>
      <c r="G150" s="52">
        <v>2.92504570383912E-2</v>
      </c>
      <c r="H150">
        <v>3</v>
      </c>
      <c r="I150" s="52">
        <v>2.01342281879195E-2</v>
      </c>
      <c r="J150">
        <v>2836</v>
      </c>
      <c r="K150">
        <v>16</v>
      </c>
      <c r="L150" s="52">
        <v>1.07599193006052E-2</v>
      </c>
    </row>
    <row r="151" spans="1:12">
      <c r="A151" t="s">
        <v>125</v>
      </c>
      <c r="B151" t="s">
        <v>133</v>
      </c>
      <c r="C151">
        <v>261</v>
      </c>
      <c r="D151" t="s">
        <v>72</v>
      </c>
      <c r="E151" t="s">
        <v>49</v>
      </c>
      <c r="F151">
        <v>30</v>
      </c>
      <c r="G151" s="52">
        <v>5.4844606946983503E-2</v>
      </c>
      <c r="H151">
        <v>12</v>
      </c>
      <c r="I151" s="52">
        <v>8.0536912751677805E-2</v>
      </c>
      <c r="J151">
        <v>5617</v>
      </c>
      <c r="K151">
        <v>60</v>
      </c>
      <c r="L151" s="52">
        <v>4.0349697377269698E-2</v>
      </c>
    </row>
    <row r="152" spans="1:12">
      <c r="A152" t="s">
        <v>125</v>
      </c>
      <c r="B152" t="s">
        <v>133</v>
      </c>
      <c r="C152">
        <v>261</v>
      </c>
      <c r="D152" t="s">
        <v>90</v>
      </c>
      <c r="E152" t="s">
        <v>49</v>
      </c>
      <c r="F152">
        <v>52</v>
      </c>
      <c r="G152" s="52">
        <v>9.5063985374771495E-2</v>
      </c>
      <c r="H152">
        <v>19</v>
      </c>
      <c r="I152" s="52">
        <v>0.12751677852349</v>
      </c>
      <c r="J152">
        <v>11036</v>
      </c>
      <c r="K152">
        <v>208</v>
      </c>
      <c r="L152" s="52">
        <v>0.139878950907868</v>
      </c>
    </row>
    <row r="153" spans="1:12">
      <c r="A153" t="s">
        <v>125</v>
      </c>
      <c r="B153" t="s">
        <v>134</v>
      </c>
      <c r="C153">
        <v>262</v>
      </c>
      <c r="D153" t="s">
        <v>72</v>
      </c>
      <c r="E153" t="s">
        <v>49</v>
      </c>
      <c r="F153">
        <v>39</v>
      </c>
      <c r="G153" s="52">
        <v>4.5774647887323897E-2</v>
      </c>
      <c r="H153">
        <v>12</v>
      </c>
      <c r="I153" s="52">
        <v>6.5217391304347797E-2</v>
      </c>
      <c r="J153">
        <v>5939</v>
      </c>
      <c r="K153">
        <v>78</v>
      </c>
      <c r="L153" s="52">
        <v>1.9872611464968201E-2</v>
      </c>
    </row>
    <row r="154" spans="1:12">
      <c r="A154" t="s">
        <v>30</v>
      </c>
      <c r="B154" t="s">
        <v>134</v>
      </c>
      <c r="C154">
        <v>262</v>
      </c>
      <c r="D154" t="s">
        <v>117</v>
      </c>
      <c r="E154" t="s">
        <v>49</v>
      </c>
      <c r="F154">
        <v>8</v>
      </c>
      <c r="G154" s="52">
        <v>9.3896713615023494E-3</v>
      </c>
      <c r="H154">
        <v>2</v>
      </c>
      <c r="I154" s="52">
        <v>1.0869565217391301E-2</v>
      </c>
      <c r="J154">
        <v>3728</v>
      </c>
      <c r="K154">
        <v>16</v>
      </c>
      <c r="L154" s="52">
        <v>4.0764331210191096E-3</v>
      </c>
    </row>
    <row r="155" spans="1:12">
      <c r="A155" t="s">
        <v>28</v>
      </c>
      <c r="B155" t="s">
        <v>134</v>
      </c>
      <c r="C155">
        <v>262</v>
      </c>
      <c r="D155" t="s">
        <v>68</v>
      </c>
      <c r="E155" t="s">
        <v>49</v>
      </c>
      <c r="F155">
        <v>480</v>
      </c>
      <c r="G155" s="52">
        <v>0.56338028169014098</v>
      </c>
      <c r="H155">
        <v>96</v>
      </c>
      <c r="I155" s="52">
        <v>0.52173913043478304</v>
      </c>
      <c r="J155">
        <v>14629</v>
      </c>
      <c r="K155">
        <v>2400</v>
      </c>
      <c r="L155" s="52">
        <v>0.611464968152866</v>
      </c>
    </row>
    <row r="156" spans="1:12">
      <c r="A156" t="s">
        <v>130</v>
      </c>
      <c r="B156" t="s">
        <v>134</v>
      </c>
      <c r="C156">
        <v>262</v>
      </c>
      <c r="D156" t="s">
        <v>107</v>
      </c>
      <c r="E156" t="s">
        <v>49</v>
      </c>
      <c r="F156">
        <v>194</v>
      </c>
      <c r="G156" s="52">
        <v>0.22769953051643199</v>
      </c>
      <c r="H156">
        <v>33</v>
      </c>
      <c r="I156" s="52">
        <v>0.17934782608695601</v>
      </c>
      <c r="J156">
        <v>11241</v>
      </c>
      <c r="K156">
        <v>776</v>
      </c>
      <c r="L156" s="52">
        <v>0.19770700636942701</v>
      </c>
    </row>
    <row r="157" spans="1:12">
      <c r="A157" t="s">
        <v>130</v>
      </c>
      <c r="B157" t="s">
        <v>134</v>
      </c>
      <c r="C157">
        <v>262</v>
      </c>
      <c r="D157" t="s">
        <v>87</v>
      </c>
      <c r="E157" t="s">
        <v>49</v>
      </c>
      <c r="F157">
        <v>11</v>
      </c>
      <c r="G157" s="52">
        <v>1.2910798122065701E-2</v>
      </c>
      <c r="H157">
        <v>3</v>
      </c>
      <c r="I157" s="52">
        <v>1.6304347826087001E-2</v>
      </c>
      <c r="J157">
        <v>12502</v>
      </c>
      <c r="K157">
        <v>55</v>
      </c>
      <c r="L157" s="52">
        <v>1.4012738853503201E-2</v>
      </c>
    </row>
    <row r="158" spans="1:12">
      <c r="A158" t="s">
        <v>125</v>
      </c>
      <c r="B158" t="s">
        <v>134</v>
      </c>
      <c r="C158">
        <v>262</v>
      </c>
      <c r="D158" t="s">
        <v>90</v>
      </c>
      <c r="E158" t="s">
        <v>49</v>
      </c>
      <c r="F158">
        <v>120</v>
      </c>
      <c r="G158" s="52">
        <v>0.140845070422535</v>
      </c>
      <c r="H158">
        <v>38</v>
      </c>
      <c r="I158" s="52">
        <v>0.20652173913043501</v>
      </c>
      <c r="J158">
        <v>12316</v>
      </c>
      <c r="K158">
        <v>600</v>
      </c>
      <c r="L158" s="52">
        <v>0.152866242038217</v>
      </c>
    </row>
    <row r="159" spans="1:12">
      <c r="A159" t="s">
        <v>130</v>
      </c>
      <c r="B159" t="s">
        <v>135</v>
      </c>
      <c r="C159">
        <v>271</v>
      </c>
      <c r="D159" t="s">
        <v>107</v>
      </c>
      <c r="E159" t="s">
        <v>49</v>
      </c>
      <c r="F159">
        <v>67</v>
      </c>
      <c r="G159" s="52">
        <v>8.9932885906040302E-2</v>
      </c>
      <c r="H159">
        <v>15</v>
      </c>
      <c r="I159" s="52">
        <v>7.3529411764705899E-2</v>
      </c>
      <c r="J159">
        <v>11400</v>
      </c>
      <c r="K159">
        <v>268</v>
      </c>
      <c r="L159" s="52">
        <v>0.21630347054075899</v>
      </c>
    </row>
    <row r="160" spans="1:12">
      <c r="A160" t="s">
        <v>128</v>
      </c>
      <c r="B160" t="s">
        <v>135</v>
      </c>
      <c r="C160">
        <v>271</v>
      </c>
      <c r="D160" t="s">
        <v>114</v>
      </c>
      <c r="E160" t="s">
        <v>49</v>
      </c>
      <c r="F160">
        <v>157</v>
      </c>
      <c r="G160" s="52">
        <v>0.210738255033557</v>
      </c>
      <c r="H160">
        <v>33</v>
      </c>
      <c r="I160" s="52">
        <v>0.161764705882353</v>
      </c>
      <c r="K160">
        <v>157</v>
      </c>
      <c r="L160" s="52">
        <v>0.126715092816788</v>
      </c>
    </row>
    <row r="161" spans="1:12">
      <c r="A161" t="s">
        <v>128</v>
      </c>
      <c r="B161" t="s">
        <v>135</v>
      </c>
      <c r="C161">
        <v>271</v>
      </c>
      <c r="D161" t="s">
        <v>100</v>
      </c>
      <c r="E161" t="s">
        <v>49</v>
      </c>
      <c r="F161">
        <v>2</v>
      </c>
      <c r="G161" s="52">
        <v>2.6845637583892599E-3</v>
      </c>
      <c r="H161">
        <v>2</v>
      </c>
      <c r="I161" s="52">
        <v>9.8039215686274508E-3</v>
      </c>
      <c r="K161">
        <v>2</v>
      </c>
      <c r="L161" s="52">
        <v>1.6142050040355101E-3</v>
      </c>
    </row>
    <row r="162" spans="1:12">
      <c r="A162" t="s">
        <v>128</v>
      </c>
      <c r="B162" t="s">
        <v>135</v>
      </c>
      <c r="C162">
        <v>271</v>
      </c>
      <c r="D162" t="s">
        <v>84</v>
      </c>
      <c r="E162" t="s">
        <v>49</v>
      </c>
      <c r="F162">
        <v>81</v>
      </c>
      <c r="G162" s="52">
        <v>0.108724832214765</v>
      </c>
      <c r="H162">
        <v>26</v>
      </c>
      <c r="I162" s="52">
        <v>0.12745098039215699</v>
      </c>
      <c r="K162">
        <v>81</v>
      </c>
      <c r="L162" s="52">
        <v>6.5375302663438301E-2</v>
      </c>
    </row>
    <row r="163" spans="1:12">
      <c r="A163" t="s">
        <v>125</v>
      </c>
      <c r="B163" t="s">
        <v>135</v>
      </c>
      <c r="C163">
        <v>271</v>
      </c>
      <c r="D163" t="s">
        <v>90</v>
      </c>
      <c r="E163" t="s">
        <v>49</v>
      </c>
      <c r="F163">
        <v>132</v>
      </c>
      <c r="G163" s="52">
        <v>0.177181208053691</v>
      </c>
      <c r="H163">
        <v>48</v>
      </c>
      <c r="I163" s="52">
        <v>0.23529411764705899</v>
      </c>
      <c r="K163">
        <v>132</v>
      </c>
      <c r="L163" s="52">
        <v>0.10653753026634399</v>
      </c>
    </row>
    <row r="164" spans="1:12">
      <c r="A164" t="s">
        <v>125</v>
      </c>
      <c r="B164" t="s">
        <v>135</v>
      </c>
      <c r="C164">
        <v>271</v>
      </c>
      <c r="D164" t="s">
        <v>72</v>
      </c>
      <c r="E164" t="s">
        <v>49</v>
      </c>
      <c r="F164">
        <v>13</v>
      </c>
      <c r="G164" s="52">
        <v>1.74496644295302E-2</v>
      </c>
      <c r="H164">
        <v>5</v>
      </c>
      <c r="I164" s="52">
        <v>2.4509803921568599E-2</v>
      </c>
      <c r="K164">
        <v>13</v>
      </c>
      <c r="L164" s="52">
        <v>1.04923325262308E-2</v>
      </c>
    </row>
    <row r="165" spans="1:12">
      <c r="A165" t="s">
        <v>31</v>
      </c>
      <c r="B165" t="s">
        <v>135</v>
      </c>
      <c r="C165">
        <v>271</v>
      </c>
      <c r="D165" t="s">
        <v>68</v>
      </c>
      <c r="E165" t="s">
        <v>49</v>
      </c>
      <c r="F165">
        <v>293</v>
      </c>
      <c r="G165" s="52">
        <v>0.39328859060402699</v>
      </c>
      <c r="H165">
        <v>75</v>
      </c>
      <c r="I165" s="52">
        <v>0.36764705882352899</v>
      </c>
      <c r="J165">
        <v>7619</v>
      </c>
      <c r="K165">
        <v>586</v>
      </c>
      <c r="L165" s="52">
        <v>0.47296206618240499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7D05-B13E-457C-8751-917CD5FBDCC1}">
  <dimension ref="A1:I18"/>
  <sheetViews>
    <sheetView workbookViewId="0">
      <selection activeCell="F28" sqref="F28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4.44140625" bestFit="1" customWidth="1"/>
    <col min="5" max="6" width="8.6640625" customWidth="1"/>
    <col min="7" max="8" width="10.6640625" customWidth="1"/>
    <col min="9" max="9" width="6.6640625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126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>
      <c r="A13" t="str">
        <f t="shared" ref="A13:A18" si="0">$B$11</f>
        <v>Luan</v>
      </c>
      <c r="B13" t="s">
        <v>124</v>
      </c>
      <c r="C13" t="s">
        <v>108</v>
      </c>
      <c r="D13" t="s">
        <v>49</v>
      </c>
      <c r="E13">
        <v>18</v>
      </c>
      <c r="F13">
        <v>3</v>
      </c>
      <c r="G13" s="47">
        <v>8069</v>
      </c>
      <c r="H13" cm="1">
        <f t="array" ref="H13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54</v>
      </c>
    </row>
    <row r="14" spans="1:9">
      <c r="A14" t="str">
        <f t="shared" si="0"/>
        <v>Luan</v>
      </c>
      <c r="B14" t="s">
        <v>131</v>
      </c>
      <c r="C14" t="s">
        <v>64</v>
      </c>
      <c r="D14" t="s">
        <v>142</v>
      </c>
      <c r="E14">
        <v>55</v>
      </c>
      <c r="F14">
        <v>39</v>
      </c>
      <c r="G14">
        <v>6690</v>
      </c>
      <c r="H14" cm="1">
        <f t="array" ref="H14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110</v>
      </c>
    </row>
    <row r="15" spans="1:9">
      <c r="A15" t="str">
        <f t="shared" si="0"/>
        <v>Luan</v>
      </c>
      <c r="B15" t="s">
        <v>132</v>
      </c>
      <c r="C15" t="s">
        <v>64</v>
      </c>
      <c r="D15" t="s">
        <v>142</v>
      </c>
      <c r="E15">
        <v>109</v>
      </c>
      <c r="F15">
        <v>61</v>
      </c>
      <c r="G15" s="47">
        <v>10990</v>
      </c>
      <c r="H15" cm="1">
        <f t="array" ref="H15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436</v>
      </c>
    </row>
    <row r="16" spans="1:9">
      <c r="A16" t="str">
        <f t="shared" si="0"/>
        <v>Luan</v>
      </c>
      <c r="B16" t="s">
        <v>133</v>
      </c>
      <c r="C16" t="s">
        <v>64</v>
      </c>
      <c r="D16" t="s">
        <v>142</v>
      </c>
      <c r="E16">
        <v>16</v>
      </c>
      <c r="F16">
        <v>14</v>
      </c>
      <c r="G16">
        <v>7482</v>
      </c>
      <c r="H16" cm="1">
        <f t="array" ref="H16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32</v>
      </c>
    </row>
    <row r="17" spans="1:8">
      <c r="A17" t="str">
        <f t="shared" si="0"/>
        <v>Luan</v>
      </c>
      <c r="B17" t="s">
        <v>134</v>
      </c>
      <c r="C17" t="s">
        <v>64</v>
      </c>
      <c r="D17" t="s">
        <v>142</v>
      </c>
      <c r="E17">
        <v>18</v>
      </c>
      <c r="F17">
        <v>15</v>
      </c>
      <c r="G17">
        <v>14987</v>
      </c>
      <c r="H17" cm="1">
        <f t="array" ref="H17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90</v>
      </c>
    </row>
    <row r="18" spans="1:8">
      <c r="A18" t="str">
        <f t="shared" si="0"/>
        <v>Luan</v>
      </c>
      <c r="B18" t="s">
        <v>135</v>
      </c>
      <c r="C18" t="s">
        <v>64</v>
      </c>
      <c r="D18" t="s">
        <v>142</v>
      </c>
      <c r="E18">
        <v>52</v>
      </c>
      <c r="F18">
        <v>25</v>
      </c>
      <c r="H18" cm="1">
        <f t="array" ref="H18">_xlfn.IFS(
担当[[#This Row],[平均秒数]]&lt;=3000,1,
担当[[#This Row],[平均秒数]]&lt;=8000,2,
担当[[#This Row],[平均秒数]]&lt;=10000,3,
担当[[#This Row],[平均秒数]]&lt;=12000,4,
担当[[#This Row],[平均秒数]]&lt;=15000,5,
TRUE,6
)*担当[[#This Row],[生産数]]</f>
        <v>52</v>
      </c>
    </row>
  </sheetData>
  <mergeCells count="1">
    <mergeCell ref="H9:H11"/>
  </mergeCells>
  <dataValidations count="2">
    <dataValidation type="list" allowBlank="1" showInputMessage="1" showErrorMessage="1" sqref="D13:D18" xr:uid="{B5E3D10E-0880-43CE-AF73-B74FD470ECE3}">
      <formula1>"SMS,1rd/2nd/3rd...etc"</formula1>
    </dataValidation>
    <dataValidation type="list" allowBlank="1" showInputMessage="1" showErrorMessage="1" sqref="C13:C18" xr:uid="{196F45D7-D532-4672-9CB7-D223B124B190}">
      <formula1>brand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C12B-35CE-4653-841C-D81DC40445D0}">
  <dimension ref="A1:I54"/>
  <sheetViews>
    <sheetView workbookViewId="0">
      <selection activeCell="D32" sqref="D32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9" customWidth="1"/>
    <col min="5" max="6" width="8.6640625" customWidth="1"/>
    <col min="7" max="8" width="10.6640625" customWidth="1"/>
    <col min="9" max="9" width="29.21875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 ht="13.5" customHeight="1">
      <c r="H10" s="171"/>
    </row>
    <row r="11" spans="1:9">
      <c r="A11" s="48" t="s">
        <v>153</v>
      </c>
      <c r="B11" s="53" t="s">
        <v>125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>
      <c r="A13" t="str">
        <f t="shared" ref="A13:A18" si="0">$B$11</f>
        <v>Cuong</v>
      </c>
      <c r="B13" t="s">
        <v>124</v>
      </c>
      <c r="C13" t="s">
        <v>72</v>
      </c>
      <c r="D13" t="s">
        <v>142</v>
      </c>
      <c r="E13">
        <v>18</v>
      </c>
      <c r="F13">
        <v>18</v>
      </c>
      <c r="G13" s="47">
        <v>5672</v>
      </c>
      <c r="H13" cm="1">
        <f t="array" ref="H13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36</v>
      </c>
    </row>
    <row r="14" spans="1:9">
      <c r="A14" t="str">
        <f t="shared" si="0"/>
        <v>Cuong</v>
      </c>
      <c r="B14" t="s">
        <v>124</v>
      </c>
      <c r="C14" t="s">
        <v>74</v>
      </c>
      <c r="D14" t="s">
        <v>142</v>
      </c>
      <c r="E14">
        <v>15</v>
      </c>
      <c r="F14">
        <v>15</v>
      </c>
      <c r="G14" s="47">
        <v>5785</v>
      </c>
      <c r="H14" cm="1">
        <f t="array" ref="H14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30</v>
      </c>
    </row>
    <row r="15" spans="1:9">
      <c r="A15" t="str">
        <f t="shared" si="0"/>
        <v>Cuong</v>
      </c>
      <c r="B15" t="s">
        <v>124</v>
      </c>
      <c r="C15" t="s">
        <v>93</v>
      </c>
      <c r="D15" t="s">
        <v>142</v>
      </c>
      <c r="E15">
        <v>2</v>
      </c>
      <c r="F15">
        <v>2</v>
      </c>
      <c r="G15" s="47">
        <v>8027</v>
      </c>
      <c r="H15" cm="1">
        <f t="array" ref="H15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6</v>
      </c>
    </row>
    <row r="16" spans="1:9">
      <c r="A16" t="str">
        <f t="shared" si="0"/>
        <v>Cuong</v>
      </c>
      <c r="B16" t="s">
        <v>124</v>
      </c>
      <c r="C16" t="s">
        <v>72</v>
      </c>
      <c r="D16" t="s">
        <v>49</v>
      </c>
      <c r="E16">
        <v>54</v>
      </c>
      <c r="F16">
        <v>19</v>
      </c>
      <c r="G16" s="47">
        <v>4705</v>
      </c>
      <c r="H16" cm="1">
        <f t="array" ref="H16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108</v>
      </c>
    </row>
    <row r="17" spans="1:8">
      <c r="A17" t="str">
        <f t="shared" si="0"/>
        <v>Cuong</v>
      </c>
      <c r="B17" t="s">
        <v>124</v>
      </c>
      <c r="C17" t="s">
        <v>93</v>
      </c>
      <c r="D17" t="s">
        <v>49</v>
      </c>
      <c r="E17">
        <v>8</v>
      </c>
      <c r="F17">
        <v>2</v>
      </c>
      <c r="G17" s="47">
        <v>8213</v>
      </c>
      <c r="H17" cm="1">
        <f t="array" ref="H17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24</v>
      </c>
    </row>
    <row r="18" spans="1:8">
      <c r="A18" t="str">
        <f t="shared" si="0"/>
        <v>Cuong</v>
      </c>
      <c r="B18" t="s">
        <v>127</v>
      </c>
      <c r="C18" t="s">
        <v>72</v>
      </c>
      <c r="D18" t="s">
        <v>142</v>
      </c>
      <c r="E18">
        <v>18</v>
      </c>
      <c r="F18">
        <v>15</v>
      </c>
      <c r="G18" s="47">
        <v>6108</v>
      </c>
      <c r="H18" cm="1">
        <f t="array" ref="H18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36</v>
      </c>
    </row>
    <row r="19" spans="1:8">
      <c r="A19" t="str">
        <f t="shared" ref="A19:A21" si="1">$B$11</f>
        <v>Cuong</v>
      </c>
      <c r="B19" t="s">
        <v>127</v>
      </c>
      <c r="C19" t="s">
        <v>86</v>
      </c>
      <c r="D19" t="s">
        <v>142</v>
      </c>
      <c r="E19">
        <v>1</v>
      </c>
      <c r="F19">
        <v>1</v>
      </c>
      <c r="G19" s="47">
        <v>6777</v>
      </c>
      <c r="H19" cm="1">
        <f t="array" ref="H19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</v>
      </c>
    </row>
    <row r="20" spans="1:8">
      <c r="A20" t="str">
        <f t="shared" si="1"/>
        <v>Cuong</v>
      </c>
      <c r="B20" t="s">
        <v>127</v>
      </c>
      <c r="C20" t="s">
        <v>88</v>
      </c>
      <c r="D20" t="s">
        <v>142</v>
      </c>
      <c r="E20">
        <v>2</v>
      </c>
      <c r="F20">
        <v>2</v>
      </c>
      <c r="H20" cm="1">
        <f t="array" ref="H20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</v>
      </c>
    </row>
    <row r="21" spans="1:8">
      <c r="A21" t="str">
        <f t="shared" si="1"/>
        <v>Cuong</v>
      </c>
      <c r="B21" t="s">
        <v>127</v>
      </c>
      <c r="C21" t="s">
        <v>90</v>
      </c>
      <c r="D21" t="s">
        <v>142</v>
      </c>
      <c r="E21">
        <v>7</v>
      </c>
      <c r="F21">
        <v>7</v>
      </c>
      <c r="G21" s="47">
        <v>6522</v>
      </c>
      <c r="H21" cm="1">
        <f t="array" ref="H21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14</v>
      </c>
    </row>
    <row r="22" spans="1:8">
      <c r="A22" t="str">
        <f t="shared" ref="A22:A23" si="2">$B$11</f>
        <v>Cuong</v>
      </c>
      <c r="B22" t="s">
        <v>127</v>
      </c>
      <c r="C22" t="s">
        <v>72</v>
      </c>
      <c r="D22" t="s">
        <v>49</v>
      </c>
      <c r="E22">
        <v>71</v>
      </c>
      <c r="F22">
        <v>17</v>
      </c>
      <c r="G22" s="47">
        <v>5692</v>
      </c>
      <c r="H22" cm="1">
        <f t="array" ref="H22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142</v>
      </c>
    </row>
    <row r="23" spans="1:8">
      <c r="A23" t="str">
        <f t="shared" si="2"/>
        <v>Cuong</v>
      </c>
      <c r="B23" t="s">
        <v>127</v>
      </c>
      <c r="C23" t="s">
        <v>90</v>
      </c>
      <c r="D23" t="s">
        <v>49</v>
      </c>
      <c r="E23">
        <v>60</v>
      </c>
      <c r="F23">
        <v>20</v>
      </c>
      <c r="G23" s="47">
        <v>7556</v>
      </c>
      <c r="H23" cm="1">
        <f t="array" ref="H23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120</v>
      </c>
    </row>
    <row r="24" spans="1:8">
      <c r="A24" t="str">
        <f t="shared" ref="A24:A27" si="3">$B$11</f>
        <v>Cuong</v>
      </c>
      <c r="B24" t="s">
        <v>129</v>
      </c>
      <c r="C24" t="s">
        <v>72</v>
      </c>
      <c r="D24" t="s">
        <v>142</v>
      </c>
      <c r="E24">
        <v>15</v>
      </c>
      <c r="F24">
        <v>15</v>
      </c>
      <c r="G24" s="47">
        <v>6108</v>
      </c>
      <c r="H24" cm="1">
        <f t="array" ref="H24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30</v>
      </c>
    </row>
    <row r="25" spans="1:8">
      <c r="A25" t="str">
        <f t="shared" si="3"/>
        <v>Cuong</v>
      </c>
      <c r="B25" t="s">
        <v>129</v>
      </c>
      <c r="C25" t="s">
        <v>76</v>
      </c>
      <c r="D25" t="s">
        <v>142</v>
      </c>
      <c r="E25">
        <v>1</v>
      </c>
      <c r="F25">
        <v>1</v>
      </c>
      <c r="H25" cm="1">
        <f t="array" ref="H25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</v>
      </c>
    </row>
    <row r="26" spans="1:8">
      <c r="A26" t="str">
        <f t="shared" si="3"/>
        <v>Cuong</v>
      </c>
      <c r="B26" t="s">
        <v>129</v>
      </c>
      <c r="C26" t="s">
        <v>90</v>
      </c>
      <c r="D26" t="s">
        <v>142</v>
      </c>
      <c r="E26">
        <v>10</v>
      </c>
      <c r="F26">
        <v>10</v>
      </c>
      <c r="G26" s="47">
        <v>6522</v>
      </c>
      <c r="H26" cm="1">
        <f t="array" ref="H26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20</v>
      </c>
    </row>
    <row r="27" spans="1:8">
      <c r="A27" t="str">
        <f t="shared" si="3"/>
        <v>Cuong</v>
      </c>
      <c r="B27" t="s">
        <v>129</v>
      </c>
      <c r="C27" t="s">
        <v>93</v>
      </c>
      <c r="D27" t="s">
        <v>142</v>
      </c>
      <c r="E27">
        <v>1</v>
      </c>
      <c r="F27">
        <v>1</v>
      </c>
      <c r="G27" s="47">
        <v>7433</v>
      </c>
      <c r="H27" cm="1">
        <f t="array" ref="H27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</v>
      </c>
    </row>
    <row r="28" spans="1:8">
      <c r="A28" t="str">
        <f t="shared" ref="A28:A29" si="4">$B$11</f>
        <v>Cuong</v>
      </c>
      <c r="B28" t="s">
        <v>129</v>
      </c>
      <c r="C28" t="s">
        <v>72</v>
      </c>
      <c r="D28" t="s">
        <v>49</v>
      </c>
      <c r="E28">
        <v>78</v>
      </c>
      <c r="F28">
        <v>19</v>
      </c>
      <c r="G28" s="47">
        <v>6320</v>
      </c>
      <c r="H28" cm="1">
        <f t="array" ref="H28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156</v>
      </c>
    </row>
    <row r="29" spans="1:8">
      <c r="A29" t="str">
        <f t="shared" si="4"/>
        <v>Cuong</v>
      </c>
      <c r="B29" t="s">
        <v>129</v>
      </c>
      <c r="C29" t="s">
        <v>90</v>
      </c>
      <c r="D29" t="s">
        <v>49</v>
      </c>
      <c r="E29">
        <v>54</v>
      </c>
      <c r="F29">
        <v>19</v>
      </c>
      <c r="G29" s="47">
        <v>9654</v>
      </c>
      <c r="H29" cm="1">
        <f t="array" ref="H29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162</v>
      </c>
    </row>
    <row r="30" spans="1:8">
      <c r="A30" t="str">
        <f t="shared" ref="A30:A32" si="5">$B$11</f>
        <v>Cuong</v>
      </c>
      <c r="B30" t="s">
        <v>131</v>
      </c>
      <c r="C30" t="s">
        <v>67</v>
      </c>
      <c r="D30" t="s">
        <v>142</v>
      </c>
      <c r="E30">
        <v>6</v>
      </c>
      <c r="F30">
        <v>6</v>
      </c>
      <c r="G30" s="47">
        <v>6690</v>
      </c>
      <c r="H30" cm="1">
        <f t="array" ref="H30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12</v>
      </c>
    </row>
    <row r="31" spans="1:8">
      <c r="A31" t="str">
        <f t="shared" si="5"/>
        <v>Cuong</v>
      </c>
      <c r="B31" t="s">
        <v>131</v>
      </c>
      <c r="C31" t="s">
        <v>72</v>
      </c>
      <c r="D31" t="s">
        <v>142</v>
      </c>
      <c r="E31">
        <v>25</v>
      </c>
      <c r="F31">
        <v>23</v>
      </c>
      <c r="G31" s="47">
        <v>5184</v>
      </c>
      <c r="H31" cm="1">
        <f t="array" ref="H31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50</v>
      </c>
    </row>
    <row r="32" spans="1:8">
      <c r="A32" t="str">
        <f t="shared" si="5"/>
        <v>Cuong</v>
      </c>
      <c r="B32" t="s">
        <v>131</v>
      </c>
      <c r="C32" t="s">
        <v>90</v>
      </c>
      <c r="D32" t="s">
        <v>142</v>
      </c>
      <c r="E32">
        <v>31</v>
      </c>
      <c r="F32">
        <v>30</v>
      </c>
      <c r="G32" s="47">
        <v>8709</v>
      </c>
      <c r="H32" cm="1">
        <f t="array" ref="H32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93</v>
      </c>
    </row>
    <row r="33" spans="1:9">
      <c r="A33" t="str">
        <f t="shared" ref="A33:A34" si="6">$B$11</f>
        <v>Cuong</v>
      </c>
      <c r="B33" t="s">
        <v>131</v>
      </c>
      <c r="C33" t="s">
        <v>72</v>
      </c>
      <c r="D33" t="s">
        <v>49</v>
      </c>
      <c r="E33">
        <v>63</v>
      </c>
      <c r="F33">
        <v>18</v>
      </c>
      <c r="G33" s="47">
        <v>5449</v>
      </c>
      <c r="H33" cm="1">
        <f t="array" ref="H33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126</v>
      </c>
    </row>
    <row r="34" spans="1:9">
      <c r="A34" t="str">
        <f t="shared" si="6"/>
        <v>Cuong</v>
      </c>
      <c r="B34" t="s">
        <v>131</v>
      </c>
      <c r="C34" t="s">
        <v>90</v>
      </c>
      <c r="D34" t="s">
        <v>49</v>
      </c>
      <c r="E34">
        <v>56</v>
      </c>
      <c r="F34">
        <v>16</v>
      </c>
      <c r="G34" s="47">
        <v>9281</v>
      </c>
      <c r="H34" cm="1">
        <f t="array" ref="H34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168</v>
      </c>
    </row>
    <row r="35" spans="1:9">
      <c r="A35" t="str">
        <f t="shared" ref="A35:A38" si="7">$B$11</f>
        <v>Cuong</v>
      </c>
      <c r="B35" t="s">
        <v>132</v>
      </c>
      <c r="C35" t="s">
        <v>67</v>
      </c>
      <c r="D35" t="s">
        <v>142</v>
      </c>
      <c r="E35">
        <v>5</v>
      </c>
      <c r="F35">
        <v>5</v>
      </c>
      <c r="G35" s="47">
        <v>10990</v>
      </c>
      <c r="H35" cm="1">
        <f t="array" ref="H35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20</v>
      </c>
    </row>
    <row r="36" spans="1:9">
      <c r="A36" t="str">
        <f t="shared" si="7"/>
        <v>Cuong</v>
      </c>
      <c r="B36" t="s">
        <v>132</v>
      </c>
      <c r="C36" t="s">
        <v>72</v>
      </c>
      <c r="D36" t="s">
        <v>142</v>
      </c>
      <c r="E36">
        <v>26</v>
      </c>
      <c r="F36">
        <v>18</v>
      </c>
      <c r="G36" s="47">
        <v>9146</v>
      </c>
      <c r="H36" cm="1">
        <f t="array" ref="H36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78</v>
      </c>
    </row>
    <row r="37" spans="1:9">
      <c r="A37" t="str">
        <f t="shared" si="7"/>
        <v>Cuong</v>
      </c>
      <c r="B37" t="s">
        <v>132</v>
      </c>
      <c r="C37" t="s">
        <v>90</v>
      </c>
      <c r="D37" t="s">
        <v>142</v>
      </c>
      <c r="E37">
        <v>65</v>
      </c>
      <c r="F37">
        <v>36</v>
      </c>
      <c r="G37" s="47">
        <v>13961</v>
      </c>
      <c r="H37" cm="1">
        <f t="array" ref="H37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325</v>
      </c>
    </row>
    <row r="38" spans="1:9">
      <c r="A38" t="str">
        <f t="shared" si="7"/>
        <v>Cuong</v>
      </c>
      <c r="B38" t="s">
        <v>132</v>
      </c>
      <c r="C38" t="s">
        <v>115</v>
      </c>
      <c r="D38" t="s">
        <v>142</v>
      </c>
      <c r="E38">
        <v>3</v>
      </c>
      <c r="F38">
        <v>3</v>
      </c>
      <c r="G38" s="47">
        <v>12763</v>
      </c>
      <c r="H38" cm="1">
        <f t="array" ref="H38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15</v>
      </c>
    </row>
    <row r="39" spans="1:9">
      <c r="A39" t="str">
        <f t="shared" ref="A39:A40" si="8">$B$11</f>
        <v>Cuong</v>
      </c>
      <c r="B39" t="s">
        <v>132</v>
      </c>
      <c r="C39" t="s">
        <v>72</v>
      </c>
      <c r="D39" t="s">
        <v>49</v>
      </c>
      <c r="E39">
        <v>99</v>
      </c>
      <c r="F39">
        <v>29</v>
      </c>
      <c r="G39" s="47">
        <v>7187</v>
      </c>
      <c r="H39" cm="1">
        <f t="array" ref="H39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198</v>
      </c>
    </row>
    <row r="40" spans="1:9">
      <c r="A40" t="str">
        <f t="shared" si="8"/>
        <v>Cuong</v>
      </c>
      <c r="B40" t="s">
        <v>132</v>
      </c>
      <c r="C40" t="s">
        <v>90</v>
      </c>
      <c r="D40" t="s">
        <v>49</v>
      </c>
      <c r="E40">
        <v>139</v>
      </c>
      <c r="F40">
        <v>40</v>
      </c>
      <c r="G40" s="47">
        <v>13178</v>
      </c>
      <c r="H40" cm="1">
        <f t="array" ref="H40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695</v>
      </c>
    </row>
    <row r="41" spans="1:9">
      <c r="A41" t="str">
        <f t="shared" ref="A41:A44" si="9">$B$11</f>
        <v>Cuong</v>
      </c>
      <c r="B41" t="s">
        <v>133</v>
      </c>
      <c r="C41" t="s">
        <v>67</v>
      </c>
      <c r="D41" t="s">
        <v>142</v>
      </c>
      <c r="E41">
        <v>7</v>
      </c>
      <c r="F41">
        <v>2</v>
      </c>
      <c r="G41" s="47">
        <v>7482</v>
      </c>
      <c r="H41" cm="1">
        <f t="array" ref="H41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14</v>
      </c>
    </row>
    <row r="42" spans="1:9">
      <c r="A42" t="str">
        <f t="shared" si="9"/>
        <v>Cuong</v>
      </c>
      <c r="B42" t="s">
        <v>133</v>
      </c>
      <c r="C42" t="s">
        <v>72</v>
      </c>
      <c r="D42" t="s">
        <v>142</v>
      </c>
      <c r="E42">
        <v>7</v>
      </c>
      <c r="F42">
        <v>5</v>
      </c>
      <c r="G42" s="47">
        <v>6165</v>
      </c>
      <c r="H42" cm="1">
        <f t="array" ref="H42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14</v>
      </c>
    </row>
    <row r="43" spans="1:9">
      <c r="A43" t="str">
        <f t="shared" si="9"/>
        <v>Cuong</v>
      </c>
      <c r="B43" t="s">
        <v>133</v>
      </c>
      <c r="C43" t="s">
        <v>89</v>
      </c>
      <c r="D43" t="s">
        <v>142</v>
      </c>
      <c r="E43">
        <v>2</v>
      </c>
      <c r="F43">
        <v>2</v>
      </c>
      <c r="G43" s="47">
        <v>8210</v>
      </c>
      <c r="H43" cm="1">
        <f t="array" ref="H43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6</v>
      </c>
    </row>
    <row r="44" spans="1:9">
      <c r="A44" t="str">
        <f t="shared" si="9"/>
        <v>Cuong</v>
      </c>
      <c r="B44" t="s">
        <v>133</v>
      </c>
      <c r="C44" t="s">
        <v>90</v>
      </c>
      <c r="D44" t="s">
        <v>142</v>
      </c>
      <c r="E44">
        <v>25</v>
      </c>
      <c r="F44">
        <v>16</v>
      </c>
      <c r="G44" s="47">
        <v>13068</v>
      </c>
      <c r="H44" cm="1">
        <f t="array" ref="H44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125</v>
      </c>
    </row>
    <row r="45" spans="1:9">
      <c r="A45" t="str">
        <f t="shared" ref="A45:A46" si="10">$B$11</f>
        <v>Cuong</v>
      </c>
      <c r="B45" t="s">
        <v>133</v>
      </c>
      <c r="C45" t="s">
        <v>72</v>
      </c>
      <c r="D45" t="s">
        <v>49</v>
      </c>
      <c r="E45">
        <v>30</v>
      </c>
      <c r="F45">
        <v>12</v>
      </c>
      <c r="G45" s="47">
        <v>5617</v>
      </c>
      <c r="H45" cm="1">
        <f t="array" ref="H45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60</v>
      </c>
    </row>
    <row r="46" spans="1:9">
      <c r="A46" t="str">
        <f t="shared" si="10"/>
        <v>Cuong</v>
      </c>
      <c r="B46" t="s">
        <v>133</v>
      </c>
      <c r="C46" t="s">
        <v>90</v>
      </c>
      <c r="D46" t="s">
        <v>49</v>
      </c>
      <c r="E46">
        <v>52</v>
      </c>
      <c r="F46">
        <v>19</v>
      </c>
      <c r="G46" s="47">
        <v>11036</v>
      </c>
      <c r="H46" cm="1">
        <f t="array" ref="H46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208</v>
      </c>
    </row>
    <row r="47" spans="1:9">
      <c r="A47" t="str">
        <f t="shared" ref="A47:A48" si="11">$B$11</f>
        <v>Cuong</v>
      </c>
      <c r="B47" t="s">
        <v>134</v>
      </c>
      <c r="C47" t="s">
        <v>72</v>
      </c>
      <c r="D47" t="s">
        <v>142</v>
      </c>
      <c r="E47">
        <v>23</v>
      </c>
      <c r="F47">
        <v>21</v>
      </c>
      <c r="G47" s="47">
        <v>7573</v>
      </c>
      <c r="H47" cm="1">
        <f t="array" ref="H47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46</v>
      </c>
    </row>
    <row r="48" spans="1:9">
      <c r="A48" t="str">
        <f t="shared" si="11"/>
        <v>Cuong</v>
      </c>
      <c r="B48" t="s">
        <v>134</v>
      </c>
      <c r="C48" t="s">
        <v>90</v>
      </c>
      <c r="D48" t="s">
        <v>142</v>
      </c>
      <c r="E48">
        <v>47</v>
      </c>
      <c r="F48">
        <v>42</v>
      </c>
      <c r="G48" s="47">
        <v>9838</v>
      </c>
      <c r="H48" cm="1">
        <f t="array" ref="H48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141</v>
      </c>
      <c r="I48" t="s">
        <v>155</v>
      </c>
    </row>
    <row r="49" spans="1:9">
      <c r="A49" t="str">
        <f t="shared" ref="A49:A50" si="12">$B$11</f>
        <v>Cuong</v>
      </c>
      <c r="B49" t="s">
        <v>134</v>
      </c>
      <c r="C49" t="s">
        <v>72</v>
      </c>
      <c r="D49" t="s">
        <v>49</v>
      </c>
      <c r="E49">
        <v>39</v>
      </c>
      <c r="F49">
        <v>12</v>
      </c>
      <c r="G49" s="47">
        <v>5939</v>
      </c>
      <c r="H49" cm="1">
        <f t="array" ref="H49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78</v>
      </c>
    </row>
    <row r="50" spans="1:9">
      <c r="A50" t="str">
        <f t="shared" si="12"/>
        <v>Cuong</v>
      </c>
      <c r="B50" t="s">
        <v>134</v>
      </c>
      <c r="C50" t="s">
        <v>90</v>
      </c>
      <c r="D50" t="s">
        <v>49</v>
      </c>
      <c r="E50">
        <v>120</v>
      </c>
      <c r="F50">
        <v>38</v>
      </c>
      <c r="G50" s="47">
        <v>12316</v>
      </c>
      <c r="H50" cm="1">
        <f t="array" ref="H50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600</v>
      </c>
    </row>
    <row r="51" spans="1:9">
      <c r="A51" t="str">
        <f t="shared" ref="A51:A52" si="13">$B$11</f>
        <v>Cuong</v>
      </c>
      <c r="B51" t="s">
        <v>135</v>
      </c>
      <c r="C51" t="s">
        <v>72</v>
      </c>
      <c r="D51" t="s">
        <v>142</v>
      </c>
      <c r="E51">
        <v>2</v>
      </c>
      <c r="F51">
        <v>2</v>
      </c>
      <c r="H51" cm="1">
        <f t="array" ref="H51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2</v>
      </c>
    </row>
    <row r="52" spans="1:9">
      <c r="A52" t="str">
        <f t="shared" si="13"/>
        <v>Cuong</v>
      </c>
      <c r="B52" t="s">
        <v>135</v>
      </c>
      <c r="C52" t="s">
        <v>90</v>
      </c>
      <c r="D52" t="s">
        <v>142</v>
      </c>
      <c r="E52">
        <v>45</v>
      </c>
      <c r="F52">
        <v>34</v>
      </c>
      <c r="H52" cm="1">
        <f t="array" ref="H52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45</v>
      </c>
      <c r="I52" t="s">
        <v>156</v>
      </c>
    </row>
    <row r="53" spans="1:9">
      <c r="A53" t="str">
        <f t="shared" ref="A53:A54" si="14">$B$11</f>
        <v>Cuong</v>
      </c>
      <c r="B53" t="s">
        <v>135</v>
      </c>
      <c r="C53" t="s">
        <v>72</v>
      </c>
      <c r="D53" t="s">
        <v>49</v>
      </c>
      <c r="E53">
        <v>13</v>
      </c>
      <c r="F53">
        <v>5</v>
      </c>
      <c r="H53" cm="1">
        <f t="array" ref="H53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13</v>
      </c>
    </row>
    <row r="54" spans="1:9">
      <c r="A54" t="str">
        <f t="shared" si="14"/>
        <v>Cuong</v>
      </c>
      <c r="B54" t="s">
        <v>135</v>
      </c>
      <c r="C54" t="s">
        <v>90</v>
      </c>
      <c r="D54" t="s">
        <v>49</v>
      </c>
      <c r="E54">
        <v>132</v>
      </c>
      <c r="F54">
        <v>48</v>
      </c>
      <c r="H54" cm="1">
        <f t="array" ref="H54">_xlfn.IFS(
担当_5[[#This Row],[平均秒数]]&lt;=3000,1,
担当_5[[#This Row],[平均秒数]]&lt;=8000,2,
担当_5[[#This Row],[平均秒数]]&lt;=10000,3,
担当_5[[#This Row],[平均秒数]]&lt;=12000,4,
担当_5[[#This Row],[平均秒数]]&lt;=15000,5,
TRUE,6
)*担当_5[[#This Row],[生産数]]</f>
        <v>132</v>
      </c>
    </row>
  </sheetData>
  <mergeCells count="1">
    <mergeCell ref="H9:H11"/>
  </mergeCells>
  <dataValidations count="2">
    <dataValidation type="list" allowBlank="1" showInputMessage="1" showErrorMessage="1" sqref="C13:C54" xr:uid="{D33378CC-491F-45DC-B579-69C6E42D2794}">
      <formula1>brand</formula1>
    </dataValidation>
    <dataValidation type="list" allowBlank="1" showInputMessage="1" showErrorMessage="1" sqref="D13:D54" xr:uid="{813D5D32-D427-489E-AF12-DDAC0138270A}">
      <formula1>"SMS,1rd/2nd/3rd...etc"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1070-3FF6-43FD-B172-18B8C46E424F}">
  <dimension ref="A1:I49"/>
  <sheetViews>
    <sheetView workbookViewId="0">
      <pane xSplit="4" ySplit="12" topLeftCell="E20" activePane="bottomRight" state="frozen"/>
      <selection pane="topRight" activeCell="E1" sqref="E1"/>
      <selection pane="bottomLeft" activeCell="A13" sqref="A13"/>
      <selection pane="bottomRight" activeCell="C60" sqref="C60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4.44140625" bestFit="1" customWidth="1"/>
    <col min="5" max="6" width="8.6640625" customWidth="1"/>
    <col min="7" max="8" width="10.6640625" customWidth="1"/>
    <col min="9" max="9" width="17.21875" bestFit="1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128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 ht="13.8" hidden="1">
      <c r="A13" s="152" t="str">
        <f t="shared" ref="A13:A17" si="0">$B$11</f>
        <v>Hien</v>
      </c>
      <c r="B13" s="152" t="s">
        <v>124</v>
      </c>
      <c r="C13" s="152" t="s">
        <v>84</v>
      </c>
      <c r="D13" s="152" t="s">
        <v>142</v>
      </c>
      <c r="E13" s="152">
        <v>9</v>
      </c>
      <c r="F13" s="152">
        <v>7</v>
      </c>
      <c r="G13" s="153">
        <v>11873</v>
      </c>
      <c r="H13" s="152" cm="1">
        <f t="array" ref="H13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36</v>
      </c>
      <c r="I13" s="152"/>
    </row>
    <row r="14" spans="1:9" ht="13.8" hidden="1">
      <c r="A14" s="152" t="str">
        <f t="shared" si="0"/>
        <v>Hien</v>
      </c>
      <c r="B14" s="152" t="s">
        <v>124</v>
      </c>
      <c r="C14" s="152" t="s">
        <v>94</v>
      </c>
      <c r="D14" s="152" t="s">
        <v>142</v>
      </c>
      <c r="E14" s="152">
        <v>4</v>
      </c>
      <c r="F14" s="152">
        <v>2</v>
      </c>
      <c r="G14" s="153">
        <v>7574</v>
      </c>
      <c r="H14" s="152" cm="1">
        <f t="array" ref="H14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8</v>
      </c>
      <c r="I14" s="152"/>
    </row>
    <row r="15" spans="1:9" ht="13.8" hidden="1">
      <c r="A15" s="152" t="str">
        <f t="shared" si="0"/>
        <v>Hien</v>
      </c>
      <c r="B15" s="152" t="s">
        <v>124</v>
      </c>
      <c r="C15" s="152" t="s">
        <v>110</v>
      </c>
      <c r="D15" s="152" t="s">
        <v>142</v>
      </c>
      <c r="E15" s="152">
        <v>8</v>
      </c>
      <c r="F15" s="152">
        <v>8</v>
      </c>
      <c r="G15" s="153">
        <v>7319</v>
      </c>
      <c r="H15" s="152" cm="1">
        <f t="array" ref="H15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16</v>
      </c>
      <c r="I15" s="152"/>
    </row>
    <row r="16" spans="1:9" ht="13.8" hidden="1">
      <c r="A16" s="152" t="str">
        <f t="shared" si="0"/>
        <v>Hien</v>
      </c>
      <c r="B16" s="152" t="s">
        <v>124</v>
      </c>
      <c r="C16" s="152" t="s">
        <v>84</v>
      </c>
      <c r="D16" s="152" t="s">
        <v>49</v>
      </c>
      <c r="E16" s="152">
        <v>21</v>
      </c>
      <c r="F16" s="152">
        <v>5</v>
      </c>
      <c r="G16" s="153">
        <v>11873</v>
      </c>
      <c r="H16" s="152" cm="1">
        <f t="array" ref="H16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84</v>
      </c>
      <c r="I16" s="152"/>
    </row>
    <row r="17" spans="1:9" ht="13.8" hidden="1">
      <c r="A17" s="152" t="str">
        <f t="shared" si="0"/>
        <v>Hien</v>
      </c>
      <c r="B17" s="152" t="s">
        <v>124</v>
      </c>
      <c r="C17" s="152" t="s">
        <v>94</v>
      </c>
      <c r="D17" s="152" t="s">
        <v>49</v>
      </c>
      <c r="E17" s="152">
        <v>138</v>
      </c>
      <c r="F17" s="152">
        <v>15</v>
      </c>
      <c r="G17" s="153">
        <v>7639</v>
      </c>
      <c r="H17" s="152" cm="1">
        <f t="array" ref="H17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276</v>
      </c>
      <c r="I17" s="152"/>
    </row>
    <row r="18" spans="1:9" ht="13.8" hidden="1">
      <c r="A18" s="152" t="str">
        <f t="shared" ref="A18" si="1">$B$11</f>
        <v>Hien</v>
      </c>
      <c r="B18" s="152" t="s">
        <v>124</v>
      </c>
      <c r="C18" s="152" t="s">
        <v>110</v>
      </c>
      <c r="D18" s="152" t="s">
        <v>49</v>
      </c>
      <c r="E18" s="152">
        <v>88</v>
      </c>
      <c r="F18" s="152">
        <v>16</v>
      </c>
      <c r="G18" s="153">
        <v>7332</v>
      </c>
      <c r="H18" s="152" cm="1">
        <f t="array" ref="H18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176</v>
      </c>
      <c r="I18" s="152"/>
    </row>
    <row r="19" spans="1:9" ht="13.8" hidden="1">
      <c r="A19" s="152" t="str">
        <f t="shared" ref="A19:A20" si="2">$B$11</f>
        <v>Hien</v>
      </c>
      <c r="B19" s="152" t="s">
        <v>127</v>
      </c>
      <c r="C19" s="152" t="s">
        <v>84</v>
      </c>
      <c r="D19" s="152" t="s">
        <v>142</v>
      </c>
      <c r="E19" s="152">
        <v>5</v>
      </c>
      <c r="F19" s="152">
        <v>5</v>
      </c>
      <c r="G19" s="153">
        <v>6356</v>
      </c>
      <c r="H19" s="152" cm="1">
        <f t="array" ref="H19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10</v>
      </c>
      <c r="I19" s="152"/>
    </row>
    <row r="20" spans="1:9" ht="13.8" hidden="1">
      <c r="A20" s="152" t="str">
        <f t="shared" si="2"/>
        <v>Hien</v>
      </c>
      <c r="B20" s="152" t="s">
        <v>127</v>
      </c>
      <c r="C20" s="152" t="s">
        <v>110</v>
      </c>
      <c r="D20" s="152" t="s">
        <v>142</v>
      </c>
      <c r="E20" s="152">
        <v>66</v>
      </c>
      <c r="F20" s="152">
        <v>21</v>
      </c>
      <c r="G20" s="153">
        <v>6592</v>
      </c>
      <c r="H20" s="152" cm="1">
        <f t="array" ref="H20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132</v>
      </c>
      <c r="I20" s="152"/>
    </row>
    <row r="21" spans="1:9" ht="13.8" hidden="1">
      <c r="A21" s="152" t="str">
        <f t="shared" ref="A21:A22" si="3">$B$11</f>
        <v>Hien</v>
      </c>
      <c r="B21" s="152" t="s">
        <v>127</v>
      </c>
      <c r="C21" s="152" t="s">
        <v>84</v>
      </c>
      <c r="D21" s="152" t="s">
        <v>49</v>
      </c>
      <c r="E21" s="152">
        <v>15</v>
      </c>
      <c r="F21" s="152">
        <v>3</v>
      </c>
      <c r="G21" s="153">
        <v>7060</v>
      </c>
      <c r="H21" s="152" cm="1">
        <f t="array" ref="H21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30</v>
      </c>
      <c r="I21" s="152"/>
    </row>
    <row r="22" spans="1:9" ht="13.8" hidden="1">
      <c r="A22" s="152" t="str">
        <f t="shared" si="3"/>
        <v>Hien</v>
      </c>
      <c r="B22" s="152" t="s">
        <v>127</v>
      </c>
      <c r="C22" s="152" t="s">
        <v>110</v>
      </c>
      <c r="D22" s="152" t="s">
        <v>49</v>
      </c>
      <c r="E22" s="152">
        <v>122</v>
      </c>
      <c r="F22" s="152">
        <v>17</v>
      </c>
      <c r="G22" s="153">
        <v>5953</v>
      </c>
      <c r="H22" s="152" cm="1">
        <f t="array" ref="H22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244</v>
      </c>
      <c r="I22" s="152"/>
    </row>
    <row r="23" spans="1:9" ht="13.8" hidden="1">
      <c r="A23" s="152" t="str">
        <f t="shared" ref="A23:A26" si="4">$B$11</f>
        <v>Hien</v>
      </c>
      <c r="B23" s="152" t="s">
        <v>129</v>
      </c>
      <c r="C23" s="152" t="s">
        <v>84</v>
      </c>
      <c r="D23" s="152" t="s">
        <v>142</v>
      </c>
      <c r="E23" s="152">
        <v>6</v>
      </c>
      <c r="F23" s="152">
        <v>6</v>
      </c>
      <c r="G23" s="153">
        <v>12613</v>
      </c>
      <c r="H23" s="152" cm="1">
        <f t="array" ref="H23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30</v>
      </c>
      <c r="I23" s="152"/>
    </row>
    <row r="24" spans="1:9" ht="13.8" hidden="1">
      <c r="A24" s="152" t="str">
        <f>$B$11</f>
        <v>Hien</v>
      </c>
      <c r="B24" s="152" t="s">
        <v>129</v>
      </c>
      <c r="C24" s="152" t="s">
        <v>87</v>
      </c>
      <c r="D24" s="152" t="s">
        <v>142</v>
      </c>
      <c r="E24" s="152">
        <v>6</v>
      </c>
      <c r="F24" s="152">
        <v>6</v>
      </c>
      <c r="G24" s="153">
        <v>10234</v>
      </c>
      <c r="H24" s="152" cm="1">
        <f t="array" ref="H24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24</v>
      </c>
      <c r="I24" s="152" t="s">
        <v>160</v>
      </c>
    </row>
    <row r="25" spans="1:9" ht="13.8" hidden="1">
      <c r="A25" s="152" t="str">
        <f t="shared" si="4"/>
        <v>Hien</v>
      </c>
      <c r="B25" s="152" t="s">
        <v>129</v>
      </c>
      <c r="C25" s="152" t="s">
        <v>94</v>
      </c>
      <c r="D25" s="152" t="s">
        <v>142</v>
      </c>
      <c r="E25" s="152">
        <v>2</v>
      </c>
      <c r="F25" s="152">
        <v>2</v>
      </c>
      <c r="G25" s="153">
        <v>3157</v>
      </c>
      <c r="H25" s="152" cm="1">
        <f t="array" ref="H25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4</v>
      </c>
      <c r="I25" s="152"/>
    </row>
    <row r="26" spans="1:9" ht="13.8" hidden="1">
      <c r="A26" s="152" t="str">
        <f t="shared" si="4"/>
        <v>Hien</v>
      </c>
      <c r="B26" s="152" t="s">
        <v>129</v>
      </c>
      <c r="C26" s="152" t="s">
        <v>110</v>
      </c>
      <c r="D26" s="152" t="s">
        <v>142</v>
      </c>
      <c r="E26" s="152">
        <v>20</v>
      </c>
      <c r="F26" s="152">
        <v>20</v>
      </c>
      <c r="G26" s="153">
        <v>9245</v>
      </c>
      <c r="H26" s="152" cm="1">
        <f t="array" ref="H26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60</v>
      </c>
      <c r="I26" s="152"/>
    </row>
    <row r="27" spans="1:9" ht="13.8" hidden="1">
      <c r="A27" s="152" t="str">
        <f t="shared" ref="A27:A29" si="5">$B$11</f>
        <v>Hien</v>
      </c>
      <c r="B27" s="152" t="s">
        <v>129</v>
      </c>
      <c r="C27" s="152" t="s">
        <v>84</v>
      </c>
      <c r="D27" s="152" t="s">
        <v>49</v>
      </c>
      <c r="E27" s="152">
        <v>26</v>
      </c>
      <c r="F27" s="152">
        <v>4</v>
      </c>
      <c r="G27" s="153">
        <v>12613</v>
      </c>
      <c r="H27" s="152" cm="1">
        <f t="array" ref="H27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130</v>
      </c>
      <c r="I27" s="152"/>
    </row>
    <row r="28" spans="1:9" ht="13.8" hidden="1">
      <c r="A28" s="152" t="str">
        <f t="shared" si="5"/>
        <v>Hien</v>
      </c>
      <c r="B28" s="152" t="s">
        <v>129</v>
      </c>
      <c r="C28" s="152" t="s">
        <v>94</v>
      </c>
      <c r="D28" s="152" t="s">
        <v>49</v>
      </c>
      <c r="E28" s="152">
        <v>36</v>
      </c>
      <c r="F28" s="152">
        <v>3</v>
      </c>
      <c r="G28" s="153">
        <v>13405</v>
      </c>
      <c r="H28" s="152" cm="1">
        <f t="array" ref="H28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180</v>
      </c>
      <c r="I28" s="152"/>
    </row>
    <row r="29" spans="1:9" ht="13.8" hidden="1">
      <c r="A29" s="152" t="str">
        <f t="shared" si="5"/>
        <v>Hien</v>
      </c>
      <c r="B29" s="152" t="s">
        <v>129</v>
      </c>
      <c r="C29" s="152" t="s">
        <v>110</v>
      </c>
      <c r="D29" s="152" t="s">
        <v>49</v>
      </c>
      <c r="E29" s="152">
        <v>143</v>
      </c>
      <c r="F29" s="152">
        <v>25</v>
      </c>
      <c r="G29" s="153">
        <v>10038</v>
      </c>
      <c r="H29" s="152" cm="1">
        <f t="array" ref="H29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572</v>
      </c>
      <c r="I29" s="152"/>
    </row>
    <row r="30" spans="1:9" ht="13.8" hidden="1">
      <c r="A30" s="152" t="str">
        <f t="shared" ref="A30:A31" si="6">$B$11</f>
        <v>Hien</v>
      </c>
      <c r="B30" s="152" t="s">
        <v>131</v>
      </c>
      <c r="C30" s="152" t="s">
        <v>84</v>
      </c>
      <c r="D30" s="152" t="s">
        <v>142</v>
      </c>
      <c r="E30" s="152">
        <v>6</v>
      </c>
      <c r="F30" s="152">
        <v>5</v>
      </c>
      <c r="G30" s="153">
        <v>11451</v>
      </c>
      <c r="H30" s="152" cm="1">
        <f t="array" ref="H30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24</v>
      </c>
      <c r="I30" s="152"/>
    </row>
    <row r="31" spans="1:9" ht="13.8" hidden="1">
      <c r="A31" s="152" t="str">
        <f t="shared" si="6"/>
        <v>Hien</v>
      </c>
      <c r="B31" s="152" t="s">
        <v>131</v>
      </c>
      <c r="C31" s="152" t="s">
        <v>110</v>
      </c>
      <c r="D31" s="152" t="s">
        <v>142</v>
      </c>
      <c r="E31" s="152">
        <v>21</v>
      </c>
      <c r="F31" s="152">
        <v>21</v>
      </c>
      <c r="G31" s="153">
        <v>6592</v>
      </c>
      <c r="H31" s="152" cm="1">
        <f t="array" ref="H31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42</v>
      </c>
      <c r="I31" s="152"/>
    </row>
    <row r="32" spans="1:9" ht="13.8" hidden="1">
      <c r="A32" s="152" t="str">
        <f t="shared" ref="A32:A33" si="7">$B$11</f>
        <v>Hien</v>
      </c>
      <c r="B32" s="152" t="s">
        <v>131</v>
      </c>
      <c r="C32" s="152" t="s">
        <v>84</v>
      </c>
      <c r="D32" s="152" t="s">
        <v>49</v>
      </c>
      <c r="E32" s="152">
        <v>29</v>
      </c>
      <c r="F32" s="152">
        <v>5</v>
      </c>
      <c r="G32" s="153">
        <v>10460</v>
      </c>
      <c r="H32" s="152" cm="1">
        <f t="array" ref="H32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116</v>
      </c>
      <c r="I32" s="152"/>
    </row>
    <row r="33" spans="1:9" ht="13.8" hidden="1">
      <c r="A33" s="152" t="str">
        <f t="shared" si="7"/>
        <v>Hien</v>
      </c>
      <c r="B33" s="152" t="s">
        <v>131</v>
      </c>
      <c r="C33" s="152" t="s">
        <v>110</v>
      </c>
      <c r="D33" s="152" t="s">
        <v>49</v>
      </c>
      <c r="E33" s="152">
        <v>133</v>
      </c>
      <c r="F33" s="152">
        <v>16</v>
      </c>
      <c r="G33" s="153">
        <v>6610</v>
      </c>
      <c r="H33" s="152" cm="1">
        <f t="array" ref="H33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266</v>
      </c>
      <c r="I33" s="152"/>
    </row>
    <row r="34" spans="1:9" ht="13.8">
      <c r="A34" s="152" t="str">
        <f t="shared" ref="A34:A35" si="8">$B$11</f>
        <v>Hien</v>
      </c>
      <c r="B34" s="152" t="s">
        <v>132</v>
      </c>
      <c r="C34" s="152" t="s">
        <v>103</v>
      </c>
      <c r="D34" s="152" t="s">
        <v>142</v>
      </c>
      <c r="E34" s="152">
        <v>2</v>
      </c>
      <c r="F34" s="152">
        <v>2</v>
      </c>
      <c r="G34" s="153">
        <v>12114</v>
      </c>
      <c r="H34" s="152" cm="1">
        <f t="array" ref="H34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10</v>
      </c>
      <c r="I34" s="152"/>
    </row>
    <row r="35" spans="1:9" ht="13.8" hidden="1">
      <c r="A35" s="152" t="str">
        <f t="shared" si="8"/>
        <v>Hien</v>
      </c>
      <c r="B35" s="152" t="s">
        <v>132</v>
      </c>
      <c r="C35" s="152" t="s">
        <v>110</v>
      </c>
      <c r="D35" s="152" t="s">
        <v>142</v>
      </c>
      <c r="E35" s="152">
        <v>4</v>
      </c>
      <c r="F35" s="152">
        <v>2</v>
      </c>
      <c r="G35" s="153">
        <v>12254</v>
      </c>
      <c r="H35" s="152" cm="1">
        <f t="array" ref="H35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20</v>
      </c>
      <c r="I35" s="152"/>
    </row>
    <row r="36" spans="1:9" ht="13.8">
      <c r="A36" s="152" t="str">
        <f t="shared" ref="A36:A37" si="9">$B$11</f>
        <v>Hien</v>
      </c>
      <c r="B36" s="152" t="s">
        <v>132</v>
      </c>
      <c r="C36" s="152" t="s">
        <v>103</v>
      </c>
      <c r="D36" s="152" t="s">
        <v>49</v>
      </c>
      <c r="E36" s="152">
        <v>20</v>
      </c>
      <c r="F36" s="152">
        <v>5</v>
      </c>
      <c r="G36" s="153">
        <v>11438</v>
      </c>
      <c r="H36" s="152" cm="1">
        <f t="array" ref="H36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80</v>
      </c>
      <c r="I36" s="152"/>
    </row>
    <row r="37" spans="1:9" ht="13.8" hidden="1">
      <c r="A37" s="152" t="str">
        <f t="shared" si="9"/>
        <v>Hien</v>
      </c>
      <c r="B37" s="152" t="s">
        <v>132</v>
      </c>
      <c r="C37" s="152" t="s">
        <v>110</v>
      </c>
      <c r="D37" s="152" t="s">
        <v>49</v>
      </c>
      <c r="E37" s="152">
        <v>34</v>
      </c>
      <c r="F37" s="152">
        <v>3</v>
      </c>
      <c r="G37" s="153">
        <v>9610</v>
      </c>
      <c r="H37" s="152" cm="1">
        <f t="array" ref="H37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102</v>
      </c>
      <c r="I37" s="152"/>
    </row>
    <row r="38" spans="1:9" ht="13.8" hidden="1">
      <c r="A38" s="152" t="str">
        <f t="shared" ref="A38:A39" si="10">$B$11</f>
        <v>Hien</v>
      </c>
      <c r="B38" s="152" t="s">
        <v>133</v>
      </c>
      <c r="C38" s="152" t="s">
        <v>84</v>
      </c>
      <c r="D38" s="152" t="s">
        <v>142</v>
      </c>
      <c r="E38" s="152">
        <v>57</v>
      </c>
      <c r="F38" s="152">
        <v>16</v>
      </c>
      <c r="G38" s="152"/>
      <c r="H38" s="152" cm="1">
        <f t="array" ref="H38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57</v>
      </c>
      <c r="I38" s="152"/>
    </row>
    <row r="39" spans="1:9" ht="13.8" hidden="1">
      <c r="A39" s="152" t="str">
        <f t="shared" si="10"/>
        <v>Hien</v>
      </c>
      <c r="B39" s="152" t="s">
        <v>133</v>
      </c>
      <c r="C39" s="152" t="s">
        <v>100</v>
      </c>
      <c r="D39" s="152" t="s">
        <v>142</v>
      </c>
      <c r="E39" s="152">
        <v>6</v>
      </c>
      <c r="F39" s="152">
        <v>5</v>
      </c>
      <c r="G39" s="153">
        <v>11486</v>
      </c>
      <c r="H39" s="152" cm="1">
        <f t="array" ref="H39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24</v>
      </c>
      <c r="I39" s="152"/>
    </row>
    <row r="40" spans="1:9" ht="13.8">
      <c r="A40" s="152" t="str">
        <f t="shared" ref="A40:A43" si="11">$B$11</f>
        <v>Hien</v>
      </c>
      <c r="B40" s="152" t="s">
        <v>133</v>
      </c>
      <c r="C40" s="152" t="s">
        <v>103</v>
      </c>
      <c r="D40" s="152" t="s">
        <v>142</v>
      </c>
      <c r="E40" s="152">
        <v>6</v>
      </c>
      <c r="F40" s="152">
        <v>1</v>
      </c>
      <c r="G40" s="153">
        <v>8037</v>
      </c>
      <c r="H40" s="152" cm="1">
        <f t="array" ref="H40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18</v>
      </c>
      <c r="I40" s="152"/>
    </row>
    <row r="41" spans="1:9" ht="13.8" hidden="1">
      <c r="A41" s="152" t="str">
        <f t="shared" si="11"/>
        <v>Hien</v>
      </c>
      <c r="B41" s="152" t="s">
        <v>133</v>
      </c>
      <c r="C41" s="152" t="s">
        <v>114</v>
      </c>
      <c r="D41" s="152" t="s">
        <v>142</v>
      </c>
      <c r="E41" s="152">
        <v>21</v>
      </c>
      <c r="F41" s="152">
        <v>21</v>
      </c>
      <c r="G41" s="153">
        <v>5443</v>
      </c>
      <c r="H41" s="152" cm="1">
        <f t="array" ref="H41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42</v>
      </c>
      <c r="I41" s="152"/>
    </row>
    <row r="42" spans="1:9" ht="13.8" hidden="1">
      <c r="A42" s="152" t="str">
        <f t="shared" si="11"/>
        <v>Hien</v>
      </c>
      <c r="B42" s="152" t="s">
        <v>133</v>
      </c>
      <c r="C42" s="152" t="s">
        <v>100</v>
      </c>
      <c r="D42" s="152" t="s">
        <v>49</v>
      </c>
      <c r="E42" s="152">
        <v>16</v>
      </c>
      <c r="F42" s="152">
        <v>5</v>
      </c>
      <c r="G42" s="153">
        <v>11610</v>
      </c>
      <c r="H42" s="152" cm="1">
        <f t="array" ref="H42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64</v>
      </c>
      <c r="I42" s="152"/>
    </row>
    <row r="43" spans="1:9" ht="13.8">
      <c r="A43" s="152" t="str">
        <f t="shared" si="11"/>
        <v>Hien</v>
      </c>
      <c r="B43" s="152" t="s">
        <v>133</v>
      </c>
      <c r="C43" s="152" t="s">
        <v>103</v>
      </c>
      <c r="D43" s="152" t="s">
        <v>49</v>
      </c>
      <c r="E43" s="152">
        <v>10</v>
      </c>
      <c r="F43" s="152">
        <v>3</v>
      </c>
      <c r="G43" s="153">
        <v>5432</v>
      </c>
      <c r="H43" s="152" cm="1">
        <f t="array" ref="H43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20</v>
      </c>
      <c r="I43" s="152"/>
    </row>
    <row r="44" spans="1:9" ht="13.8" hidden="1">
      <c r="A44" s="152" t="str">
        <f t="shared" ref="A44:A46" si="12">$B$11</f>
        <v>Hien</v>
      </c>
      <c r="B44" s="152" t="s">
        <v>135</v>
      </c>
      <c r="C44" s="152" t="s">
        <v>84</v>
      </c>
      <c r="D44" s="152" t="s">
        <v>142</v>
      </c>
      <c r="E44" s="152">
        <v>23</v>
      </c>
      <c r="F44" s="152">
        <v>21</v>
      </c>
      <c r="G44" s="152"/>
      <c r="H44" s="152" cm="1">
        <f t="array" ref="H44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23</v>
      </c>
      <c r="I44" s="152"/>
    </row>
    <row r="45" spans="1:9" ht="13.8" hidden="1">
      <c r="A45" s="152" t="str">
        <f t="shared" si="12"/>
        <v>Hien</v>
      </c>
      <c r="B45" s="152" t="s">
        <v>135</v>
      </c>
      <c r="C45" s="152" t="s">
        <v>100</v>
      </c>
      <c r="D45" s="152" t="s">
        <v>142</v>
      </c>
      <c r="E45" s="152">
        <v>3</v>
      </c>
      <c r="F45" s="152">
        <v>2</v>
      </c>
      <c r="G45" s="152"/>
      <c r="H45" s="152" cm="1">
        <f t="array" ref="H45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3</v>
      </c>
      <c r="I45" s="152"/>
    </row>
    <row r="46" spans="1:9" ht="13.8" hidden="1">
      <c r="A46" s="152" t="str">
        <f t="shared" si="12"/>
        <v>Hien</v>
      </c>
      <c r="B46" s="152" t="s">
        <v>135</v>
      </c>
      <c r="C46" s="152" t="s">
        <v>114</v>
      </c>
      <c r="D46" s="152" t="s">
        <v>142</v>
      </c>
      <c r="E46" s="152">
        <v>16</v>
      </c>
      <c r="F46" s="152">
        <v>12</v>
      </c>
      <c r="G46" s="152"/>
      <c r="H46" s="152" cm="1">
        <f t="array" ref="H46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16</v>
      </c>
      <c r="I46" s="152"/>
    </row>
    <row r="47" spans="1:9" ht="13.8" hidden="1">
      <c r="A47" s="152" t="str">
        <f t="shared" ref="A47:A49" si="13">$B$11</f>
        <v>Hien</v>
      </c>
      <c r="B47" s="152" t="s">
        <v>135</v>
      </c>
      <c r="C47" s="152" t="s">
        <v>84</v>
      </c>
      <c r="D47" s="152" t="s">
        <v>49</v>
      </c>
      <c r="E47" s="152">
        <v>81</v>
      </c>
      <c r="F47" s="152">
        <v>26</v>
      </c>
      <c r="G47" s="152"/>
      <c r="H47" s="152" cm="1">
        <f t="array" ref="H47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81</v>
      </c>
      <c r="I47" s="152"/>
    </row>
    <row r="48" spans="1:9" ht="13.8" hidden="1">
      <c r="A48" s="152" t="str">
        <f t="shared" si="13"/>
        <v>Hien</v>
      </c>
      <c r="B48" s="152" t="s">
        <v>135</v>
      </c>
      <c r="C48" s="152" t="s">
        <v>100</v>
      </c>
      <c r="D48" s="152" t="s">
        <v>49</v>
      </c>
      <c r="E48" s="152">
        <v>2</v>
      </c>
      <c r="F48" s="152">
        <v>2</v>
      </c>
      <c r="G48" s="152"/>
      <c r="H48" s="152" cm="1">
        <f t="array" ref="H48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2</v>
      </c>
      <c r="I48" s="152"/>
    </row>
    <row r="49" spans="1:9" ht="13.8" hidden="1">
      <c r="A49" s="152" t="str">
        <f t="shared" si="13"/>
        <v>Hien</v>
      </c>
      <c r="B49" s="152" t="s">
        <v>135</v>
      </c>
      <c r="C49" s="152" t="s">
        <v>114</v>
      </c>
      <c r="D49" s="152" t="s">
        <v>49</v>
      </c>
      <c r="E49" s="152">
        <v>157</v>
      </c>
      <c r="F49" s="152">
        <v>33</v>
      </c>
      <c r="G49" s="152"/>
      <c r="H49" s="152" cm="1">
        <f t="array" ref="H49">_xlfn.IFS(
担当_57[[#This Row],[平均秒数]]&lt;=3000,1,
担当_57[[#This Row],[平均秒数]]&lt;=8000,2,
担当_57[[#This Row],[平均秒数]]&lt;=10000,3,
担当_57[[#This Row],[平均秒数]]&lt;=12000,4,
担当_57[[#This Row],[平均秒数]]&lt;=15000,5,
TRUE,6
)*担当_57[[#This Row],[生産数]]</f>
        <v>157</v>
      </c>
      <c r="I49" s="152"/>
    </row>
  </sheetData>
  <mergeCells count="1">
    <mergeCell ref="H9:H11"/>
  </mergeCells>
  <dataValidations count="2">
    <dataValidation type="list" allowBlank="1" showInputMessage="1" showErrorMessage="1" sqref="D13:D49" xr:uid="{0C2B76BE-1628-4B49-86FF-0D1636F6CDED}">
      <formula1>"SMS,1rd/2nd/3rd...etc"</formula1>
    </dataValidation>
    <dataValidation type="list" allowBlank="1" showInputMessage="1" showErrorMessage="1" sqref="C13:C49" xr:uid="{01F6C0AC-2112-41B8-9A58-F2C26337EA7D}">
      <formula1>brand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6854-8637-4E98-8C8F-E8B937EA34CD}">
  <dimension ref="A1:I34"/>
  <sheetViews>
    <sheetView workbookViewId="0">
      <selection activeCell="A35" sqref="A35:XFD35"/>
    </sheetView>
  </sheetViews>
  <sheetFormatPr defaultRowHeight="13.2"/>
  <cols>
    <col min="1" max="1" width="15.109375" customWidth="1"/>
    <col min="2" max="2" width="15" customWidth="1"/>
    <col min="3" max="3" width="17.44140625" customWidth="1"/>
    <col min="4" max="4" width="14.44140625" bestFit="1" customWidth="1"/>
    <col min="5" max="6" width="8.6640625" customWidth="1"/>
    <col min="7" max="8" width="10.6640625" customWidth="1"/>
    <col min="9" max="9" width="29.109375" bestFit="1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32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>
      <c r="A13" t="str">
        <f t="shared" ref="A13:A16" si="0">$B$11</f>
        <v>Nhu</v>
      </c>
      <c r="B13" t="s">
        <v>124</v>
      </c>
      <c r="C13" t="s">
        <v>81</v>
      </c>
      <c r="D13" t="s">
        <v>142</v>
      </c>
      <c r="E13">
        <v>1</v>
      </c>
      <c r="F13">
        <v>1</v>
      </c>
      <c r="G13" s="47"/>
      <c r="H13" cm="1">
        <f t="array" ref="H13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</v>
      </c>
    </row>
    <row r="14" spans="1:9">
      <c r="A14" t="str">
        <f t="shared" si="0"/>
        <v>Nhu</v>
      </c>
      <c r="B14" t="s">
        <v>124</v>
      </c>
      <c r="C14" t="s">
        <v>103</v>
      </c>
      <c r="D14" t="s">
        <v>142</v>
      </c>
      <c r="E14">
        <v>19</v>
      </c>
      <c r="F14">
        <v>19</v>
      </c>
      <c r="G14" s="47">
        <v>13224</v>
      </c>
      <c r="H14" cm="1">
        <f t="array" ref="H14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95</v>
      </c>
    </row>
    <row r="15" spans="1:9">
      <c r="A15" t="str">
        <f t="shared" si="0"/>
        <v>Nhu</v>
      </c>
      <c r="B15" t="s">
        <v>124</v>
      </c>
      <c r="C15" t="s">
        <v>103</v>
      </c>
      <c r="D15" t="s">
        <v>49</v>
      </c>
      <c r="E15">
        <v>11</v>
      </c>
      <c r="F15">
        <v>3</v>
      </c>
      <c r="G15" s="47">
        <v>13224</v>
      </c>
      <c r="H15" cm="1">
        <f t="array" ref="H15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55</v>
      </c>
    </row>
    <row r="16" spans="1:9">
      <c r="A16" t="str">
        <f t="shared" si="0"/>
        <v>Nhu</v>
      </c>
      <c r="B16" t="s">
        <v>127</v>
      </c>
      <c r="C16" t="s">
        <v>103</v>
      </c>
      <c r="D16" t="s">
        <v>142</v>
      </c>
      <c r="E16">
        <v>14</v>
      </c>
      <c r="F16">
        <v>12</v>
      </c>
      <c r="G16" s="47">
        <v>3994</v>
      </c>
      <c r="H16" cm="1">
        <f t="array" ref="H16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28</v>
      </c>
    </row>
    <row r="17" spans="1:9">
      <c r="A17" t="str">
        <f t="shared" ref="A17:A18" si="1">$B$11</f>
        <v>Nhu</v>
      </c>
      <c r="B17" t="s">
        <v>127</v>
      </c>
      <c r="C17" t="s">
        <v>105</v>
      </c>
      <c r="D17" t="s">
        <v>142</v>
      </c>
      <c r="E17">
        <v>3</v>
      </c>
      <c r="F17">
        <v>3</v>
      </c>
      <c r="G17" s="47">
        <v>10783</v>
      </c>
      <c r="H17" cm="1">
        <f t="array" ref="H17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12</v>
      </c>
    </row>
    <row r="18" spans="1:9">
      <c r="A18" t="str">
        <f t="shared" si="1"/>
        <v>Nhu</v>
      </c>
      <c r="B18" t="s">
        <v>127</v>
      </c>
      <c r="C18" t="s">
        <v>118</v>
      </c>
      <c r="D18" t="s">
        <v>142</v>
      </c>
      <c r="E18">
        <v>11</v>
      </c>
      <c r="F18">
        <v>11</v>
      </c>
      <c r="G18" s="47">
        <v>6072</v>
      </c>
      <c r="H18" cm="1">
        <f t="array" ref="H18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22</v>
      </c>
    </row>
    <row r="19" spans="1:9">
      <c r="A19" t="str">
        <f t="shared" ref="A19:A20" si="2">$B$11</f>
        <v>Nhu</v>
      </c>
      <c r="B19" t="s">
        <v>127</v>
      </c>
      <c r="C19" t="s">
        <v>103</v>
      </c>
      <c r="D19" t="s">
        <v>49</v>
      </c>
      <c r="E19">
        <v>25</v>
      </c>
      <c r="F19">
        <v>6</v>
      </c>
      <c r="G19" s="47">
        <v>3994</v>
      </c>
      <c r="H19" cm="1">
        <f t="array" ref="H19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50</v>
      </c>
    </row>
    <row r="20" spans="1:9">
      <c r="A20" t="str">
        <f t="shared" si="2"/>
        <v>Nhu</v>
      </c>
      <c r="B20" t="s">
        <v>127</v>
      </c>
      <c r="C20" t="s">
        <v>118</v>
      </c>
      <c r="D20" t="s">
        <v>49</v>
      </c>
      <c r="E20">
        <v>11</v>
      </c>
      <c r="F20">
        <v>11</v>
      </c>
      <c r="G20" s="47">
        <v>6072</v>
      </c>
      <c r="H20" cm="1">
        <f t="array" ref="H20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22</v>
      </c>
    </row>
    <row r="21" spans="1:9">
      <c r="A21" t="str">
        <f t="shared" ref="A21" si="3">$B$11</f>
        <v>Nhu</v>
      </c>
      <c r="B21" t="s">
        <v>129</v>
      </c>
      <c r="C21" t="s">
        <v>103</v>
      </c>
      <c r="D21" t="s">
        <v>142</v>
      </c>
      <c r="E21">
        <v>19</v>
      </c>
      <c r="F21">
        <v>19</v>
      </c>
      <c r="G21" s="47">
        <v>15840</v>
      </c>
      <c r="H21" cm="1">
        <f t="array" ref="H21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114</v>
      </c>
    </row>
    <row r="22" spans="1:9">
      <c r="A22" t="str">
        <f>$B$11</f>
        <v>Nhu</v>
      </c>
      <c r="B22" t="s">
        <v>129</v>
      </c>
      <c r="C22" t="s">
        <v>107</v>
      </c>
      <c r="D22" t="s">
        <v>142</v>
      </c>
      <c r="E22">
        <v>38</v>
      </c>
      <c r="F22">
        <v>38</v>
      </c>
      <c r="G22" s="47">
        <v>7919</v>
      </c>
      <c r="H22" cm="1">
        <f t="array" ref="H22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76</v>
      </c>
    </row>
    <row r="23" spans="1:9">
      <c r="A23" t="str">
        <f>$B$11</f>
        <v>Nhu</v>
      </c>
      <c r="B23" t="s">
        <v>129</v>
      </c>
      <c r="C23" t="s">
        <v>93</v>
      </c>
      <c r="D23" t="s">
        <v>49</v>
      </c>
      <c r="E23">
        <v>16</v>
      </c>
      <c r="F23">
        <v>1</v>
      </c>
      <c r="G23" s="47">
        <v>7662</v>
      </c>
      <c r="H23" cm="1">
        <f t="array" ref="H23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32</v>
      </c>
      <c r="I23" t="s">
        <v>159</v>
      </c>
    </row>
    <row r="24" spans="1:9">
      <c r="A24" t="str">
        <f t="shared" ref="A24" si="4">$B$11</f>
        <v>Nhu</v>
      </c>
      <c r="B24" t="s">
        <v>129</v>
      </c>
      <c r="C24" t="s">
        <v>107</v>
      </c>
      <c r="D24" t="s">
        <v>49</v>
      </c>
      <c r="E24">
        <v>262</v>
      </c>
      <c r="F24">
        <v>37</v>
      </c>
      <c r="G24" s="47">
        <v>10175</v>
      </c>
      <c r="H24" cm="1">
        <f t="array" ref="H24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1048</v>
      </c>
    </row>
    <row r="25" spans="1:9">
      <c r="A25" t="str">
        <f t="shared" ref="A25:A27" si="5">$B$11</f>
        <v>Nhu</v>
      </c>
      <c r="B25" t="s">
        <v>131</v>
      </c>
      <c r="C25" t="s">
        <v>81</v>
      </c>
      <c r="D25" t="s">
        <v>142</v>
      </c>
      <c r="E25">
        <v>1</v>
      </c>
      <c r="F25">
        <v>1</v>
      </c>
      <c r="H25" cm="1">
        <f t="array" ref="H25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</v>
      </c>
    </row>
    <row r="26" spans="1:9">
      <c r="A26" t="str">
        <f t="shared" si="5"/>
        <v>Nhu</v>
      </c>
      <c r="B26" t="s">
        <v>131</v>
      </c>
      <c r="C26" t="s">
        <v>93</v>
      </c>
      <c r="D26" t="s">
        <v>142</v>
      </c>
      <c r="E26">
        <v>3</v>
      </c>
      <c r="F26">
        <v>3</v>
      </c>
      <c r="G26" s="47">
        <v>9848</v>
      </c>
      <c r="H26" cm="1">
        <f t="array" ref="H26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9</v>
      </c>
    </row>
    <row r="27" spans="1:9">
      <c r="A27" t="str">
        <f t="shared" si="5"/>
        <v>Nhu</v>
      </c>
      <c r="B27" t="s">
        <v>131</v>
      </c>
      <c r="C27" t="s">
        <v>103</v>
      </c>
      <c r="D27" t="s">
        <v>142</v>
      </c>
      <c r="E27">
        <v>3</v>
      </c>
      <c r="F27">
        <v>3</v>
      </c>
      <c r="G27" s="47">
        <v>9848</v>
      </c>
      <c r="H27" cm="1">
        <f t="array" ref="H27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9</v>
      </c>
      <c r="I27" t="s">
        <v>163</v>
      </c>
    </row>
    <row r="28" spans="1:9">
      <c r="A28" t="str">
        <f>$B$11</f>
        <v>Nhu</v>
      </c>
      <c r="B28" t="s">
        <v>131</v>
      </c>
      <c r="C28" t="s">
        <v>107</v>
      </c>
      <c r="D28" t="s">
        <v>142</v>
      </c>
      <c r="E28">
        <v>35</v>
      </c>
      <c r="F28">
        <v>30</v>
      </c>
      <c r="G28" s="47">
        <v>7683</v>
      </c>
      <c r="H28" cm="1">
        <f t="array" ref="H28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70</v>
      </c>
      <c r="I28" t="s">
        <v>162</v>
      </c>
    </row>
    <row r="29" spans="1:9">
      <c r="A29" t="str">
        <f t="shared" ref="A29:A30" si="6">$B$11</f>
        <v>Nhu</v>
      </c>
      <c r="B29" t="s">
        <v>132</v>
      </c>
      <c r="C29" t="s">
        <v>71</v>
      </c>
      <c r="D29" t="s">
        <v>142</v>
      </c>
      <c r="E29">
        <v>46</v>
      </c>
      <c r="F29">
        <v>21</v>
      </c>
      <c r="G29" s="47">
        <v>10990</v>
      </c>
      <c r="H29" cm="1">
        <f t="array" ref="H29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184</v>
      </c>
    </row>
    <row r="30" spans="1:9">
      <c r="A30" t="str">
        <f t="shared" si="6"/>
        <v>Nhu</v>
      </c>
      <c r="B30" t="s">
        <v>132</v>
      </c>
      <c r="C30" t="s">
        <v>93</v>
      </c>
      <c r="D30" t="s">
        <v>142</v>
      </c>
      <c r="E30">
        <v>3</v>
      </c>
      <c r="F30">
        <v>3</v>
      </c>
      <c r="G30" s="47">
        <v>10914</v>
      </c>
      <c r="H30" cm="1">
        <f t="array" ref="H30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12</v>
      </c>
      <c r="I30" t="s">
        <v>164</v>
      </c>
    </row>
    <row r="31" spans="1:9">
      <c r="A31" t="str">
        <f t="shared" ref="A31" si="7">$B$11</f>
        <v>Nhu</v>
      </c>
      <c r="B31" t="s">
        <v>132</v>
      </c>
      <c r="C31" t="s">
        <v>93</v>
      </c>
      <c r="D31" t="s">
        <v>49</v>
      </c>
      <c r="E31">
        <v>18</v>
      </c>
      <c r="F31">
        <v>2</v>
      </c>
      <c r="G31" s="47">
        <v>9999</v>
      </c>
      <c r="H31" cm="1">
        <f t="array" ref="H31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54</v>
      </c>
      <c r="I31" t="s">
        <v>164</v>
      </c>
    </row>
    <row r="32" spans="1:9">
      <c r="A32" t="str">
        <f t="shared" ref="A32" si="8">$B$11</f>
        <v>Nhu</v>
      </c>
      <c r="B32" t="s">
        <v>133</v>
      </c>
      <c r="C32" t="s">
        <v>71</v>
      </c>
      <c r="D32" t="s">
        <v>142</v>
      </c>
      <c r="E32">
        <v>146</v>
      </c>
      <c r="F32">
        <v>63</v>
      </c>
      <c r="G32" s="47">
        <v>7482</v>
      </c>
      <c r="H32" cm="1">
        <f t="array" ref="H32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292</v>
      </c>
    </row>
    <row r="33" spans="1:8">
      <c r="A33" t="str">
        <f t="shared" ref="A33" si="9">$B$11</f>
        <v>Nhu</v>
      </c>
      <c r="B33" t="s">
        <v>134</v>
      </c>
      <c r="C33" t="s">
        <v>71</v>
      </c>
      <c r="D33" t="s">
        <v>142</v>
      </c>
      <c r="E33">
        <v>89</v>
      </c>
      <c r="F33">
        <v>49</v>
      </c>
      <c r="G33" s="47">
        <v>14987</v>
      </c>
      <c r="H33" cm="1">
        <f t="array" ref="H33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445</v>
      </c>
    </row>
    <row r="34" spans="1:8">
      <c r="A34" t="str">
        <f t="shared" ref="A34" si="10">$B$11</f>
        <v>Nhu</v>
      </c>
      <c r="B34" t="s">
        <v>135</v>
      </c>
      <c r="C34" t="s">
        <v>71</v>
      </c>
      <c r="D34" t="s">
        <v>142</v>
      </c>
      <c r="E34">
        <v>49</v>
      </c>
      <c r="F34">
        <v>34</v>
      </c>
      <c r="H34" cm="1">
        <f t="array" ref="H34">_xlfn.IFS(
担当_579[[#This Row],[平均秒数]]&lt;=3000,1,
担当_579[[#This Row],[平均秒数]]&lt;=8000,2,
担当_579[[#This Row],[平均秒数]]&lt;=10000,3,
担当_579[[#This Row],[平均秒数]]&lt;=12000,4,
担当_579[[#This Row],[平均秒数]]&lt;=15000,5,
TRUE,6
)*担当_579[[#This Row],[生産数]]</f>
        <v>49</v>
      </c>
    </row>
  </sheetData>
  <mergeCells count="1">
    <mergeCell ref="H9:H11"/>
  </mergeCells>
  <dataValidations count="2">
    <dataValidation type="list" allowBlank="1" showInputMessage="1" showErrorMessage="1" sqref="C13:C34" xr:uid="{DCDED3F9-BCBE-4526-878B-D535FC497DF8}">
      <formula1>brand</formula1>
    </dataValidation>
    <dataValidation type="list" allowBlank="1" showInputMessage="1" showErrorMessage="1" sqref="D13:D34" xr:uid="{C915F32C-A608-4B5E-ABF8-C11A401779AC}">
      <formula1>"SMS,1rd/2nd/3rd...etc"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66FA-59AF-43A7-9207-3776050EDE25}">
  <dimension ref="A1:I27"/>
  <sheetViews>
    <sheetView workbookViewId="0">
      <selection activeCell="G28" sqref="G28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4.44140625" bestFit="1" customWidth="1"/>
    <col min="5" max="6" width="8.6640625" customWidth="1"/>
    <col min="7" max="8" width="10.6640625" customWidth="1"/>
    <col min="9" max="9" width="6.6640625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28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>
      <c r="A13" t="str">
        <f t="shared" ref="A13:A27" si="0">$B$11</f>
        <v>Khanh</v>
      </c>
      <c r="B13" t="s">
        <v>124</v>
      </c>
      <c r="C13" t="s">
        <v>68</v>
      </c>
      <c r="D13" t="s">
        <v>142</v>
      </c>
      <c r="E13">
        <v>4</v>
      </c>
      <c r="F13">
        <v>4</v>
      </c>
      <c r="G13" s="47">
        <v>7347</v>
      </c>
      <c r="H13" cm="1">
        <f t="array" ref="H13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8</v>
      </c>
    </row>
    <row r="14" spans="1:9">
      <c r="A14" t="str">
        <f t="shared" si="0"/>
        <v>Khanh</v>
      </c>
      <c r="B14" t="s">
        <v>124</v>
      </c>
      <c r="C14" t="s">
        <v>68</v>
      </c>
      <c r="D14" t="s">
        <v>49</v>
      </c>
      <c r="E14">
        <v>157</v>
      </c>
      <c r="F14">
        <v>42</v>
      </c>
      <c r="G14" s="47">
        <v>7347</v>
      </c>
      <c r="H14" cm="1">
        <f t="array" ref="H14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314</v>
      </c>
    </row>
    <row r="15" spans="1:9">
      <c r="A15" t="str">
        <f t="shared" si="0"/>
        <v>Khanh</v>
      </c>
      <c r="B15" t="s">
        <v>127</v>
      </c>
      <c r="C15" t="s">
        <v>68</v>
      </c>
      <c r="D15" t="s">
        <v>142</v>
      </c>
      <c r="E15">
        <v>145</v>
      </c>
      <c r="F15">
        <v>70</v>
      </c>
      <c r="G15" s="47">
        <v>8461</v>
      </c>
      <c r="H15" cm="1">
        <f t="array" ref="H15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435</v>
      </c>
    </row>
    <row r="16" spans="1:9">
      <c r="A16" t="str">
        <f t="shared" si="0"/>
        <v>Khanh</v>
      </c>
      <c r="B16" t="s">
        <v>127</v>
      </c>
      <c r="C16" t="s">
        <v>68</v>
      </c>
      <c r="D16" t="s">
        <v>49</v>
      </c>
      <c r="E16">
        <v>229</v>
      </c>
      <c r="F16">
        <v>53</v>
      </c>
      <c r="G16" s="47">
        <v>7143</v>
      </c>
      <c r="H16" cm="1">
        <f t="array" ref="H16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458</v>
      </c>
    </row>
    <row r="17" spans="1:8">
      <c r="A17" t="str">
        <f t="shared" si="0"/>
        <v>Khanh</v>
      </c>
      <c r="B17" t="s">
        <v>129</v>
      </c>
      <c r="C17" t="s">
        <v>68</v>
      </c>
      <c r="D17" t="s">
        <v>142</v>
      </c>
      <c r="E17">
        <v>50</v>
      </c>
      <c r="F17">
        <v>40</v>
      </c>
      <c r="G17" s="47">
        <v>7335</v>
      </c>
      <c r="H17" cm="1">
        <f t="array" ref="H17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100</v>
      </c>
    </row>
    <row r="18" spans="1:8">
      <c r="A18" t="str">
        <f t="shared" si="0"/>
        <v>Khanh</v>
      </c>
      <c r="B18" t="s">
        <v>129</v>
      </c>
      <c r="C18" t="s">
        <v>68</v>
      </c>
      <c r="D18" t="s">
        <v>49</v>
      </c>
      <c r="E18">
        <v>281</v>
      </c>
      <c r="F18">
        <v>68</v>
      </c>
      <c r="G18" s="47">
        <v>9483</v>
      </c>
      <c r="H18" cm="1">
        <f t="array" ref="H18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843</v>
      </c>
    </row>
    <row r="19" spans="1:8">
      <c r="A19" t="str">
        <f t="shared" si="0"/>
        <v>Khanh</v>
      </c>
      <c r="B19" t="s">
        <v>131</v>
      </c>
      <c r="C19" t="s">
        <v>68</v>
      </c>
      <c r="D19" t="s">
        <v>142</v>
      </c>
      <c r="E19">
        <v>39</v>
      </c>
      <c r="F19">
        <v>24</v>
      </c>
      <c r="G19" s="47">
        <v>6690</v>
      </c>
      <c r="H19" cm="1">
        <f t="array" ref="H19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78</v>
      </c>
    </row>
    <row r="20" spans="1:8">
      <c r="A20" t="str">
        <f t="shared" si="0"/>
        <v>Khanh</v>
      </c>
      <c r="B20" t="s">
        <v>131</v>
      </c>
      <c r="C20" t="s">
        <v>68</v>
      </c>
      <c r="D20" t="s">
        <v>49</v>
      </c>
      <c r="E20">
        <v>279</v>
      </c>
      <c r="F20">
        <v>53</v>
      </c>
      <c r="G20" s="47">
        <v>7267</v>
      </c>
      <c r="H20" cm="1">
        <f t="array" ref="H20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558</v>
      </c>
    </row>
    <row r="21" spans="1:8">
      <c r="A21" t="str">
        <f t="shared" si="0"/>
        <v>Khanh</v>
      </c>
      <c r="B21" t="s">
        <v>132</v>
      </c>
      <c r="C21" t="s">
        <v>68</v>
      </c>
      <c r="D21" t="s">
        <v>142</v>
      </c>
      <c r="E21">
        <v>93</v>
      </c>
      <c r="F21">
        <v>74</v>
      </c>
      <c r="G21" s="47">
        <v>10990</v>
      </c>
      <c r="H21" cm="1">
        <f t="array" ref="H21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372</v>
      </c>
    </row>
    <row r="22" spans="1:8">
      <c r="A22" t="str">
        <f t="shared" si="0"/>
        <v>Khanh</v>
      </c>
      <c r="B22" t="s">
        <v>132</v>
      </c>
      <c r="C22" t="s">
        <v>68</v>
      </c>
      <c r="D22" t="s">
        <v>49</v>
      </c>
      <c r="E22">
        <v>567</v>
      </c>
      <c r="F22">
        <v>109</v>
      </c>
      <c r="G22" s="47">
        <v>10546</v>
      </c>
      <c r="H22" cm="1">
        <f t="array" ref="H22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2268</v>
      </c>
    </row>
    <row r="23" spans="1:8">
      <c r="A23" t="str">
        <f t="shared" si="0"/>
        <v>Khanh</v>
      </c>
      <c r="B23" t="s">
        <v>133</v>
      </c>
      <c r="C23" t="s">
        <v>68</v>
      </c>
      <c r="D23" t="s">
        <v>142</v>
      </c>
      <c r="E23">
        <v>46</v>
      </c>
      <c r="F23">
        <v>30</v>
      </c>
      <c r="G23" s="47">
        <v>7482</v>
      </c>
      <c r="H23" cm="1">
        <f t="array" ref="H23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92</v>
      </c>
    </row>
    <row r="24" spans="1:8">
      <c r="A24" t="str">
        <f t="shared" si="0"/>
        <v>Khanh</v>
      </c>
      <c r="B24" t="s">
        <v>133</v>
      </c>
      <c r="C24" t="s">
        <v>68</v>
      </c>
      <c r="D24" t="s">
        <v>49</v>
      </c>
      <c r="E24">
        <v>273</v>
      </c>
      <c r="F24">
        <v>82</v>
      </c>
      <c r="G24" s="47">
        <v>9673</v>
      </c>
      <c r="H24" cm="1">
        <f t="array" ref="H24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819</v>
      </c>
    </row>
    <row r="25" spans="1:8">
      <c r="A25" t="str">
        <f t="shared" si="0"/>
        <v>Khanh</v>
      </c>
      <c r="B25" t="s">
        <v>134</v>
      </c>
      <c r="C25" t="s">
        <v>68</v>
      </c>
      <c r="D25" t="s">
        <v>142</v>
      </c>
      <c r="E25">
        <v>86</v>
      </c>
      <c r="F25">
        <v>49</v>
      </c>
      <c r="G25" s="47">
        <v>15600</v>
      </c>
      <c r="H25" cm="1">
        <f t="array" ref="H25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516</v>
      </c>
    </row>
    <row r="26" spans="1:8">
      <c r="A26" t="str">
        <f t="shared" si="0"/>
        <v>Khanh</v>
      </c>
      <c r="B26" t="s">
        <v>134</v>
      </c>
      <c r="C26" t="s">
        <v>68</v>
      </c>
      <c r="D26" t="s">
        <v>49</v>
      </c>
      <c r="E26">
        <v>480</v>
      </c>
      <c r="F26">
        <v>96</v>
      </c>
      <c r="G26" s="47">
        <v>14629</v>
      </c>
      <c r="H26" s="47">
        <v>2400</v>
      </c>
    </row>
    <row r="27" spans="1:8">
      <c r="A27" t="str">
        <f t="shared" si="0"/>
        <v>Khanh</v>
      </c>
      <c r="B27" t="s">
        <v>135</v>
      </c>
      <c r="C27" t="s">
        <v>68</v>
      </c>
      <c r="D27" t="s">
        <v>142</v>
      </c>
      <c r="E27">
        <v>11</v>
      </c>
      <c r="F27">
        <v>6</v>
      </c>
      <c r="G27">
        <v>6992</v>
      </c>
      <c r="H27" cm="1">
        <f t="array" ref="H27">_xlfn.IFS(
担当_57911[[#This Row],[平均秒数]]&lt;=3000,1,
担当_57911[[#This Row],[平均秒数]]&lt;=8000,2,
担当_57911[[#This Row],[平均秒数]]&lt;=10000,3,
担当_57911[[#This Row],[平均秒数]]&lt;=12000,4,
担当_57911[[#This Row],[平均秒数]]&lt;=15000,5,
TRUE,6
)*担当_57911[[#This Row],[生産数]]</f>
        <v>22</v>
      </c>
    </row>
  </sheetData>
  <mergeCells count="1">
    <mergeCell ref="H9:H11"/>
  </mergeCells>
  <dataValidations count="2">
    <dataValidation type="list" allowBlank="1" showInputMessage="1" showErrorMessage="1" sqref="D13:D27" xr:uid="{AF975101-4BF8-4036-8AFE-FD6CB24A4820}">
      <formula1>"SMS,1rd/2nd/3rd...etc"</formula1>
    </dataValidation>
    <dataValidation type="list" allowBlank="1" showInputMessage="1" showErrorMessage="1" sqref="C13:C27" xr:uid="{4B301B94-3AED-4ACA-B6DD-52816F9D7426}">
      <formula1>brand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3127-4FDC-416B-AB8A-7344DBE197F0}">
  <dimension ref="A1:I45"/>
  <sheetViews>
    <sheetView workbookViewId="0">
      <selection activeCell="I23" sqref="I23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8.44140625" customWidth="1"/>
    <col min="5" max="6" width="8.6640625" customWidth="1"/>
    <col min="7" max="8" width="10.6640625" customWidth="1"/>
    <col min="9" max="9" width="17.21875" bestFit="1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130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 ht="13.8" hidden="1">
      <c r="A13" s="150" t="str">
        <f t="shared" ref="A13:A16" si="0">$B$11</f>
        <v>Q.Huy</v>
      </c>
      <c r="B13" s="150" t="s">
        <v>124</v>
      </c>
      <c r="C13" s="150" t="s">
        <v>92</v>
      </c>
      <c r="D13" s="150" t="s">
        <v>142</v>
      </c>
      <c r="E13" s="150">
        <v>1</v>
      </c>
      <c r="F13" s="150">
        <v>1</v>
      </c>
      <c r="G13" s="151"/>
      <c r="H13" s="150" cm="1">
        <f t="array" ref="H13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</v>
      </c>
      <c r="I13" s="150"/>
    </row>
    <row r="14" spans="1:9" ht="13.8" hidden="1">
      <c r="A14" s="150" t="str">
        <f t="shared" si="0"/>
        <v>Q.Huy</v>
      </c>
      <c r="B14" s="150" t="s">
        <v>129</v>
      </c>
      <c r="C14" s="150" t="s">
        <v>79</v>
      </c>
      <c r="D14" s="150" t="s">
        <v>142</v>
      </c>
      <c r="E14" s="150">
        <v>10</v>
      </c>
      <c r="F14" s="150">
        <v>8</v>
      </c>
      <c r="G14" s="151">
        <v>4317</v>
      </c>
      <c r="H14" s="150" cm="1">
        <f t="array" ref="H14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20</v>
      </c>
      <c r="I14" s="150"/>
    </row>
    <row r="15" spans="1:9" ht="13.8" hidden="1">
      <c r="A15" s="150" t="str">
        <f t="shared" si="0"/>
        <v>Q.Huy</v>
      </c>
      <c r="B15" s="150" t="s">
        <v>129</v>
      </c>
      <c r="C15" s="150" t="s">
        <v>79</v>
      </c>
      <c r="D15" s="150" t="s">
        <v>49</v>
      </c>
      <c r="E15" s="150">
        <v>78</v>
      </c>
      <c r="F15" s="150">
        <v>14</v>
      </c>
      <c r="G15" s="150"/>
      <c r="H15" s="150" cm="1">
        <f t="array" ref="H15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78</v>
      </c>
      <c r="I15" s="150"/>
    </row>
    <row r="16" spans="1:9" ht="13.8" hidden="1">
      <c r="A16" s="150" t="str">
        <f t="shared" si="0"/>
        <v>Q.Huy</v>
      </c>
      <c r="B16" s="150" t="s">
        <v>129</v>
      </c>
      <c r="C16" s="150" t="s">
        <v>87</v>
      </c>
      <c r="D16" s="150" t="s">
        <v>49</v>
      </c>
      <c r="E16" s="150">
        <v>15</v>
      </c>
      <c r="F16" s="150">
        <v>5</v>
      </c>
      <c r="G16" s="151">
        <v>10490</v>
      </c>
      <c r="H16" s="150" cm="1">
        <f t="array" ref="H16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60</v>
      </c>
      <c r="I16" s="150" t="s">
        <v>161</v>
      </c>
    </row>
    <row r="17" spans="1:9" ht="13.8" hidden="1">
      <c r="A17" s="150" t="str">
        <f t="shared" ref="A17" si="1">$B$11</f>
        <v>Q.Huy</v>
      </c>
      <c r="B17" s="150" t="s">
        <v>129</v>
      </c>
      <c r="C17" s="150" t="s">
        <v>92</v>
      </c>
      <c r="D17" s="150" t="s">
        <v>49</v>
      </c>
      <c r="E17" s="150">
        <v>5</v>
      </c>
      <c r="F17" s="150">
        <v>2</v>
      </c>
      <c r="G17" s="150"/>
      <c r="H17" s="150" cm="1">
        <f t="array" ref="H17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5</v>
      </c>
      <c r="I17" s="150"/>
    </row>
    <row r="18" spans="1:9" ht="13.8" hidden="1">
      <c r="A18" s="150" t="str">
        <f t="shared" ref="A18:A20" si="2">$B$11</f>
        <v>Q.Huy</v>
      </c>
      <c r="B18" s="150" t="s">
        <v>131</v>
      </c>
      <c r="C18" s="150" t="s">
        <v>70</v>
      </c>
      <c r="D18" s="150" t="s">
        <v>142</v>
      </c>
      <c r="E18" s="150">
        <v>11</v>
      </c>
      <c r="F18" s="150">
        <v>11</v>
      </c>
      <c r="G18" s="151">
        <v>6690</v>
      </c>
      <c r="H18" s="150" cm="1">
        <f t="array" ref="H18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22</v>
      </c>
      <c r="I18" s="150"/>
    </row>
    <row r="19" spans="1:9" ht="13.8" hidden="1">
      <c r="A19" s="150" t="str">
        <f t="shared" si="2"/>
        <v>Q.Huy</v>
      </c>
      <c r="B19" s="150" t="s">
        <v>131</v>
      </c>
      <c r="C19" s="150" t="s">
        <v>79</v>
      </c>
      <c r="D19" s="150" t="s">
        <v>142</v>
      </c>
      <c r="E19" s="150">
        <v>8</v>
      </c>
      <c r="F19" s="150">
        <v>8</v>
      </c>
      <c r="G19" s="151">
        <v>6690</v>
      </c>
      <c r="H19" s="150" cm="1">
        <f t="array" ref="H19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16</v>
      </c>
      <c r="I19" s="150"/>
    </row>
    <row r="20" spans="1:9" ht="13.8" hidden="1">
      <c r="A20" s="150" t="str">
        <f t="shared" si="2"/>
        <v>Q.Huy</v>
      </c>
      <c r="B20" s="150" t="s">
        <v>131</v>
      </c>
      <c r="C20" s="150" t="s">
        <v>92</v>
      </c>
      <c r="D20" s="150" t="s">
        <v>142</v>
      </c>
      <c r="E20" s="150">
        <v>1</v>
      </c>
      <c r="F20" s="150">
        <v>1</v>
      </c>
      <c r="G20" s="151">
        <v>9543</v>
      </c>
      <c r="H20" s="150" cm="1">
        <f t="array" ref="H20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3</v>
      </c>
      <c r="I20" s="150"/>
    </row>
    <row r="21" spans="1:9" ht="13.8" hidden="1">
      <c r="A21" s="150" t="str">
        <f t="shared" ref="A21:A23" si="3">$B$11</f>
        <v>Q.Huy</v>
      </c>
      <c r="B21" s="150" t="s">
        <v>131</v>
      </c>
      <c r="C21" s="150" t="s">
        <v>79</v>
      </c>
      <c r="D21" s="150" t="s">
        <v>49</v>
      </c>
      <c r="E21" s="150">
        <v>43</v>
      </c>
      <c r="F21" s="150">
        <v>8</v>
      </c>
      <c r="G21" s="151">
        <v>4598</v>
      </c>
      <c r="H21" s="150" cm="1">
        <f t="array" ref="H21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86</v>
      </c>
      <c r="I21" s="150"/>
    </row>
    <row r="22" spans="1:9" ht="13.8" hidden="1">
      <c r="A22" s="150" t="str">
        <f t="shared" si="3"/>
        <v>Q.Huy</v>
      </c>
      <c r="B22" s="150" t="s">
        <v>131</v>
      </c>
      <c r="C22" s="150" t="s">
        <v>87</v>
      </c>
      <c r="D22" s="150" t="s">
        <v>49</v>
      </c>
      <c r="E22" s="150">
        <v>4</v>
      </c>
      <c r="F22" s="150">
        <v>1</v>
      </c>
      <c r="G22" s="151">
        <v>8454</v>
      </c>
      <c r="H22" s="150" cm="1">
        <f t="array" ref="H22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12</v>
      </c>
      <c r="I22" s="150"/>
    </row>
    <row r="23" spans="1:9" ht="13.8">
      <c r="A23" s="150" t="str">
        <f t="shared" si="3"/>
        <v>Q.Huy</v>
      </c>
      <c r="B23" s="150" t="s">
        <v>131</v>
      </c>
      <c r="C23" s="150" t="s">
        <v>107</v>
      </c>
      <c r="D23" s="150" t="s">
        <v>49</v>
      </c>
      <c r="E23" s="150">
        <v>248</v>
      </c>
      <c r="F23" s="150">
        <v>17</v>
      </c>
      <c r="G23" s="151">
        <v>8080</v>
      </c>
      <c r="H23" s="150" cm="1">
        <f t="array" ref="H23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744</v>
      </c>
      <c r="I23" s="152" t="s">
        <v>162</v>
      </c>
    </row>
    <row r="24" spans="1:9" ht="13.8" hidden="1">
      <c r="A24" s="150" t="str">
        <f t="shared" ref="A24:A29" si="4">$B$11</f>
        <v>Q.Huy</v>
      </c>
      <c r="B24" s="150" t="s">
        <v>132</v>
      </c>
      <c r="C24" s="150" t="s">
        <v>70</v>
      </c>
      <c r="D24" s="150" t="s">
        <v>142</v>
      </c>
      <c r="E24" s="150">
        <v>46</v>
      </c>
      <c r="F24" s="150">
        <v>21</v>
      </c>
      <c r="G24" s="151">
        <v>10990</v>
      </c>
      <c r="H24" s="150" cm="1">
        <f t="array" ref="H24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184</v>
      </c>
      <c r="I24" s="150"/>
    </row>
    <row r="25" spans="1:9" ht="13.8" hidden="1">
      <c r="A25" s="150" t="str">
        <f t="shared" si="4"/>
        <v>Q.Huy</v>
      </c>
      <c r="B25" s="150" t="s">
        <v>132</v>
      </c>
      <c r="C25" s="150" t="s">
        <v>79</v>
      </c>
      <c r="D25" s="150" t="s">
        <v>142</v>
      </c>
      <c r="E25" s="150">
        <v>5</v>
      </c>
      <c r="F25" s="150">
        <v>5</v>
      </c>
      <c r="G25" s="151">
        <v>6513</v>
      </c>
      <c r="H25" s="150" cm="1">
        <f t="array" ref="H25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10</v>
      </c>
      <c r="I25" s="150"/>
    </row>
    <row r="26" spans="1:9" ht="13.8" hidden="1">
      <c r="A26" s="150" t="str">
        <f t="shared" si="4"/>
        <v>Q.Huy</v>
      </c>
      <c r="B26" s="150" t="s">
        <v>132</v>
      </c>
      <c r="C26" s="150" t="s">
        <v>87</v>
      </c>
      <c r="D26" s="150" t="s">
        <v>142</v>
      </c>
      <c r="E26" s="150">
        <v>1</v>
      </c>
      <c r="F26" s="150">
        <v>1</v>
      </c>
      <c r="G26" s="151">
        <v>15113</v>
      </c>
      <c r="H26" s="150" cm="1">
        <f t="array" ref="H26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6</v>
      </c>
      <c r="I26" s="150"/>
    </row>
    <row r="27" spans="1:9" ht="13.8" hidden="1">
      <c r="A27" s="150" t="str">
        <f t="shared" si="4"/>
        <v>Q.Huy</v>
      </c>
      <c r="B27" s="150" t="s">
        <v>132</v>
      </c>
      <c r="C27" s="150" t="s">
        <v>107</v>
      </c>
      <c r="D27" s="150" t="s">
        <v>142</v>
      </c>
      <c r="E27" s="150">
        <v>18</v>
      </c>
      <c r="F27" s="150">
        <v>11</v>
      </c>
      <c r="G27" s="151">
        <v>12116</v>
      </c>
      <c r="H27" s="150" cm="1">
        <f t="array" ref="H27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90</v>
      </c>
      <c r="I27" s="150"/>
    </row>
    <row r="28" spans="1:9" ht="13.8" hidden="1">
      <c r="A28" s="150" t="str">
        <f t="shared" si="4"/>
        <v>Q.Huy</v>
      </c>
      <c r="B28" s="150" t="s">
        <v>132</v>
      </c>
      <c r="C28" s="150" t="s">
        <v>111</v>
      </c>
      <c r="D28" s="150" t="s">
        <v>142</v>
      </c>
      <c r="E28" s="150">
        <v>9</v>
      </c>
      <c r="F28" s="150">
        <v>3</v>
      </c>
      <c r="G28" s="151">
        <v>9890</v>
      </c>
      <c r="H28" s="150" cm="1">
        <f t="array" ref="H28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27</v>
      </c>
      <c r="I28" s="150"/>
    </row>
    <row r="29" spans="1:9" ht="13.8" hidden="1">
      <c r="A29" s="150" t="str">
        <f t="shared" si="4"/>
        <v>Q.Huy</v>
      </c>
      <c r="B29" s="150" t="s">
        <v>132</v>
      </c>
      <c r="C29" s="150">
        <v>141</v>
      </c>
      <c r="D29" s="150" t="s">
        <v>142</v>
      </c>
      <c r="E29" s="150">
        <v>7</v>
      </c>
      <c r="F29" s="150">
        <v>2</v>
      </c>
      <c r="G29" s="151">
        <v>14012</v>
      </c>
      <c r="H29" s="150" cm="1">
        <f t="array" ref="H29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35</v>
      </c>
      <c r="I29" s="150"/>
    </row>
    <row r="30" spans="1:9" ht="13.8" hidden="1">
      <c r="A30" s="150" t="str">
        <f t="shared" ref="A30:A32" si="5">$B$11</f>
        <v>Q.Huy</v>
      </c>
      <c r="B30" s="150" t="s">
        <v>132</v>
      </c>
      <c r="C30" s="150" t="s">
        <v>79</v>
      </c>
      <c r="D30" s="150" t="s">
        <v>49</v>
      </c>
      <c r="E30" s="150">
        <v>34</v>
      </c>
      <c r="F30" s="150">
        <v>16</v>
      </c>
      <c r="G30" s="151">
        <v>7387</v>
      </c>
      <c r="H30" s="150" cm="1">
        <f t="array" ref="H30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68</v>
      </c>
      <c r="I30" s="150"/>
    </row>
    <row r="31" spans="1:9" ht="13.8" hidden="1">
      <c r="A31" s="150" t="str">
        <f t="shared" si="5"/>
        <v>Q.Huy</v>
      </c>
      <c r="B31" s="150" t="s">
        <v>132</v>
      </c>
      <c r="C31" s="150" t="s">
        <v>87</v>
      </c>
      <c r="D31" s="150" t="s">
        <v>49</v>
      </c>
      <c r="E31" s="150">
        <v>2</v>
      </c>
      <c r="F31" s="150">
        <v>1</v>
      </c>
      <c r="G31" s="151">
        <v>15113</v>
      </c>
      <c r="H31" s="150" cm="1">
        <f t="array" ref="H31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12</v>
      </c>
      <c r="I31" s="150"/>
    </row>
    <row r="32" spans="1:9" ht="13.8" hidden="1">
      <c r="A32" s="150" t="str">
        <f t="shared" si="5"/>
        <v>Q.Huy</v>
      </c>
      <c r="B32" s="150" t="s">
        <v>132</v>
      </c>
      <c r="C32" s="150" t="s">
        <v>107</v>
      </c>
      <c r="D32" s="150" t="s">
        <v>49</v>
      </c>
      <c r="E32" s="150">
        <v>250</v>
      </c>
      <c r="F32" s="150">
        <v>41</v>
      </c>
      <c r="G32" s="151">
        <v>11971</v>
      </c>
      <c r="H32" s="150" cm="1">
        <f t="array" ref="H32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1000</v>
      </c>
      <c r="I32" s="150"/>
    </row>
    <row r="33" spans="1:9" ht="13.8" hidden="1">
      <c r="A33" s="150" t="str">
        <f t="shared" ref="A33:A35" si="6">$B$11</f>
        <v>Q.Huy</v>
      </c>
      <c r="B33" s="150" t="s">
        <v>133</v>
      </c>
      <c r="C33" s="150" t="s">
        <v>70</v>
      </c>
      <c r="D33" s="150" t="s">
        <v>142</v>
      </c>
      <c r="E33" s="150">
        <v>146</v>
      </c>
      <c r="F33" s="150">
        <v>63</v>
      </c>
      <c r="G33" s="151">
        <v>7482</v>
      </c>
      <c r="H33" s="150" cm="1">
        <f t="array" ref="H33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292</v>
      </c>
      <c r="I33" s="150"/>
    </row>
    <row r="34" spans="1:9" ht="13.8" hidden="1">
      <c r="A34" s="150" t="str">
        <f t="shared" si="6"/>
        <v>Q.Huy</v>
      </c>
      <c r="B34" s="150" t="s">
        <v>133</v>
      </c>
      <c r="C34" s="150" t="s">
        <v>107</v>
      </c>
      <c r="D34" s="150" t="s">
        <v>142</v>
      </c>
      <c r="E34" s="150">
        <v>12</v>
      </c>
      <c r="F34" s="150">
        <v>10</v>
      </c>
      <c r="G34" s="151">
        <v>7755</v>
      </c>
      <c r="H34" s="150" cm="1">
        <f t="array" ref="H34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24</v>
      </c>
      <c r="I34" s="150"/>
    </row>
    <row r="35" spans="1:9" ht="13.8" hidden="1">
      <c r="A35" s="150" t="str">
        <f t="shared" si="6"/>
        <v>Q.Huy</v>
      </c>
      <c r="B35" s="150" t="s">
        <v>133</v>
      </c>
      <c r="C35" s="150" t="s">
        <v>111</v>
      </c>
      <c r="D35" s="150" t="s">
        <v>142</v>
      </c>
      <c r="E35" s="150">
        <v>9</v>
      </c>
      <c r="F35" s="150">
        <v>5</v>
      </c>
      <c r="G35" s="151">
        <v>9276</v>
      </c>
      <c r="H35" s="150" cm="1">
        <f t="array" ref="H35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27</v>
      </c>
      <c r="I35" s="150"/>
    </row>
    <row r="36" spans="1:9" ht="13.8" hidden="1">
      <c r="A36" s="150" t="str">
        <f>$B$11</f>
        <v>Q.Huy</v>
      </c>
      <c r="B36" s="150" t="s">
        <v>133</v>
      </c>
      <c r="C36" s="150" t="s">
        <v>107</v>
      </c>
      <c r="D36" s="150" t="s">
        <v>49</v>
      </c>
      <c r="E36" s="150">
        <v>150</v>
      </c>
      <c r="F36" s="150">
        <v>25</v>
      </c>
      <c r="G36" s="151">
        <v>7950</v>
      </c>
      <c r="H36" s="150" cm="1">
        <f t="array" ref="H36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300</v>
      </c>
      <c r="I36" s="150"/>
    </row>
    <row r="37" spans="1:9" ht="13.8" hidden="1">
      <c r="A37" s="150" t="str">
        <f t="shared" ref="A37:A40" si="7">$B$11</f>
        <v>Q.Huy</v>
      </c>
      <c r="B37" s="150" t="s">
        <v>134</v>
      </c>
      <c r="C37" s="150" t="s">
        <v>70</v>
      </c>
      <c r="D37" s="150" t="s">
        <v>142</v>
      </c>
      <c r="E37" s="150">
        <v>86</v>
      </c>
      <c r="F37" s="150">
        <v>46</v>
      </c>
      <c r="G37" s="151">
        <v>14987</v>
      </c>
      <c r="H37" s="150" cm="1">
        <f t="array" ref="H37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430</v>
      </c>
      <c r="I37" s="150"/>
    </row>
    <row r="38" spans="1:9" ht="13.8" hidden="1">
      <c r="A38" s="150" t="str">
        <f t="shared" si="7"/>
        <v>Q.Huy</v>
      </c>
      <c r="B38" s="150" t="s">
        <v>134</v>
      </c>
      <c r="C38" s="150" t="s">
        <v>87</v>
      </c>
      <c r="D38" s="150" t="s">
        <v>142</v>
      </c>
      <c r="E38" s="150">
        <v>25</v>
      </c>
      <c r="F38" s="150">
        <v>5</v>
      </c>
      <c r="G38" s="151">
        <v>13517</v>
      </c>
      <c r="H38" s="150" cm="1">
        <f t="array" ref="H38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125</v>
      </c>
      <c r="I38" s="150"/>
    </row>
    <row r="39" spans="1:9" ht="13.8" hidden="1">
      <c r="A39" s="150" t="str">
        <f t="shared" si="7"/>
        <v>Q.Huy</v>
      </c>
      <c r="B39" s="150" t="s">
        <v>134</v>
      </c>
      <c r="C39" s="150" t="s">
        <v>107</v>
      </c>
      <c r="D39" s="150" t="s">
        <v>142</v>
      </c>
      <c r="E39" s="150">
        <v>52</v>
      </c>
      <c r="F39" s="150">
        <v>34</v>
      </c>
      <c r="G39" s="151">
        <v>12105</v>
      </c>
      <c r="H39" s="150" cm="1">
        <f t="array" ref="H39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260</v>
      </c>
      <c r="I39" s="150"/>
    </row>
    <row r="40" spans="1:9" ht="13.8" hidden="1">
      <c r="A40" s="150" t="str">
        <f t="shared" si="7"/>
        <v>Q.Huy</v>
      </c>
      <c r="B40" s="150" t="s">
        <v>134</v>
      </c>
      <c r="C40" s="150" t="s">
        <v>111</v>
      </c>
      <c r="D40" s="150" t="s">
        <v>142</v>
      </c>
      <c r="E40" s="150">
        <v>6</v>
      </c>
      <c r="F40" s="150">
        <v>6</v>
      </c>
      <c r="G40" s="151">
        <v>13597</v>
      </c>
      <c r="H40" s="150" cm="1">
        <f t="array" ref="H40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30</v>
      </c>
      <c r="I40" s="150"/>
    </row>
    <row r="41" spans="1:9" ht="13.8" hidden="1">
      <c r="A41" s="150" t="str">
        <f t="shared" ref="A41:A42" si="8">$B$11</f>
        <v>Q.Huy</v>
      </c>
      <c r="B41" s="150" t="s">
        <v>134</v>
      </c>
      <c r="C41" s="150" t="s">
        <v>87</v>
      </c>
      <c r="D41" s="150" t="s">
        <v>49</v>
      </c>
      <c r="E41" s="150">
        <v>11</v>
      </c>
      <c r="F41" s="150">
        <v>3</v>
      </c>
      <c r="G41" s="151">
        <v>12502</v>
      </c>
      <c r="H41" s="150" cm="1">
        <f t="array" ref="H41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55</v>
      </c>
      <c r="I41" s="150"/>
    </row>
    <row r="42" spans="1:9" ht="13.8" hidden="1">
      <c r="A42" s="150" t="str">
        <f t="shared" si="8"/>
        <v>Q.Huy</v>
      </c>
      <c r="B42" s="150" t="s">
        <v>134</v>
      </c>
      <c r="C42" s="150" t="s">
        <v>107</v>
      </c>
      <c r="D42" s="150" t="s">
        <v>49</v>
      </c>
      <c r="E42" s="150">
        <v>194</v>
      </c>
      <c r="F42" s="150">
        <v>33</v>
      </c>
      <c r="G42" s="151">
        <v>11241</v>
      </c>
      <c r="H42" s="150" cm="1">
        <f t="array" ref="H42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776</v>
      </c>
      <c r="I42" s="150"/>
    </row>
    <row r="43" spans="1:9" ht="13.8" hidden="1">
      <c r="A43" s="150" t="str">
        <f t="shared" ref="A43:A44" si="9">$B$11</f>
        <v>Q.Huy</v>
      </c>
      <c r="B43" s="150" t="s">
        <v>135</v>
      </c>
      <c r="C43" s="150" t="s">
        <v>70</v>
      </c>
      <c r="D43" s="150" t="s">
        <v>142</v>
      </c>
      <c r="E43" s="150">
        <v>46</v>
      </c>
      <c r="F43" s="150">
        <v>43</v>
      </c>
      <c r="G43" s="150">
        <v>5136</v>
      </c>
      <c r="H43" s="150" cm="1">
        <f t="array" ref="H43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92</v>
      </c>
      <c r="I43" s="150"/>
    </row>
    <row r="44" spans="1:9" ht="13.8" hidden="1">
      <c r="A44" s="150" t="str">
        <f t="shared" si="9"/>
        <v>Q.Huy</v>
      </c>
      <c r="B44" s="150" t="s">
        <v>135</v>
      </c>
      <c r="C44" s="150" t="s">
        <v>107</v>
      </c>
      <c r="D44" s="150" t="s">
        <v>142</v>
      </c>
      <c r="E44" s="150">
        <v>33</v>
      </c>
      <c r="F44" s="150">
        <v>22</v>
      </c>
      <c r="G44" s="150">
        <v>10969</v>
      </c>
      <c r="H44" s="150" cm="1">
        <f t="array" ref="H44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132</v>
      </c>
      <c r="I44" s="150"/>
    </row>
    <row r="45" spans="1:9" ht="13.8" hidden="1">
      <c r="A45" s="150" t="str">
        <f>$B$11</f>
        <v>Q.Huy</v>
      </c>
      <c r="B45" s="150" t="s">
        <v>135</v>
      </c>
      <c r="C45" s="150" t="s">
        <v>107</v>
      </c>
      <c r="D45" s="150" t="s">
        <v>49</v>
      </c>
      <c r="E45" s="150">
        <v>67</v>
      </c>
      <c r="F45" s="150">
        <v>15</v>
      </c>
      <c r="G45" s="150">
        <v>11400</v>
      </c>
      <c r="H45" s="150" cm="1">
        <f t="array" ref="H45">_xlfn.IFS(
担当_5791113[[#This Row],[平均秒数]]&lt;=3000,1,
担当_5791113[[#This Row],[平均秒数]]&lt;=8000,2,
担当_5791113[[#This Row],[平均秒数]]&lt;=10000,3,
担当_5791113[[#This Row],[平均秒数]]&lt;=12000,4,
担当_5791113[[#This Row],[平均秒数]]&lt;=15000,5,
TRUE,6
)*担当_5791113[[#This Row],[生産数]]</f>
        <v>268</v>
      </c>
      <c r="I45" s="150"/>
    </row>
  </sheetData>
  <mergeCells count="1">
    <mergeCell ref="H9:H11"/>
  </mergeCells>
  <dataValidations count="2">
    <dataValidation type="list" allowBlank="1" showInputMessage="1" showErrorMessage="1" sqref="C13:C45" xr:uid="{7200CE08-9004-42F7-809F-35AA883867B6}">
      <formula1>brand</formula1>
    </dataValidation>
    <dataValidation type="list" allowBlank="1" showInputMessage="1" showErrorMessage="1" sqref="D13:D45" xr:uid="{35EA4B92-2EE3-436A-A5EF-DC5D82021454}">
      <formula1>"SMS,1rd/2nd/3rd...etc"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78D2-9638-4108-B4ED-5B67521CE404}">
  <dimension ref="A1:I18"/>
  <sheetViews>
    <sheetView workbookViewId="0">
      <selection activeCell="F30" sqref="F30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4.44140625" bestFit="1" customWidth="1"/>
    <col min="5" max="6" width="8.6640625" customWidth="1"/>
    <col min="7" max="8" width="10.6640625" customWidth="1"/>
    <col min="9" max="9" width="6.6640625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30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>
      <c r="A13" t="str">
        <f t="shared" ref="A13:A18" si="0">$B$11</f>
        <v>H.Trang</v>
      </c>
      <c r="B13" t="s">
        <v>131</v>
      </c>
      <c r="C13" t="s">
        <v>117</v>
      </c>
      <c r="D13" t="s">
        <v>142</v>
      </c>
      <c r="E13">
        <v>8</v>
      </c>
      <c r="F13">
        <v>8</v>
      </c>
      <c r="G13" s="47">
        <v>2322</v>
      </c>
      <c r="H13" cm="1">
        <f t="array" ref="H13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f>
        <v>8</v>
      </c>
    </row>
    <row r="14" spans="1:9">
      <c r="A14" t="str">
        <f t="shared" si="0"/>
        <v>H.Trang</v>
      </c>
      <c r="B14" t="s">
        <v>132</v>
      </c>
      <c r="C14" t="s">
        <v>117</v>
      </c>
      <c r="D14" t="s">
        <v>142</v>
      </c>
      <c r="E14">
        <v>31</v>
      </c>
      <c r="F14">
        <v>14</v>
      </c>
      <c r="G14" s="47">
        <v>2322</v>
      </c>
      <c r="H14" cm="1">
        <f t="array" ref="H14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f>
        <v>31</v>
      </c>
    </row>
    <row r="15" spans="1:9">
      <c r="A15" t="str">
        <f t="shared" si="0"/>
        <v>H.Trang</v>
      </c>
      <c r="B15" t="s">
        <v>133</v>
      </c>
      <c r="C15" t="s">
        <v>117</v>
      </c>
      <c r="D15" t="s">
        <v>142</v>
      </c>
      <c r="E15">
        <v>82</v>
      </c>
      <c r="F15">
        <v>36</v>
      </c>
      <c r="G15" s="47">
        <v>4650</v>
      </c>
      <c r="H15" cm="1">
        <f t="array" ref="H15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f>
        <v>164</v>
      </c>
    </row>
    <row r="16" spans="1:9">
      <c r="A16" t="str">
        <f t="shared" si="0"/>
        <v>H.Trang</v>
      </c>
      <c r="B16" t="s">
        <v>133</v>
      </c>
      <c r="C16" t="s">
        <v>117</v>
      </c>
      <c r="D16" t="s">
        <v>49</v>
      </c>
      <c r="E16">
        <v>16</v>
      </c>
      <c r="F16">
        <v>3</v>
      </c>
      <c r="G16" s="47">
        <v>2836</v>
      </c>
      <c r="H16" cm="1">
        <f t="array" ref="H16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f>
        <v>16</v>
      </c>
    </row>
    <row r="17" spans="1:8">
      <c r="A17" t="str">
        <f t="shared" si="0"/>
        <v>H.Trang</v>
      </c>
      <c r="B17" t="s">
        <v>134</v>
      </c>
      <c r="C17" t="s">
        <v>117</v>
      </c>
      <c r="D17" t="s">
        <v>49</v>
      </c>
      <c r="E17">
        <v>8</v>
      </c>
      <c r="F17">
        <v>2</v>
      </c>
      <c r="G17" s="47">
        <v>3728</v>
      </c>
      <c r="H17" cm="1">
        <f t="array" ref="H17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f>
        <v>16</v>
      </c>
    </row>
    <row r="18" spans="1:8">
      <c r="A18" t="str">
        <f t="shared" si="0"/>
        <v>H.Trang</v>
      </c>
      <c r="B18" t="s">
        <v>135</v>
      </c>
      <c r="C18">
        <v>141</v>
      </c>
      <c r="D18" t="s">
        <v>142</v>
      </c>
      <c r="E18">
        <v>24</v>
      </c>
      <c r="F18">
        <v>8</v>
      </c>
      <c r="G18">
        <v>10494</v>
      </c>
      <c r="H18" cm="1">
        <f t="array" ref="H18">_xlfn.IFS(
担当_579111315[[#This Row],[平均秒数]]&lt;=3000,1,
担当_579111315[[#This Row],[平均秒数]]&lt;=8000,2,
担当_579111315[[#This Row],[平均秒数]]&lt;=10000,3,
担当_579111315[[#This Row],[平均秒数]]&lt;=12000,4,
担当_579111315[[#This Row],[平均秒数]]&lt;=15000,5,
TRUE,6
)*担当_579111315[[#This Row],[生産数]]</f>
        <v>96</v>
      </c>
    </row>
  </sheetData>
  <mergeCells count="1">
    <mergeCell ref="H9:H11"/>
  </mergeCells>
  <dataValidations count="2">
    <dataValidation type="list" allowBlank="1" showInputMessage="1" showErrorMessage="1" sqref="D13:D18" xr:uid="{260F4578-7C2C-42AF-898A-84BA78286031}">
      <formula1>"SMS,1rd/2nd/3rd...etc"</formula1>
    </dataValidation>
    <dataValidation type="list" allowBlank="1" showInputMessage="1" showErrorMessage="1" sqref="C13:C18" xr:uid="{4483ECC0-54F8-42EE-A81B-0483C8F8AB09}">
      <formula1>brand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EF4E-F6CD-4A89-9B73-29E9F73FD828}">
  <dimension ref="A1:I14"/>
  <sheetViews>
    <sheetView tabSelected="1" workbookViewId="0">
      <selection activeCell="I29" sqref="H29:I29"/>
    </sheetView>
  </sheetViews>
  <sheetFormatPr defaultRowHeight="13.2"/>
  <cols>
    <col min="1" max="1" width="15.109375" customWidth="1"/>
    <col min="2" max="2" width="15" customWidth="1"/>
    <col min="3" max="3" width="13" bestFit="1" customWidth="1"/>
    <col min="4" max="4" width="14.44140625" bestFit="1" customWidth="1"/>
    <col min="5" max="6" width="8.6640625" customWidth="1"/>
    <col min="7" max="8" width="10.6640625" customWidth="1"/>
    <col min="9" max="9" width="6.6640625" customWidth="1"/>
  </cols>
  <sheetData>
    <row r="1" spans="1:9" ht="30">
      <c r="A1" s="49" t="s">
        <v>143</v>
      </c>
      <c r="B1" s="50"/>
      <c r="C1" s="50"/>
      <c r="D1" s="50"/>
      <c r="E1" s="50"/>
      <c r="F1" s="50"/>
      <c r="G1" s="50"/>
      <c r="H1" s="50"/>
      <c r="I1" s="50"/>
    </row>
    <row r="3" spans="1:9">
      <c r="A3" t="s">
        <v>144</v>
      </c>
      <c r="B3" t="s">
        <v>145</v>
      </c>
    </row>
    <row r="4" spans="1:9">
      <c r="A4" t="s">
        <v>146</v>
      </c>
      <c r="B4">
        <v>1</v>
      </c>
    </row>
    <row r="5" spans="1:9">
      <c r="A5" t="s">
        <v>147</v>
      </c>
      <c r="B5">
        <v>2</v>
      </c>
    </row>
    <row r="6" spans="1:9">
      <c r="A6" t="s">
        <v>148</v>
      </c>
      <c r="B6">
        <v>3</v>
      </c>
    </row>
    <row r="7" spans="1:9">
      <c r="A7" t="s">
        <v>149</v>
      </c>
      <c r="B7">
        <v>4</v>
      </c>
    </row>
    <row r="8" spans="1:9">
      <c r="A8" t="s">
        <v>150</v>
      </c>
      <c r="B8">
        <v>5</v>
      </c>
    </row>
    <row r="9" spans="1:9">
      <c r="A9" t="s">
        <v>151</v>
      </c>
      <c r="B9">
        <v>6</v>
      </c>
      <c r="H9" s="170" t="s">
        <v>152</v>
      </c>
    </row>
    <row r="10" spans="1:9">
      <c r="H10" s="171"/>
    </row>
    <row r="11" spans="1:9">
      <c r="A11" t="s">
        <v>153</v>
      </c>
      <c r="B11" s="46" t="s">
        <v>31</v>
      </c>
      <c r="H11" s="172"/>
    </row>
    <row r="12" spans="1:9">
      <c r="A12" t="s">
        <v>119</v>
      </c>
      <c r="B12" t="s">
        <v>120</v>
      </c>
      <c r="C12" t="s">
        <v>137</v>
      </c>
      <c r="D12" t="s">
        <v>138</v>
      </c>
      <c r="E12" t="s">
        <v>59</v>
      </c>
      <c r="F12" t="s">
        <v>60</v>
      </c>
      <c r="G12" t="s">
        <v>61</v>
      </c>
      <c r="H12" t="s">
        <v>154</v>
      </c>
      <c r="I12" t="s">
        <v>136</v>
      </c>
    </row>
    <row r="13" spans="1:9">
      <c r="A13" t="str">
        <f>$B$11</f>
        <v>B.Trang</v>
      </c>
      <c r="B13" t="s">
        <v>135</v>
      </c>
      <c r="C13" t="s">
        <v>68</v>
      </c>
      <c r="D13" t="s">
        <v>142</v>
      </c>
      <c r="E13">
        <v>47</v>
      </c>
      <c r="F13">
        <v>29</v>
      </c>
      <c r="G13" s="47">
        <v>7010</v>
      </c>
      <c r="H13" cm="1">
        <f t="array" ref="H13">_xlfn.IFS(
担当_57911131517[[#This Row],[平均秒数]]&lt;=3000,1,
担当_57911131517[[#This Row],[平均秒数]]&lt;=8000,2,
担当_57911131517[[#This Row],[平均秒数]]&lt;=10000,3,
担当_57911131517[[#This Row],[平均秒数]]&lt;=12000,4,
担当_57911131517[[#This Row],[平均秒数]]&lt;=15000,5,
TRUE,6
)*担当_57911131517[[#This Row],[生産数]]</f>
        <v>94</v>
      </c>
    </row>
    <row r="14" spans="1:9">
      <c r="A14" t="str">
        <f>$B$11</f>
        <v>B.Trang</v>
      </c>
      <c r="B14" t="s">
        <v>135</v>
      </c>
      <c r="C14" t="s">
        <v>68</v>
      </c>
      <c r="D14" t="s">
        <v>49</v>
      </c>
      <c r="E14">
        <v>293</v>
      </c>
      <c r="F14">
        <v>75</v>
      </c>
      <c r="G14">
        <v>7619</v>
      </c>
      <c r="H14" cm="1">
        <f t="array" ref="H14">_xlfn.IFS(
担当_57911131517[[#This Row],[平均秒数]]&lt;=3000,1,
担当_57911131517[[#This Row],[平均秒数]]&lt;=8000,2,
担当_57911131517[[#This Row],[平均秒数]]&lt;=10000,3,
担当_57911131517[[#This Row],[平均秒数]]&lt;=12000,4,
担当_57911131517[[#This Row],[平均秒数]]&lt;=15000,5,
TRUE,6
)*担当_57911131517[[#This Row],[生産数]]</f>
        <v>586</v>
      </c>
    </row>
  </sheetData>
  <mergeCells count="1">
    <mergeCell ref="H9:H11"/>
  </mergeCells>
  <dataValidations count="2">
    <dataValidation type="list" allowBlank="1" showInputMessage="1" showErrorMessage="1" sqref="C13:C14" xr:uid="{29ABC2E1-D9FE-4107-9652-3E8332680156}">
      <formula1>brand</formula1>
    </dataValidation>
    <dataValidation type="list" allowBlank="1" showInputMessage="1" showErrorMessage="1" sqref="D13:D14" xr:uid="{A40F6D37-0B69-4A08-BDAF-06C26AC2D453}">
      <formula1>"SMS,1rd/2nd/3rd...etc"</formula1>
    </dataValidation>
  </dataValidation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9233562261A640A69A2D64158A42F3" ma:contentTypeVersion="12" ma:contentTypeDescription="Create a new document." ma:contentTypeScope="" ma:versionID="2533322728d70340fb8797272bb5d6ae">
  <xsd:schema xmlns:xsd="http://www.w3.org/2001/XMLSchema" xmlns:xs="http://www.w3.org/2001/XMLSchema" xmlns:p="http://schemas.microsoft.com/office/2006/metadata/properties" xmlns:ns2="fd6d6372-2057-48db-8ea2-50e1eddaf97d" xmlns:ns3="4b250117-215b-42ee-b46e-b2945190ab37" targetNamespace="http://schemas.microsoft.com/office/2006/metadata/properties" ma:root="true" ma:fieldsID="f1082214ff3705d9f27f671b21c9697c" ns2:_="" ns3:_="">
    <xsd:import namespace="fd6d6372-2057-48db-8ea2-50e1eddaf97d"/>
    <xsd:import namespace="4b250117-215b-42ee-b46e-b2945190ab3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d6372-2057-48db-8ea2-50e1eddaf97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91e37c41-7cb4-4101-91fe-68fc6d91e36d}" ma:internalName="TaxCatchAll" ma:showField="CatchAllData" ma:web="fd6d6372-2057-48db-8ea2-50e1eddaf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50117-215b-42ee-b46e-b2945190a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fd5ddeb-6a09-454e-8303-770f669cf2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d6d6372-2057-48db-8ea2-50e1eddaf97d">ZE7CHP4NUVZV-1822759881-1961</_dlc_DocId>
    <_dlc_DocIdUrl xmlns="fd6d6372-2057-48db-8ea2-50e1eddaf97d">
      <Url>https://toraygroup01.sharepoint.com/sites/AP2departmentAPIC.TIVN.tm/_layouts/15/DocIdRedir.aspx?ID=ZE7CHP4NUVZV-1822759881-1961</Url>
      <Description>ZE7CHP4NUVZV-1822759881-1961</Description>
    </_dlc_DocIdUrl>
    <lcf76f155ced4ddcb4097134ff3c332f xmlns="4b250117-215b-42ee-b46e-b2945190ab37">
      <Terms xmlns="http://schemas.microsoft.com/office/infopath/2007/PartnerControls"/>
    </lcf76f155ced4ddcb4097134ff3c332f>
    <TaxCatchAll xmlns="fd6d6372-2057-48db-8ea2-50e1eddaf97d" xsi:nil="true"/>
    <_dlc_DocIdPersistId xmlns="fd6d6372-2057-48db-8ea2-50e1eddaf97d">false</_dlc_DocIdPersistId>
  </documentManagement>
</p:properti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71B35BB-6D3A-4037-B1D4-2D9E4A47AC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934EBB-E194-4B7D-94BB-306C56CE677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1A52A119-7ACE-4A4D-934F-83F548C1166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3026D0A-9F57-44A6-B395-81F2DDC9A0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6d6372-2057-48db-8ea2-50e1eddaf97d"/>
    <ds:schemaRef ds:uri="4b250117-215b-42ee-b46e-b2945190ab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78750534-D37F-4929-8FA4-5814C022A267}">
  <ds:schemaRefs>
    <ds:schemaRef ds:uri="http://www.w3.org/XML/1998/namespace"/>
    <ds:schemaRef ds:uri="http://purl.org/dc/terms/"/>
    <ds:schemaRef ds:uri="fd6d6372-2057-48db-8ea2-50e1eddaf97d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b250117-215b-42ee-b46e-b2945190ab37"/>
    <ds:schemaRef ds:uri="http://schemas.microsoft.com/office/2006/metadata/properties"/>
    <ds:schemaRef ds:uri="http://purl.org/dc/dcmitype/"/>
  </ds:schemaRefs>
</ds:datastoreItem>
</file>

<file path=customXml/itemProps6.xml><?xml version="1.0" encoding="utf-8"?>
<ds:datastoreItem xmlns:ds="http://schemas.openxmlformats.org/officeDocument/2006/customXml" ds:itemID="{42D01838-599E-48CF-9E0E-431A11BA5809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808e8e4e-335e-475c-a857-3d2d1a28a81f}" enabled="0" method="" siteId="{808e8e4e-335e-475c-a857-3d2d1a28a8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APIC 翻訳業務時間</vt:lpstr>
      <vt:lpstr>Pivot</vt:lpstr>
      <vt:lpstr>グラフ</vt:lpstr>
      <vt:lpstr>シーズンごと纏め</vt:lpstr>
      <vt:lpstr>全体纏め</vt:lpstr>
      <vt:lpstr>Luan</vt:lpstr>
      <vt:lpstr>Cuong</vt:lpstr>
      <vt:lpstr>Hien</vt:lpstr>
      <vt:lpstr>Nhu</vt:lpstr>
      <vt:lpstr>Khanh</vt:lpstr>
      <vt:lpstr>Q.Huy</vt:lpstr>
      <vt:lpstr>H.Trang</vt:lpstr>
      <vt:lpstr>B.Trang</vt:lpstr>
      <vt:lpstr>B.Trang!brand</vt:lpstr>
      <vt:lpstr>Cuong!brand</vt:lpstr>
      <vt:lpstr>H.Trang!brand</vt:lpstr>
      <vt:lpstr>Hien!brand</vt:lpstr>
      <vt:lpstr>Khanh!brand</vt:lpstr>
      <vt:lpstr>Nhu!brand</vt:lpstr>
      <vt:lpstr>Q.Huy!brand</vt:lpstr>
      <vt:lpstr>brand</vt:lpstr>
    </vt:vector>
  </TitlesOfParts>
  <Manager/>
  <Company>東レインターナショナル株式会社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SMiyazaki</dc:creator>
  <cp:keywords/>
  <dc:description/>
  <cp:lastModifiedBy>Tran, Congchanh/TIVN(VN)</cp:lastModifiedBy>
  <cp:revision/>
  <dcterms:created xsi:type="dcterms:W3CDTF">2012-02-11T07:44:56Z</dcterms:created>
  <dcterms:modified xsi:type="dcterms:W3CDTF">2026-10-27T11:30:14Z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aredWithUsers">
    <vt:lpwstr>12;#木戸達也</vt:lpwstr>
  </property>
  <property fmtid="{D5CDD505-2E9C-101B-9397-08002B2CF9AE}" pid="3" name="display_urn:schemas-microsoft-com:office:office#SharedWithUsers">
    <vt:lpwstr>木戸達也</vt:lpwstr>
  </property>
  <property fmtid="{D5CDD505-2E9C-101B-9397-08002B2CF9AE}" pid="4" name="ContentTypeId">
    <vt:lpwstr>0x010100EC9233562261A640A69A2D64158A42F3</vt:lpwstr>
  </property>
  <property fmtid="{D5CDD505-2E9C-101B-9397-08002B2CF9AE}" pid="5" name="_dlc_DocIdItemGuid">
    <vt:lpwstr>77b5152b-4995-43b0-b77a-887e8924f401</vt:lpwstr>
  </property>
  <property fmtid="{D5CDD505-2E9C-101B-9397-08002B2CF9AE}" pid="6" name="xd_ProgID">
    <vt:lpwstr/>
  </property>
  <property fmtid="{D5CDD505-2E9C-101B-9397-08002B2CF9AE}" pid="7" name="MediaServiceImageTags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