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aygroup01-my.sharepoint.com/personal/shotaro_hori_j6_mail_toray/Documents/デスクトップ/"/>
    </mc:Choice>
  </mc:AlternateContent>
  <xr:revisionPtr revIDLastSave="0" documentId="14_{7BF2B9D0-A90A-458B-B6B7-7B55D41EC755}" xr6:coauthVersionLast="47" xr6:coauthVersionMax="47" xr10:uidLastSave="{00000000-0000-0000-0000-000000000000}"/>
  <bookViews>
    <workbookView xWindow="-108" yWindow="-108" windowWidth="23256" windowHeight="12456" tabRatio="931" firstSheet="2" activeTab="2" xr2:uid="{B2B0B574-2624-4112-B10A-87D75BC1FE99}"/>
  </bookViews>
  <sheets>
    <sheet name="天方氏型番ごと生産数" sheetId="11" state="hidden" r:id="rId1"/>
    <sheet name="&lt;更新&gt;天方氏担当品番_26SS" sheetId="13" r:id="rId2"/>
    <sheet name="&lt;更新&gt;APIC(2026年度上期) " sheetId="18" r:id="rId3"/>
    <sheet name="包括評価申告_受理書" sheetId="7" state="hidden" r:id="rId4"/>
  </sheets>
  <definedNames>
    <definedName name="_xlnm._FilterDatabase" localSheetId="2" hidden="1">'&lt;更新&gt;APIC(2026年度上期) '!$A$12:$BI$119</definedName>
    <definedName name="_xlnm.Print_Area" localSheetId="2">'&lt;更新&gt;APIC(2026年度上期) '!$A$1:$BC$119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3" i="18" l="1"/>
  <c r="AG115" i="18"/>
  <c r="AG114" i="18"/>
  <c r="AG113" i="18"/>
  <c r="AG112" i="18"/>
  <c r="AG111" i="18"/>
  <c r="AG110" i="18"/>
  <c r="AG109" i="18"/>
  <c r="AG108" i="18"/>
  <c r="AG107" i="18"/>
  <c r="AG106" i="18"/>
  <c r="AG105" i="18"/>
  <c r="AG104" i="18"/>
  <c r="AG103" i="18"/>
  <c r="AG102" i="18"/>
  <c r="AG101" i="18"/>
  <c r="AG100" i="18"/>
  <c r="AG99" i="18"/>
  <c r="AG98" i="18"/>
  <c r="AG97" i="18"/>
  <c r="AG96" i="18"/>
  <c r="AG95" i="18"/>
  <c r="AG94" i="18"/>
  <c r="AG93" i="18"/>
  <c r="AG92" i="18"/>
  <c r="AG91" i="18"/>
  <c r="AG90" i="18"/>
  <c r="AG89" i="18"/>
  <c r="AG88" i="18"/>
  <c r="AG87" i="18"/>
  <c r="AG86" i="18"/>
  <c r="AG85" i="18"/>
  <c r="AG84" i="18"/>
  <c r="AG83" i="18"/>
  <c r="AG82" i="18"/>
  <c r="AG81" i="18"/>
  <c r="AG80" i="18"/>
  <c r="AG79" i="18"/>
  <c r="AG78" i="18"/>
  <c r="AG77" i="18"/>
  <c r="AG76" i="18"/>
  <c r="AG75" i="18"/>
  <c r="AG74" i="18"/>
  <c r="AG73" i="18"/>
  <c r="AY73" i="18" s="1"/>
  <c r="AG72" i="18"/>
  <c r="AG71" i="18"/>
  <c r="AG70" i="18"/>
  <c r="AG69" i="18"/>
  <c r="AG68" i="18"/>
  <c r="AG67" i="18"/>
  <c r="AG66" i="18"/>
  <c r="AG65" i="18"/>
  <c r="AG64" i="18"/>
  <c r="AG63" i="18"/>
  <c r="AG62" i="18"/>
  <c r="AG61" i="18"/>
  <c r="AG60" i="18"/>
  <c r="AG59" i="18"/>
  <c r="AG58" i="18"/>
  <c r="AG57" i="18"/>
  <c r="AG56" i="18"/>
  <c r="AG55" i="18"/>
  <c r="AG54" i="18"/>
  <c r="AG53" i="18"/>
  <c r="AG52" i="18"/>
  <c r="AG51" i="18"/>
  <c r="AG50" i="18"/>
  <c r="AG49" i="18"/>
  <c r="AG48" i="18"/>
  <c r="AG47" i="18"/>
  <c r="AG46" i="18"/>
  <c r="AG45" i="18"/>
  <c r="AG44" i="18"/>
  <c r="AG43" i="18"/>
  <c r="AG42" i="18"/>
  <c r="AG41" i="18"/>
  <c r="AG40" i="18"/>
  <c r="AG39" i="18"/>
  <c r="AG38" i="18"/>
  <c r="AG37" i="18"/>
  <c r="AG36" i="18"/>
  <c r="AG35" i="18"/>
  <c r="AG34" i="18"/>
  <c r="AG33" i="18"/>
  <c r="AG32" i="18"/>
  <c r="AG31" i="18"/>
  <c r="AG30" i="18"/>
  <c r="AG29" i="18"/>
  <c r="AG28" i="18"/>
  <c r="AG27" i="18"/>
  <c r="AG26" i="18"/>
  <c r="AG25" i="18"/>
  <c r="AG24" i="18"/>
  <c r="AG23" i="18"/>
  <c r="AG22" i="18"/>
  <c r="AG21" i="18"/>
  <c r="AG20" i="18"/>
  <c r="AG19" i="18"/>
  <c r="AG18" i="18"/>
  <c r="AG17" i="18"/>
  <c r="AG16" i="18"/>
  <c r="AG15" i="18"/>
  <c r="AG14" i="18"/>
  <c r="AG13" i="18"/>
  <c r="AF13" i="18"/>
  <c r="AF30" i="18" s="1"/>
  <c r="AD13" i="18"/>
  <c r="AD100" i="18" s="1"/>
  <c r="AC116" i="18"/>
  <c r="AE116" i="18"/>
  <c r="BA116" i="18"/>
  <c r="AU116" i="18"/>
  <c r="AQ116" i="18"/>
  <c r="AO116" i="18"/>
  <c r="AM116" i="18"/>
  <c r="AK116" i="18"/>
  <c r="AI116" i="18"/>
  <c r="AA116" i="18"/>
  <c r="Y116" i="18"/>
  <c r="W116" i="18"/>
  <c r="U116" i="18"/>
  <c r="S116" i="18"/>
  <c r="Q116" i="18"/>
  <c r="O116" i="18"/>
  <c r="M116" i="18"/>
  <c r="K116" i="18"/>
  <c r="G116" i="18"/>
  <c r="I116" i="18" s="1"/>
  <c r="BB115" i="18"/>
  <c r="AX115" i="18"/>
  <c r="AW115" i="18"/>
  <c r="AS115" i="18"/>
  <c r="I115" i="18"/>
  <c r="BB114" i="18"/>
  <c r="AX114" i="18"/>
  <c r="AW114" i="18"/>
  <c r="AS114" i="18"/>
  <c r="I114" i="18"/>
  <c r="BB113" i="18"/>
  <c r="AX113" i="18"/>
  <c r="AW113" i="18"/>
  <c r="AS113" i="18"/>
  <c r="I113" i="18"/>
  <c r="BB112" i="18"/>
  <c r="AX112" i="18"/>
  <c r="AW112" i="18"/>
  <c r="AS112" i="18"/>
  <c r="I112" i="18"/>
  <c r="BB111" i="18"/>
  <c r="AX111" i="18"/>
  <c r="AW111" i="18"/>
  <c r="AS111" i="18"/>
  <c r="I111" i="18"/>
  <c r="BB110" i="18"/>
  <c r="AX110" i="18"/>
  <c r="AW110" i="18"/>
  <c r="AS110" i="18"/>
  <c r="I110" i="18"/>
  <c r="BB109" i="18"/>
  <c r="AX109" i="18"/>
  <c r="AW109" i="18"/>
  <c r="AS109" i="18"/>
  <c r="I109" i="18"/>
  <c r="BB108" i="18"/>
  <c r="AX108" i="18"/>
  <c r="AW108" i="18"/>
  <c r="AS108" i="18"/>
  <c r="I108" i="18"/>
  <c r="BB107" i="18"/>
  <c r="AX107" i="18"/>
  <c r="AW107" i="18"/>
  <c r="AS107" i="18"/>
  <c r="I107" i="18"/>
  <c r="BB106" i="18"/>
  <c r="AX106" i="18"/>
  <c r="AW106" i="18"/>
  <c r="AS106" i="18"/>
  <c r="I106" i="18"/>
  <c r="BB105" i="18"/>
  <c r="AX105" i="18"/>
  <c r="AW105" i="18"/>
  <c r="AS105" i="18"/>
  <c r="I105" i="18"/>
  <c r="BB104" i="18"/>
  <c r="AX104" i="18"/>
  <c r="AW104" i="18"/>
  <c r="AS104" i="18"/>
  <c r="I104" i="18"/>
  <c r="BB103" i="18"/>
  <c r="AX103" i="18"/>
  <c r="AW103" i="18"/>
  <c r="AS103" i="18"/>
  <c r="I103" i="18"/>
  <c r="BB102" i="18"/>
  <c r="AX102" i="18"/>
  <c r="AW102" i="18"/>
  <c r="AS102" i="18"/>
  <c r="I102" i="18"/>
  <c r="BB101" i="18"/>
  <c r="AX101" i="18"/>
  <c r="AW101" i="18"/>
  <c r="AS101" i="18"/>
  <c r="I101" i="18"/>
  <c r="BB100" i="18"/>
  <c r="AX100" i="18"/>
  <c r="AW100" i="18"/>
  <c r="AS100" i="18"/>
  <c r="I100" i="18"/>
  <c r="BB99" i="18"/>
  <c r="AX99" i="18"/>
  <c r="AW99" i="18"/>
  <c r="AS99" i="18"/>
  <c r="I99" i="18"/>
  <c r="BB98" i="18"/>
  <c r="AX98" i="18"/>
  <c r="AW98" i="18"/>
  <c r="AS98" i="18"/>
  <c r="I98" i="18"/>
  <c r="BB97" i="18"/>
  <c r="AX97" i="18"/>
  <c r="AW97" i="18"/>
  <c r="AS97" i="18"/>
  <c r="I97" i="18"/>
  <c r="BB96" i="18"/>
  <c r="AX96" i="18"/>
  <c r="AW96" i="18"/>
  <c r="AS96" i="18"/>
  <c r="I96" i="18"/>
  <c r="BB95" i="18"/>
  <c r="AX95" i="18"/>
  <c r="AW95" i="18"/>
  <c r="AS95" i="18"/>
  <c r="I95" i="18"/>
  <c r="BB94" i="18"/>
  <c r="AX94" i="18"/>
  <c r="AW94" i="18"/>
  <c r="AS94" i="18"/>
  <c r="I94" i="18"/>
  <c r="BB93" i="18"/>
  <c r="AX93" i="18"/>
  <c r="AW93" i="18"/>
  <c r="AS93" i="18"/>
  <c r="I93" i="18"/>
  <c r="BB92" i="18"/>
  <c r="AX92" i="18"/>
  <c r="AW92" i="18"/>
  <c r="AS92" i="18"/>
  <c r="I92" i="18"/>
  <c r="BB91" i="18"/>
  <c r="AX91" i="18"/>
  <c r="AW91" i="18"/>
  <c r="AS91" i="18"/>
  <c r="I91" i="18"/>
  <c r="BB90" i="18"/>
  <c r="AX90" i="18"/>
  <c r="AW90" i="18"/>
  <c r="AS90" i="18"/>
  <c r="I90" i="18"/>
  <c r="BB89" i="18"/>
  <c r="AX89" i="18"/>
  <c r="AW89" i="18"/>
  <c r="AS89" i="18"/>
  <c r="I89" i="18"/>
  <c r="BB88" i="18"/>
  <c r="AX88" i="18"/>
  <c r="AW88" i="18"/>
  <c r="AS88" i="18"/>
  <c r="I88" i="18"/>
  <c r="BB87" i="18"/>
  <c r="AX87" i="18"/>
  <c r="AW87" i="18"/>
  <c r="AS87" i="18"/>
  <c r="I87" i="18"/>
  <c r="AY87" i="18" s="1"/>
  <c r="BB86" i="18"/>
  <c r="AX86" i="18"/>
  <c r="AW86" i="18"/>
  <c r="AS86" i="18"/>
  <c r="I86" i="18"/>
  <c r="AY86" i="18" s="1"/>
  <c r="BB85" i="18"/>
  <c r="AX85" i="18"/>
  <c r="AW85" i="18"/>
  <c r="AS85" i="18"/>
  <c r="I85" i="18"/>
  <c r="BB84" i="18"/>
  <c r="AX84" i="18"/>
  <c r="AW84" i="18"/>
  <c r="AS84" i="18"/>
  <c r="I84" i="18"/>
  <c r="BB83" i="18"/>
  <c r="AX83" i="18"/>
  <c r="AW83" i="18"/>
  <c r="AS83" i="18"/>
  <c r="I83" i="18"/>
  <c r="BB82" i="18"/>
  <c r="AX82" i="18"/>
  <c r="AW82" i="18"/>
  <c r="AS82" i="18"/>
  <c r="I82" i="18"/>
  <c r="BB81" i="18"/>
  <c r="AX81" i="18"/>
  <c r="AW81" i="18"/>
  <c r="AS81" i="18"/>
  <c r="I81" i="18"/>
  <c r="BB80" i="18"/>
  <c r="AX80" i="18"/>
  <c r="AW80" i="18"/>
  <c r="AS80" i="18"/>
  <c r="I80" i="18"/>
  <c r="BB79" i="18"/>
  <c r="AX79" i="18"/>
  <c r="AW79" i="18"/>
  <c r="AS79" i="18"/>
  <c r="I79" i="18"/>
  <c r="AY79" i="18" s="1"/>
  <c r="BB78" i="18"/>
  <c r="AX78" i="18"/>
  <c r="AW78" i="18"/>
  <c r="AS78" i="18"/>
  <c r="I78" i="18"/>
  <c r="BB77" i="18"/>
  <c r="AX77" i="18"/>
  <c r="AW77" i="18"/>
  <c r="AS77" i="18"/>
  <c r="I77" i="18"/>
  <c r="BB76" i="18"/>
  <c r="AX76" i="18"/>
  <c r="AW76" i="18"/>
  <c r="AS76" i="18"/>
  <c r="I76" i="18"/>
  <c r="BB75" i="18"/>
  <c r="AX75" i="18"/>
  <c r="AW75" i="18"/>
  <c r="AS75" i="18"/>
  <c r="I75" i="18"/>
  <c r="AY75" i="18" s="1"/>
  <c r="BB74" i="18"/>
  <c r="AX74" i="18"/>
  <c r="AW74" i="18"/>
  <c r="AS74" i="18"/>
  <c r="I74" i="18"/>
  <c r="BB73" i="18"/>
  <c r="AX73" i="18"/>
  <c r="AW73" i="18"/>
  <c r="AS73" i="18"/>
  <c r="I73" i="18"/>
  <c r="BB72" i="18"/>
  <c r="AX72" i="18"/>
  <c r="AW72" i="18"/>
  <c r="AS72" i="18"/>
  <c r="I72" i="18"/>
  <c r="BB71" i="18"/>
  <c r="AX71" i="18"/>
  <c r="AW71" i="18"/>
  <c r="AS71" i="18"/>
  <c r="I71" i="18"/>
  <c r="BB70" i="18"/>
  <c r="AX70" i="18"/>
  <c r="AW70" i="18"/>
  <c r="AS70" i="18"/>
  <c r="I70" i="18"/>
  <c r="BB69" i="18"/>
  <c r="AX69" i="18"/>
  <c r="AW69" i="18"/>
  <c r="AS69" i="18"/>
  <c r="I69" i="18"/>
  <c r="BB68" i="18"/>
  <c r="AX68" i="18"/>
  <c r="AW68" i="18"/>
  <c r="AS68" i="18"/>
  <c r="I68" i="18"/>
  <c r="BB67" i="18"/>
  <c r="AX67" i="18"/>
  <c r="AW67" i="18"/>
  <c r="AS67" i="18"/>
  <c r="I67" i="18"/>
  <c r="BB66" i="18"/>
  <c r="AX66" i="18"/>
  <c r="AW66" i="18"/>
  <c r="AS66" i="18"/>
  <c r="I66" i="18"/>
  <c r="BB65" i="18"/>
  <c r="AX65" i="18"/>
  <c r="AW65" i="18"/>
  <c r="AS65" i="18"/>
  <c r="I65" i="18"/>
  <c r="BB64" i="18"/>
  <c r="AX64" i="18"/>
  <c r="AW64" i="18"/>
  <c r="AS64" i="18"/>
  <c r="I64" i="18"/>
  <c r="BB63" i="18"/>
  <c r="AX63" i="18"/>
  <c r="AW63" i="18"/>
  <c r="AS63" i="18"/>
  <c r="I63" i="18"/>
  <c r="BB62" i="18"/>
  <c r="AX62" i="18"/>
  <c r="AW62" i="18"/>
  <c r="AS62" i="18"/>
  <c r="I62" i="18"/>
  <c r="AY62" i="18" s="1"/>
  <c r="AX61" i="18"/>
  <c r="AW61" i="18"/>
  <c r="AS61" i="18"/>
  <c r="I61" i="18"/>
  <c r="AX60" i="18"/>
  <c r="AW60" i="18"/>
  <c r="AS60" i="18"/>
  <c r="I60" i="18"/>
  <c r="AX59" i="18"/>
  <c r="AW59" i="18"/>
  <c r="AS59" i="18"/>
  <c r="I59" i="18"/>
  <c r="BB58" i="18"/>
  <c r="AX58" i="18"/>
  <c r="AW58" i="18"/>
  <c r="AS58" i="18"/>
  <c r="I58" i="18"/>
  <c r="BB57" i="18"/>
  <c r="AX57" i="18"/>
  <c r="AW57" i="18"/>
  <c r="AS57" i="18"/>
  <c r="I57" i="18"/>
  <c r="BB56" i="18"/>
  <c r="AX56" i="18"/>
  <c r="AW56" i="18"/>
  <c r="AS56" i="18"/>
  <c r="I56" i="18"/>
  <c r="BB55" i="18"/>
  <c r="AX55" i="18"/>
  <c r="AW55" i="18"/>
  <c r="AS55" i="18"/>
  <c r="I55" i="18"/>
  <c r="BB54" i="18"/>
  <c r="AX54" i="18"/>
  <c r="AW54" i="18"/>
  <c r="AS54" i="18"/>
  <c r="I54" i="18"/>
  <c r="BB53" i="18"/>
  <c r="AX53" i="18"/>
  <c r="AW53" i="18"/>
  <c r="AS53" i="18"/>
  <c r="I53" i="18"/>
  <c r="BB52" i="18"/>
  <c r="AX52" i="18"/>
  <c r="AW52" i="18"/>
  <c r="AS52" i="18"/>
  <c r="I52" i="18"/>
  <c r="BB51" i="18"/>
  <c r="AX51" i="18"/>
  <c r="AW51" i="18"/>
  <c r="AS51" i="18"/>
  <c r="I51" i="18"/>
  <c r="BB50" i="18"/>
  <c r="AX50" i="18"/>
  <c r="AW50" i="18"/>
  <c r="AS50" i="18"/>
  <c r="I50" i="18"/>
  <c r="BB49" i="18"/>
  <c r="AX49" i="18"/>
  <c r="AW49" i="18"/>
  <c r="AS49" i="18"/>
  <c r="I49" i="18"/>
  <c r="BB48" i="18"/>
  <c r="AX48" i="18"/>
  <c r="AW48" i="18"/>
  <c r="AS48" i="18"/>
  <c r="I48" i="18"/>
  <c r="BB47" i="18"/>
  <c r="AX47" i="18"/>
  <c r="AW47" i="18"/>
  <c r="AS47" i="18"/>
  <c r="I47" i="18"/>
  <c r="BB46" i="18"/>
  <c r="AX46" i="18"/>
  <c r="AW46" i="18"/>
  <c r="AS46" i="18"/>
  <c r="I46" i="18"/>
  <c r="BB45" i="18"/>
  <c r="AX45" i="18"/>
  <c r="AW45" i="18"/>
  <c r="AS45" i="18"/>
  <c r="I45" i="18"/>
  <c r="BB44" i="18"/>
  <c r="AX44" i="18"/>
  <c r="AW44" i="18"/>
  <c r="AS44" i="18"/>
  <c r="I44" i="18"/>
  <c r="BB43" i="18"/>
  <c r="AX43" i="18"/>
  <c r="AW43" i="18"/>
  <c r="AS43" i="18"/>
  <c r="I43" i="18"/>
  <c r="BB42" i="18"/>
  <c r="AX42" i="18"/>
  <c r="AW42" i="18"/>
  <c r="AS42" i="18"/>
  <c r="I42" i="18"/>
  <c r="BB41" i="18"/>
  <c r="AX41" i="18"/>
  <c r="AW41" i="18"/>
  <c r="AS41" i="18"/>
  <c r="I41" i="18"/>
  <c r="BB40" i="18"/>
  <c r="AX40" i="18"/>
  <c r="AW40" i="18"/>
  <c r="AS40" i="18"/>
  <c r="I40" i="18"/>
  <c r="BB39" i="18"/>
  <c r="AX39" i="18"/>
  <c r="AW39" i="18"/>
  <c r="AS39" i="18"/>
  <c r="I39" i="18"/>
  <c r="BB38" i="18"/>
  <c r="AX38" i="18"/>
  <c r="AW38" i="18"/>
  <c r="AS38" i="18"/>
  <c r="I38" i="18"/>
  <c r="BB37" i="18"/>
  <c r="AX37" i="18"/>
  <c r="AW37" i="18"/>
  <c r="AS37" i="18"/>
  <c r="I37" i="18"/>
  <c r="BB36" i="18"/>
  <c r="AX36" i="18"/>
  <c r="AW36" i="18"/>
  <c r="AS36" i="18"/>
  <c r="I36" i="18"/>
  <c r="BB35" i="18"/>
  <c r="AX35" i="18"/>
  <c r="AW35" i="18"/>
  <c r="AS35" i="18"/>
  <c r="I35" i="18"/>
  <c r="BB34" i="18"/>
  <c r="AX34" i="18"/>
  <c r="AW34" i="18"/>
  <c r="AS34" i="18"/>
  <c r="I34" i="18"/>
  <c r="BB33" i="18"/>
  <c r="AX33" i="18"/>
  <c r="AW33" i="18"/>
  <c r="AS33" i="18"/>
  <c r="I33" i="18"/>
  <c r="BB32" i="18"/>
  <c r="AX32" i="18"/>
  <c r="AW32" i="18"/>
  <c r="AS32" i="18"/>
  <c r="I32" i="18"/>
  <c r="BB31" i="18"/>
  <c r="AX31" i="18"/>
  <c r="AW31" i="18"/>
  <c r="AS31" i="18"/>
  <c r="I31" i="18"/>
  <c r="AX30" i="18"/>
  <c r="AW30" i="18"/>
  <c r="AS30" i="18"/>
  <c r="I30" i="18"/>
  <c r="AY30" i="18" s="1"/>
  <c r="BB29" i="18"/>
  <c r="AX29" i="18"/>
  <c r="AW29" i="18"/>
  <c r="AS29" i="18"/>
  <c r="I29" i="18"/>
  <c r="AX28" i="18"/>
  <c r="AW28" i="18"/>
  <c r="AS28" i="18"/>
  <c r="I28" i="18"/>
  <c r="AX27" i="18"/>
  <c r="AW27" i="18"/>
  <c r="AS27" i="18"/>
  <c r="I27" i="18"/>
  <c r="AX26" i="18"/>
  <c r="AW26" i="18"/>
  <c r="AS26" i="18"/>
  <c r="I26" i="18"/>
  <c r="BB25" i="18"/>
  <c r="AX25" i="18"/>
  <c r="AW25" i="18"/>
  <c r="AS25" i="18"/>
  <c r="I25" i="18"/>
  <c r="BB24" i="18"/>
  <c r="AW24" i="18"/>
  <c r="AS24" i="18"/>
  <c r="I24" i="18"/>
  <c r="BB23" i="18"/>
  <c r="AW23" i="18"/>
  <c r="AS23" i="18"/>
  <c r="I23" i="18"/>
  <c r="BB22" i="18"/>
  <c r="AX22" i="18"/>
  <c r="AW22" i="18"/>
  <c r="AS22" i="18"/>
  <c r="I22" i="18"/>
  <c r="BB21" i="18"/>
  <c r="AX21" i="18"/>
  <c r="AW21" i="18"/>
  <c r="AS21" i="18"/>
  <c r="I21" i="18"/>
  <c r="BB20" i="18"/>
  <c r="AX20" i="18"/>
  <c r="AW20" i="18"/>
  <c r="AS20" i="18"/>
  <c r="I20" i="18"/>
  <c r="BB19" i="18"/>
  <c r="AX19" i="18"/>
  <c r="AW19" i="18"/>
  <c r="AS19" i="18"/>
  <c r="I19" i="18"/>
  <c r="BB18" i="18"/>
  <c r="AX18" i="18"/>
  <c r="AW18" i="18"/>
  <c r="AS18" i="18"/>
  <c r="I18" i="18"/>
  <c r="BB17" i="18"/>
  <c r="AX17" i="18"/>
  <c r="AW17" i="18"/>
  <c r="AS17" i="18"/>
  <c r="I17" i="18"/>
  <c r="BB16" i="18"/>
  <c r="AX16" i="18"/>
  <c r="AW16" i="18"/>
  <c r="AS16" i="18"/>
  <c r="I16" i="18"/>
  <c r="BB15" i="18"/>
  <c r="AX15" i="18"/>
  <c r="AW15" i="18"/>
  <c r="AS15" i="18"/>
  <c r="I15" i="18"/>
  <c r="BB14" i="18"/>
  <c r="AX14" i="18"/>
  <c r="AW14" i="18"/>
  <c r="AS14" i="18"/>
  <c r="I14" i="18"/>
  <c r="AW13" i="18"/>
  <c r="AS13" i="18"/>
  <c r="I13" i="18"/>
  <c r="H13" i="18"/>
  <c r="H27" i="18" s="1"/>
  <c r="J27" i="18" s="1"/>
  <c r="AP13" i="18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AY32" i="18" l="1"/>
  <c r="AY108" i="18"/>
  <c r="AY104" i="18"/>
  <c r="AY29" i="18"/>
  <c r="AG116" i="18"/>
  <c r="AY20" i="18"/>
  <c r="AY16" i="18"/>
  <c r="AY68" i="18"/>
  <c r="AY48" i="18"/>
  <c r="AY100" i="18"/>
  <c r="AY112" i="18"/>
  <c r="AF36" i="18"/>
  <c r="AF68" i="18"/>
  <c r="AY81" i="18"/>
  <c r="AY21" i="18"/>
  <c r="AF62" i="18"/>
  <c r="AF94" i="18"/>
  <c r="AF100" i="18"/>
  <c r="AF109" i="18"/>
  <c r="AY18" i="18"/>
  <c r="AY22" i="18"/>
  <c r="AY80" i="18"/>
  <c r="AY84" i="18"/>
  <c r="AY88" i="18"/>
  <c r="AY92" i="18"/>
  <c r="AY96" i="18"/>
  <c r="AF28" i="18"/>
  <c r="AF60" i="18"/>
  <c r="AF92" i="18"/>
  <c r="AF38" i="18"/>
  <c r="AF70" i="18"/>
  <c r="AF102" i="18"/>
  <c r="AY36" i="18"/>
  <c r="AY66" i="18"/>
  <c r="AF44" i="18"/>
  <c r="AF76" i="18"/>
  <c r="AF108" i="18"/>
  <c r="H15" i="18"/>
  <c r="J15" i="18" s="1"/>
  <c r="H45" i="18"/>
  <c r="J45" i="18" s="1"/>
  <c r="AY102" i="18"/>
  <c r="AF14" i="18"/>
  <c r="AF46" i="18"/>
  <c r="AF78" i="18"/>
  <c r="AF110" i="18"/>
  <c r="AY19" i="18"/>
  <c r="AY23" i="18"/>
  <c r="AY93" i="18"/>
  <c r="AY110" i="18"/>
  <c r="AF20" i="18"/>
  <c r="AF52" i="18"/>
  <c r="AF84" i="18"/>
  <c r="AY14" i="18"/>
  <c r="AY40" i="18"/>
  <c r="AY44" i="18"/>
  <c r="AY53" i="18"/>
  <c r="AY57" i="18"/>
  <c r="AY72" i="18"/>
  <c r="AF22" i="18"/>
  <c r="AF54" i="18"/>
  <c r="AF86" i="18"/>
  <c r="AV24" i="18"/>
  <c r="AX24" i="18" s="1"/>
  <c r="AX13" i="18"/>
  <c r="H19" i="18"/>
  <c r="J19" i="18" s="1"/>
  <c r="H20" i="18"/>
  <c r="J20" i="18" s="1"/>
  <c r="AY43" i="18"/>
  <c r="H60" i="18"/>
  <c r="J60" i="18" s="1"/>
  <c r="AY69" i="18"/>
  <c r="AY105" i="18"/>
  <c r="AF15" i="18"/>
  <c r="AF23" i="18"/>
  <c r="AF31" i="18"/>
  <c r="AF39" i="18"/>
  <c r="AF47" i="18"/>
  <c r="AF55" i="18"/>
  <c r="AF63" i="18"/>
  <c r="AF71" i="18"/>
  <c r="AF79" i="18"/>
  <c r="AF87" i="18"/>
  <c r="AF95" i="18"/>
  <c r="AF103" i="18"/>
  <c r="AF111" i="18"/>
  <c r="AS116" i="18"/>
  <c r="H37" i="18"/>
  <c r="J37" i="18" s="1"/>
  <c r="AY95" i="18"/>
  <c r="AY109" i="18"/>
  <c r="AF16" i="18"/>
  <c r="AF24" i="18"/>
  <c r="AF32" i="18"/>
  <c r="AF40" i="18"/>
  <c r="AF48" i="18"/>
  <c r="AF56" i="18"/>
  <c r="AF64" i="18"/>
  <c r="AF72" i="18"/>
  <c r="AF80" i="18"/>
  <c r="AF88" i="18"/>
  <c r="AF96" i="18"/>
  <c r="AF104" i="18"/>
  <c r="AF112" i="18"/>
  <c r="AY25" i="18"/>
  <c r="AY28" i="18"/>
  <c r="AY31" i="18"/>
  <c r="AY47" i="18"/>
  <c r="AF17" i="18"/>
  <c r="AF25" i="18"/>
  <c r="AF33" i="18"/>
  <c r="AF41" i="18"/>
  <c r="AF49" i="18"/>
  <c r="AF57" i="18"/>
  <c r="AF65" i="18"/>
  <c r="AF73" i="18"/>
  <c r="AF81" i="18"/>
  <c r="AF89" i="18"/>
  <c r="AF97" i="18"/>
  <c r="AF105" i="18"/>
  <c r="AF113" i="18"/>
  <c r="H24" i="18"/>
  <c r="J24" i="18" s="1"/>
  <c r="AY26" i="18"/>
  <c r="H41" i="18"/>
  <c r="J41" i="18" s="1"/>
  <c r="AY55" i="18"/>
  <c r="AY76" i="18"/>
  <c r="AY94" i="18"/>
  <c r="AF18" i="18"/>
  <c r="AF26" i="18"/>
  <c r="AF34" i="18"/>
  <c r="AF42" i="18"/>
  <c r="AF50" i="18"/>
  <c r="AF58" i="18"/>
  <c r="AF66" i="18"/>
  <c r="AF74" i="18"/>
  <c r="AF82" i="18"/>
  <c r="AF90" i="18"/>
  <c r="AF98" i="18"/>
  <c r="AF106" i="18"/>
  <c r="AF114" i="18"/>
  <c r="H33" i="18"/>
  <c r="J33" i="18" s="1"/>
  <c r="H16" i="18"/>
  <c r="J16" i="18" s="1"/>
  <c r="H23" i="18"/>
  <c r="J23" i="18" s="1"/>
  <c r="AY35" i="18"/>
  <c r="AY67" i="18"/>
  <c r="AY77" i="18"/>
  <c r="AY89" i="18"/>
  <c r="AF19" i="18"/>
  <c r="AF27" i="18"/>
  <c r="AF35" i="18"/>
  <c r="AF43" i="18"/>
  <c r="AF51" i="18"/>
  <c r="AF59" i="18"/>
  <c r="AF67" i="18"/>
  <c r="AF75" i="18"/>
  <c r="AF83" i="18"/>
  <c r="AF91" i="18"/>
  <c r="AF99" i="18"/>
  <c r="AF107" i="18"/>
  <c r="AF115" i="18"/>
  <c r="AY15" i="18"/>
  <c r="AY24" i="18"/>
  <c r="AY34" i="18"/>
  <c r="AY39" i="18"/>
  <c r="AY54" i="18"/>
  <c r="AY58" i="18"/>
  <c r="AY61" i="18"/>
  <c r="AY65" i="18"/>
  <c r="AY83" i="18"/>
  <c r="AY106" i="18"/>
  <c r="AY115" i="18"/>
  <c r="AF21" i="18"/>
  <c r="AF29" i="18"/>
  <c r="AF37" i="18"/>
  <c r="AF45" i="18"/>
  <c r="AF53" i="18"/>
  <c r="AF61" i="18"/>
  <c r="AF69" i="18"/>
  <c r="AF77" i="18"/>
  <c r="AF85" i="18"/>
  <c r="AF93" i="18"/>
  <c r="AF101" i="18"/>
  <c r="Z13" i="18"/>
  <c r="V13" i="18"/>
  <c r="N13" i="18"/>
  <c r="AP113" i="18"/>
  <c r="AP109" i="18"/>
  <c r="AP105" i="18"/>
  <c r="AP101" i="18"/>
  <c r="AP97" i="18"/>
  <c r="AP93" i="18"/>
  <c r="AP89" i="18"/>
  <c r="AP85" i="18"/>
  <c r="AP112" i="18"/>
  <c r="AP108" i="18"/>
  <c r="AP104" i="18"/>
  <c r="AP100" i="18"/>
  <c r="AP96" i="18"/>
  <c r="AP92" i="18"/>
  <c r="AP88" i="18"/>
  <c r="AP114" i="18"/>
  <c r="AP110" i="18"/>
  <c r="AP106" i="18"/>
  <c r="AP102" i="18"/>
  <c r="AP98" i="18"/>
  <c r="AP94" i="18"/>
  <c r="AP90" i="18"/>
  <c r="AP86" i="18"/>
  <c r="AP91" i="18"/>
  <c r="AP82" i="18"/>
  <c r="AP78" i="18"/>
  <c r="AP74" i="18"/>
  <c r="AP70" i="18"/>
  <c r="AP87" i="18"/>
  <c r="AP81" i="18"/>
  <c r="AP77" i="18"/>
  <c r="AP73" i="18"/>
  <c r="AP69" i="18"/>
  <c r="AP103" i="18"/>
  <c r="AP99" i="18"/>
  <c r="AP107" i="18"/>
  <c r="AP84" i="18"/>
  <c r="AP80" i="18"/>
  <c r="AP111" i="18"/>
  <c r="AP72" i="18"/>
  <c r="AP68" i="18"/>
  <c r="AP67" i="18"/>
  <c r="AP63" i="18"/>
  <c r="AP59" i="18"/>
  <c r="AP55" i="18"/>
  <c r="AP71" i="18"/>
  <c r="AP79" i="18"/>
  <c r="AP75" i="18"/>
  <c r="AP66" i="18"/>
  <c r="AP62" i="18"/>
  <c r="AP58" i="18"/>
  <c r="AP54" i="18"/>
  <c r="AP95" i="18"/>
  <c r="AP83" i="18"/>
  <c r="AP64" i="18"/>
  <c r="AP60" i="18"/>
  <c r="AP76" i="18"/>
  <c r="AP50" i="18"/>
  <c r="AP46" i="18"/>
  <c r="AP42" i="18"/>
  <c r="AP38" i="18"/>
  <c r="AP34" i="18"/>
  <c r="AP30" i="18"/>
  <c r="AP61" i="18"/>
  <c r="AP49" i="18"/>
  <c r="AP45" i="18"/>
  <c r="AP41" i="18"/>
  <c r="AP37" i="18"/>
  <c r="AP33" i="18"/>
  <c r="AP29" i="18"/>
  <c r="AP57" i="18"/>
  <c r="AP56" i="18"/>
  <c r="AP53" i="18"/>
  <c r="AP52" i="18"/>
  <c r="AP51" i="18"/>
  <c r="AP48" i="18"/>
  <c r="AP44" i="18"/>
  <c r="AP40" i="18"/>
  <c r="AP36" i="18"/>
  <c r="AP32" i="18"/>
  <c r="AP115" i="18"/>
  <c r="AP65" i="18"/>
  <c r="AP24" i="18"/>
  <c r="AP27" i="18"/>
  <c r="AP20" i="18"/>
  <c r="AP43" i="18"/>
  <c r="AP35" i="18"/>
  <c r="AP26" i="18"/>
  <c r="AP23" i="18"/>
  <c r="AP19" i="18"/>
  <c r="AP22" i="18"/>
  <c r="P13" i="18"/>
  <c r="AW116" i="18"/>
  <c r="AP28" i="18"/>
  <c r="T13" i="18"/>
  <c r="AP18" i="18"/>
  <c r="AP25" i="18"/>
  <c r="AY27" i="18"/>
  <c r="AP39" i="18"/>
  <c r="AY17" i="18"/>
  <c r="AR13" i="18"/>
  <c r="AN13" i="18"/>
  <c r="AJ13" i="18"/>
  <c r="AP17" i="18"/>
  <c r="AP21" i="18"/>
  <c r="AP31" i="18"/>
  <c r="AY13" i="18"/>
  <c r="AL13" i="18"/>
  <c r="AP14" i="18"/>
  <c r="AP15" i="18"/>
  <c r="AP16" i="18"/>
  <c r="AV23" i="18"/>
  <c r="AP47" i="18"/>
  <c r="H26" i="18"/>
  <c r="J26" i="18" s="1"/>
  <c r="AY38" i="18"/>
  <c r="AY42" i="18"/>
  <c r="H49" i="18"/>
  <c r="J49" i="18" s="1"/>
  <c r="AY50" i="18"/>
  <c r="H52" i="18"/>
  <c r="J52" i="18" s="1"/>
  <c r="H80" i="18"/>
  <c r="J80" i="18" s="1"/>
  <c r="AY33" i="18"/>
  <c r="AY41" i="18"/>
  <c r="AY49" i="18"/>
  <c r="H114" i="18"/>
  <c r="J114" i="18" s="1"/>
  <c r="H110" i="18"/>
  <c r="J110" i="18" s="1"/>
  <c r="H106" i="18"/>
  <c r="J106" i="18" s="1"/>
  <c r="H102" i="18"/>
  <c r="J102" i="18" s="1"/>
  <c r="H98" i="18"/>
  <c r="J98" i="18" s="1"/>
  <c r="H94" i="18"/>
  <c r="J94" i="18" s="1"/>
  <c r="H90" i="18"/>
  <c r="J90" i="18" s="1"/>
  <c r="H86" i="18"/>
  <c r="J86" i="18" s="1"/>
  <c r="H112" i="18"/>
  <c r="J112" i="18" s="1"/>
  <c r="H108" i="18"/>
  <c r="J108" i="18" s="1"/>
  <c r="H104" i="18"/>
  <c r="J104" i="18" s="1"/>
  <c r="H109" i="18"/>
  <c r="J109" i="18" s="1"/>
  <c r="H92" i="18"/>
  <c r="J92" i="18" s="1"/>
  <c r="H89" i="18"/>
  <c r="J89" i="18" s="1"/>
  <c r="H83" i="18"/>
  <c r="J83" i="18" s="1"/>
  <c r="H79" i="18"/>
  <c r="J79" i="18" s="1"/>
  <c r="H113" i="18"/>
  <c r="J113" i="18" s="1"/>
  <c r="H91" i="18"/>
  <c r="J91" i="18" s="1"/>
  <c r="H101" i="18"/>
  <c r="J101" i="18" s="1"/>
  <c r="H88" i="18"/>
  <c r="J88" i="18" s="1"/>
  <c r="H82" i="18"/>
  <c r="J82" i="18" s="1"/>
  <c r="H78" i="18"/>
  <c r="J78" i="18" s="1"/>
  <c r="H74" i="18"/>
  <c r="J74" i="18" s="1"/>
  <c r="H70" i="18"/>
  <c r="J70" i="18" s="1"/>
  <c r="H103" i="18"/>
  <c r="J103" i="18" s="1"/>
  <c r="H87" i="18"/>
  <c r="J87" i="18" s="1"/>
  <c r="H107" i="18"/>
  <c r="J107" i="18" s="1"/>
  <c r="H100" i="18"/>
  <c r="J100" i="18" s="1"/>
  <c r="H97" i="18"/>
  <c r="J97" i="18" s="1"/>
  <c r="H85" i="18"/>
  <c r="J85" i="18" s="1"/>
  <c r="H81" i="18"/>
  <c r="J81" i="18" s="1"/>
  <c r="H77" i="18"/>
  <c r="J77" i="18" s="1"/>
  <c r="H73" i="18"/>
  <c r="J73" i="18" s="1"/>
  <c r="H69" i="18"/>
  <c r="J69" i="18" s="1"/>
  <c r="H111" i="18"/>
  <c r="J111" i="18" s="1"/>
  <c r="H99" i="18"/>
  <c r="J99" i="18" s="1"/>
  <c r="H84" i="18"/>
  <c r="J84" i="18" s="1"/>
  <c r="H96" i="18"/>
  <c r="J96" i="18" s="1"/>
  <c r="H67" i="18"/>
  <c r="J67" i="18" s="1"/>
  <c r="H63" i="18"/>
  <c r="J63" i="18" s="1"/>
  <c r="H59" i="18"/>
  <c r="J59" i="18" s="1"/>
  <c r="H55" i="18"/>
  <c r="J55" i="18" s="1"/>
  <c r="H51" i="18"/>
  <c r="J51" i="18" s="1"/>
  <c r="H115" i="18"/>
  <c r="J115" i="18" s="1"/>
  <c r="H95" i="18"/>
  <c r="J95" i="18" s="1"/>
  <c r="H93" i="18"/>
  <c r="J93" i="18" s="1"/>
  <c r="H72" i="18"/>
  <c r="J72" i="18" s="1"/>
  <c r="H105" i="18"/>
  <c r="J105" i="18" s="1"/>
  <c r="H75" i="18"/>
  <c r="J75" i="18" s="1"/>
  <c r="H71" i="18"/>
  <c r="J71" i="18" s="1"/>
  <c r="H65" i="18"/>
  <c r="J65" i="18" s="1"/>
  <c r="H61" i="18"/>
  <c r="J61" i="18" s="1"/>
  <c r="H57" i="18"/>
  <c r="J57" i="18" s="1"/>
  <c r="H53" i="18"/>
  <c r="J53" i="18" s="1"/>
  <c r="H47" i="18"/>
  <c r="J47" i="18" s="1"/>
  <c r="H43" i="18"/>
  <c r="J43" i="18" s="1"/>
  <c r="H39" i="18"/>
  <c r="J39" i="18" s="1"/>
  <c r="H35" i="18"/>
  <c r="J35" i="18" s="1"/>
  <c r="H31" i="18"/>
  <c r="J31" i="18" s="1"/>
  <c r="H64" i="18"/>
  <c r="J64" i="18" s="1"/>
  <c r="H68" i="18"/>
  <c r="J68" i="18" s="1"/>
  <c r="H50" i="18"/>
  <c r="J50" i="18" s="1"/>
  <c r="H46" i="18"/>
  <c r="J46" i="18" s="1"/>
  <c r="H42" i="18"/>
  <c r="J42" i="18" s="1"/>
  <c r="H38" i="18"/>
  <c r="J38" i="18" s="1"/>
  <c r="H34" i="18"/>
  <c r="J34" i="18" s="1"/>
  <c r="H30" i="18"/>
  <c r="J30" i="18" s="1"/>
  <c r="H76" i="18"/>
  <c r="J76" i="18" s="1"/>
  <c r="H62" i="18"/>
  <c r="J62" i="18" s="1"/>
  <c r="H66" i="18"/>
  <c r="J66" i="18" s="1"/>
  <c r="H58" i="18"/>
  <c r="J58" i="18" s="1"/>
  <c r="H56" i="18"/>
  <c r="J56" i="18" s="1"/>
  <c r="H54" i="18"/>
  <c r="J54" i="18" s="1"/>
  <c r="H48" i="18"/>
  <c r="J48" i="18" s="1"/>
  <c r="H44" i="18"/>
  <c r="J44" i="18" s="1"/>
  <c r="H40" i="18"/>
  <c r="J40" i="18" s="1"/>
  <c r="H36" i="18"/>
  <c r="J36" i="18" s="1"/>
  <c r="H32" i="18"/>
  <c r="J32" i="18" s="1"/>
  <c r="H17" i="18"/>
  <c r="J17" i="18" s="1"/>
  <c r="H21" i="18"/>
  <c r="J21" i="18" s="1"/>
  <c r="H28" i="18"/>
  <c r="J28" i="18" s="1"/>
  <c r="H29" i="18"/>
  <c r="J29" i="18" s="1"/>
  <c r="AY46" i="18"/>
  <c r="J13" i="18"/>
  <c r="H14" i="18"/>
  <c r="H18" i="18"/>
  <c r="J18" i="18" s="1"/>
  <c r="H22" i="18"/>
  <c r="J22" i="18" s="1"/>
  <c r="H25" i="18"/>
  <c r="J25" i="18" s="1"/>
  <c r="AY37" i="18"/>
  <c r="AY45" i="18"/>
  <c r="AY52" i="18"/>
  <c r="AY60" i="18"/>
  <c r="AY56" i="18"/>
  <c r="AY59" i="18"/>
  <c r="AY63" i="18"/>
  <c r="AY51" i="18"/>
  <c r="AY64" i="18"/>
  <c r="AY82" i="18"/>
  <c r="AY70" i="18"/>
  <c r="AY71" i="18"/>
  <c r="AY74" i="18"/>
  <c r="AY78" i="18"/>
  <c r="AY98" i="18"/>
  <c r="AY99" i="18"/>
  <c r="AY101" i="18"/>
  <c r="AY111" i="18"/>
  <c r="AY85" i="18"/>
  <c r="AY97" i="18"/>
  <c r="AY107" i="18"/>
  <c r="AY114" i="18"/>
  <c r="AY103" i="18"/>
  <c r="AY90" i="18"/>
  <c r="AY91" i="18"/>
  <c r="AY113" i="18"/>
  <c r="AY116" i="18" l="1"/>
  <c r="AF116" i="18"/>
  <c r="X13" i="18"/>
  <c r="X113" i="18" s="1"/>
  <c r="L13" i="18"/>
  <c r="L54" i="18" s="1"/>
  <c r="R13" i="18"/>
  <c r="R115" i="18" s="1"/>
  <c r="AB13" i="18"/>
  <c r="AB96" i="18" s="1"/>
  <c r="V114" i="18"/>
  <c r="V110" i="18"/>
  <c r="V106" i="18"/>
  <c r="V102" i="18"/>
  <c r="V98" i="18"/>
  <c r="V94" i="18"/>
  <c r="V90" i="18"/>
  <c r="V86" i="18"/>
  <c r="V112" i="18"/>
  <c r="V108" i="18"/>
  <c r="V104" i="18"/>
  <c r="V103" i="18"/>
  <c r="V83" i="18"/>
  <c r="V79" i="18"/>
  <c r="V107" i="18"/>
  <c r="V99" i="18"/>
  <c r="V96" i="18"/>
  <c r="V93" i="18"/>
  <c r="V111" i="18"/>
  <c r="V82" i="18"/>
  <c r="V78" i="18"/>
  <c r="V74" i="18"/>
  <c r="V70" i="18"/>
  <c r="V115" i="18"/>
  <c r="V105" i="18"/>
  <c r="V95" i="18"/>
  <c r="V92" i="18"/>
  <c r="V89" i="18"/>
  <c r="V109" i="18"/>
  <c r="V81" i="18"/>
  <c r="V77" i="18"/>
  <c r="V73" i="18"/>
  <c r="V69" i="18"/>
  <c r="V113" i="18"/>
  <c r="V101" i="18"/>
  <c r="V91" i="18"/>
  <c r="V88" i="18"/>
  <c r="V87" i="18"/>
  <c r="V85" i="18"/>
  <c r="V80" i="18"/>
  <c r="V76" i="18"/>
  <c r="V67" i="18"/>
  <c r="V63" i="18"/>
  <c r="V59" i="18"/>
  <c r="V55" i="18"/>
  <c r="V51" i="18"/>
  <c r="V84" i="18"/>
  <c r="V65" i="18"/>
  <c r="V61" i="18"/>
  <c r="V57" i="18"/>
  <c r="V53" i="18"/>
  <c r="V100" i="18"/>
  <c r="V97" i="18"/>
  <c r="V72" i="18"/>
  <c r="V47" i="18"/>
  <c r="V43" i="18"/>
  <c r="V39" i="18"/>
  <c r="V35" i="18"/>
  <c r="V31" i="18"/>
  <c r="V62" i="18"/>
  <c r="V58" i="18"/>
  <c r="V54" i="18"/>
  <c r="V75" i="18"/>
  <c r="V66" i="18"/>
  <c r="V56" i="18"/>
  <c r="V52" i="18"/>
  <c r="V50" i="18"/>
  <c r="V46" i="18"/>
  <c r="V42" i="18"/>
  <c r="V38" i="18"/>
  <c r="V34" i="18"/>
  <c r="V30" i="18"/>
  <c r="V60" i="18"/>
  <c r="V71" i="18"/>
  <c r="V64" i="18"/>
  <c r="V48" i="18"/>
  <c r="V44" i="18"/>
  <c r="V40" i="18"/>
  <c r="V36" i="18"/>
  <c r="V32" i="18"/>
  <c r="V25" i="18"/>
  <c r="V22" i="18"/>
  <c r="V18" i="18"/>
  <c r="V14" i="18"/>
  <c r="V68" i="18"/>
  <c r="V49" i="18"/>
  <c r="V41" i="18"/>
  <c r="V33" i="18"/>
  <c r="V28" i="18"/>
  <c r="V21" i="18"/>
  <c r="V17" i="18"/>
  <c r="V24" i="18"/>
  <c r="V27" i="18"/>
  <c r="V20" i="18"/>
  <c r="V16" i="18"/>
  <c r="V45" i="18"/>
  <c r="V37" i="18"/>
  <c r="V29" i="18"/>
  <c r="V26" i="18"/>
  <c r="V23" i="18"/>
  <c r="V19" i="18"/>
  <c r="V15" i="18"/>
  <c r="Z113" i="18"/>
  <c r="Z109" i="18"/>
  <c r="Z105" i="18"/>
  <c r="Z101" i="18"/>
  <c r="Z97" i="18"/>
  <c r="Z93" i="18"/>
  <c r="Z89" i="18"/>
  <c r="Z115" i="18"/>
  <c r="Z111" i="18"/>
  <c r="Z107" i="18"/>
  <c r="Z103" i="18"/>
  <c r="Z96" i="18"/>
  <c r="Z82" i="18"/>
  <c r="Z78" i="18"/>
  <c r="Z104" i="18"/>
  <c r="Z95" i="18"/>
  <c r="Z94" i="18"/>
  <c r="Z108" i="18"/>
  <c r="Z92" i="18"/>
  <c r="Z81" i="18"/>
  <c r="Z77" i="18"/>
  <c r="Z73" i="18"/>
  <c r="Z69" i="18"/>
  <c r="Z112" i="18"/>
  <c r="Z91" i="18"/>
  <c r="Z90" i="18"/>
  <c r="Z88" i="18"/>
  <c r="Z84" i="18"/>
  <c r="Z80" i="18"/>
  <c r="Z76" i="18"/>
  <c r="Z72" i="18"/>
  <c r="Z106" i="18"/>
  <c r="Z102" i="18"/>
  <c r="Z87" i="18"/>
  <c r="Z86" i="18"/>
  <c r="Z85" i="18"/>
  <c r="Z83" i="18"/>
  <c r="Z114" i="18"/>
  <c r="Z110" i="18"/>
  <c r="Z66" i="18"/>
  <c r="Z62" i="18"/>
  <c r="Z58" i="18"/>
  <c r="Z54" i="18"/>
  <c r="Z100" i="18"/>
  <c r="Z75" i="18"/>
  <c r="Z74" i="18"/>
  <c r="Z71" i="18"/>
  <c r="Z70" i="18"/>
  <c r="Z68" i="18"/>
  <c r="Z64" i="18"/>
  <c r="Z60" i="18"/>
  <c r="Z56" i="18"/>
  <c r="Z52" i="18"/>
  <c r="Z99" i="18"/>
  <c r="Z98" i="18"/>
  <c r="Z59" i="18"/>
  <c r="Z55" i="18"/>
  <c r="Z50" i="18"/>
  <c r="Z46" i="18"/>
  <c r="Z42" i="18"/>
  <c r="Z38" i="18"/>
  <c r="Z34" i="18"/>
  <c r="Z30" i="18"/>
  <c r="Z57" i="18"/>
  <c r="Z53" i="18"/>
  <c r="Z79" i="18"/>
  <c r="Z63" i="18"/>
  <c r="Z51" i="18"/>
  <c r="Z49" i="18"/>
  <c r="Z45" i="18"/>
  <c r="Z41" i="18"/>
  <c r="Z37" i="18"/>
  <c r="Z33" i="18"/>
  <c r="Z29" i="18"/>
  <c r="Z67" i="18"/>
  <c r="Z61" i="18"/>
  <c r="Z47" i="18"/>
  <c r="Z43" i="18"/>
  <c r="Z39" i="18"/>
  <c r="Z35" i="18"/>
  <c r="Z31" i="18"/>
  <c r="Z28" i="18"/>
  <c r="Z21" i="18"/>
  <c r="Z17" i="18"/>
  <c r="Z65" i="18"/>
  <c r="Z44" i="18"/>
  <c r="Z36" i="18"/>
  <c r="Z27" i="18"/>
  <c r="Z20" i="18"/>
  <c r="Z16" i="18"/>
  <c r="Z26" i="18"/>
  <c r="Z23" i="18"/>
  <c r="Z19" i="18"/>
  <c r="Z15" i="18"/>
  <c r="Z48" i="18"/>
  <c r="Z40" i="18"/>
  <c r="Z32" i="18"/>
  <c r="Z25" i="18"/>
  <c r="Z22" i="18"/>
  <c r="Z18" i="18"/>
  <c r="Z14" i="18"/>
  <c r="Z24" i="18"/>
  <c r="AV116" i="18"/>
  <c r="AX23" i="18"/>
  <c r="AX116" i="18" s="1"/>
  <c r="X89" i="18"/>
  <c r="X85" i="18"/>
  <c r="X88" i="18"/>
  <c r="X114" i="18"/>
  <c r="X62" i="18"/>
  <c r="X42" i="18"/>
  <c r="X45" i="18"/>
  <c r="X40" i="18"/>
  <c r="X35" i="18"/>
  <c r="AP116" i="18"/>
  <c r="N112" i="18"/>
  <c r="N108" i="18"/>
  <c r="N104" i="18"/>
  <c r="N100" i="18"/>
  <c r="N96" i="18"/>
  <c r="N92" i="18"/>
  <c r="N88" i="18"/>
  <c r="N114" i="18"/>
  <c r="N110" i="18"/>
  <c r="N106" i="18"/>
  <c r="N101" i="18"/>
  <c r="N87" i="18"/>
  <c r="N81" i="18"/>
  <c r="N77" i="18"/>
  <c r="N103" i="18"/>
  <c r="N98" i="18"/>
  <c r="N85" i="18"/>
  <c r="N107" i="18"/>
  <c r="N99" i="18"/>
  <c r="N97" i="18"/>
  <c r="N84" i="18"/>
  <c r="N80" i="18"/>
  <c r="N76" i="18"/>
  <c r="N72" i="18"/>
  <c r="N111" i="18"/>
  <c r="N94" i="18"/>
  <c r="N115" i="18"/>
  <c r="N95" i="18"/>
  <c r="N93" i="18"/>
  <c r="N83" i="18"/>
  <c r="N79" i="18"/>
  <c r="N75" i="18"/>
  <c r="N71" i="18"/>
  <c r="N105" i="18"/>
  <c r="N90" i="18"/>
  <c r="N73" i="18"/>
  <c r="N69" i="18"/>
  <c r="N113" i="18"/>
  <c r="N86" i="18"/>
  <c r="N65" i="18"/>
  <c r="N61" i="18"/>
  <c r="N57" i="18"/>
  <c r="N53" i="18"/>
  <c r="N109" i="18"/>
  <c r="N91" i="18"/>
  <c r="N82" i="18"/>
  <c r="N68" i="18"/>
  <c r="N89" i="18"/>
  <c r="N67" i="18"/>
  <c r="N63" i="18"/>
  <c r="N59" i="18"/>
  <c r="N55" i="18"/>
  <c r="N51" i="18"/>
  <c r="N49" i="18"/>
  <c r="N45" i="18"/>
  <c r="N41" i="18"/>
  <c r="N37" i="18"/>
  <c r="N33" i="18"/>
  <c r="N29" i="18"/>
  <c r="N78" i="18"/>
  <c r="N48" i="18"/>
  <c r="N44" i="18"/>
  <c r="N40" i="18"/>
  <c r="N36" i="18"/>
  <c r="N32" i="18"/>
  <c r="N102" i="18"/>
  <c r="N74" i="18"/>
  <c r="N62" i="18"/>
  <c r="N56" i="18"/>
  <c r="N70" i="18"/>
  <c r="N64" i="18"/>
  <c r="N50" i="18"/>
  <c r="N46" i="18"/>
  <c r="N42" i="18"/>
  <c r="N38" i="18"/>
  <c r="N34" i="18"/>
  <c r="N30" i="18"/>
  <c r="N60" i="18"/>
  <c r="N27" i="18"/>
  <c r="N20" i="18"/>
  <c r="N16" i="18"/>
  <c r="N66" i="18"/>
  <c r="N58" i="18"/>
  <c r="N47" i="18"/>
  <c r="N39" i="18"/>
  <c r="N31" i="18"/>
  <c r="N26" i="18"/>
  <c r="N23" i="18"/>
  <c r="N19" i="18"/>
  <c r="N15" i="18"/>
  <c r="N54" i="18"/>
  <c r="N52" i="18"/>
  <c r="N25" i="18"/>
  <c r="N22" i="18"/>
  <c r="N18" i="18"/>
  <c r="N14" i="18"/>
  <c r="N43" i="18"/>
  <c r="N35" i="18"/>
  <c r="N28" i="18"/>
  <c r="N21" i="18"/>
  <c r="N17" i="18"/>
  <c r="N24" i="18"/>
  <c r="T114" i="18"/>
  <c r="T110" i="18"/>
  <c r="T106" i="18"/>
  <c r="T102" i="18"/>
  <c r="T98" i="18"/>
  <c r="T94" i="18"/>
  <c r="T90" i="18"/>
  <c r="T86" i="18"/>
  <c r="T113" i="18"/>
  <c r="T109" i="18"/>
  <c r="T105" i="18"/>
  <c r="T101" i="18"/>
  <c r="T97" i="18"/>
  <c r="T93" i="18"/>
  <c r="T89" i="18"/>
  <c r="T85" i="18"/>
  <c r="T115" i="18"/>
  <c r="T111" i="18"/>
  <c r="T107" i="18"/>
  <c r="T103" i="18"/>
  <c r="T99" i="18"/>
  <c r="T95" i="18"/>
  <c r="T91" i="18"/>
  <c r="T87" i="18"/>
  <c r="T100" i="18"/>
  <c r="T83" i="18"/>
  <c r="T79" i="18"/>
  <c r="T75" i="18"/>
  <c r="T71" i="18"/>
  <c r="T104" i="18"/>
  <c r="T96" i="18"/>
  <c r="T108" i="18"/>
  <c r="T82" i="18"/>
  <c r="T78" i="18"/>
  <c r="T74" i="18"/>
  <c r="T70" i="18"/>
  <c r="T112" i="18"/>
  <c r="T92" i="18"/>
  <c r="T81" i="18"/>
  <c r="T68" i="18"/>
  <c r="T64" i="18"/>
  <c r="T60" i="18"/>
  <c r="T56" i="18"/>
  <c r="T80" i="18"/>
  <c r="T77" i="18"/>
  <c r="T76" i="18"/>
  <c r="T67" i="18"/>
  <c r="T63" i="18"/>
  <c r="T59" i="18"/>
  <c r="T55" i="18"/>
  <c r="T51" i="18"/>
  <c r="T73" i="18"/>
  <c r="T69" i="18"/>
  <c r="T88" i="18"/>
  <c r="T84" i="18"/>
  <c r="T65" i="18"/>
  <c r="T61" i="18"/>
  <c r="T47" i="18"/>
  <c r="T43" i="18"/>
  <c r="T39" i="18"/>
  <c r="T35" i="18"/>
  <c r="T31" i="18"/>
  <c r="T62" i="18"/>
  <c r="T58" i="18"/>
  <c r="T54" i="18"/>
  <c r="T66" i="18"/>
  <c r="T57" i="18"/>
  <c r="T53" i="18"/>
  <c r="T52" i="18"/>
  <c r="T50" i="18"/>
  <c r="T46" i="18"/>
  <c r="T42" i="18"/>
  <c r="T38" i="18"/>
  <c r="T34" i="18"/>
  <c r="T30" i="18"/>
  <c r="T49" i="18"/>
  <c r="T45" i="18"/>
  <c r="T41" i="18"/>
  <c r="T37" i="18"/>
  <c r="T33" i="18"/>
  <c r="T29" i="18"/>
  <c r="T28" i="18"/>
  <c r="T21" i="18"/>
  <c r="T72" i="18"/>
  <c r="T44" i="18"/>
  <c r="T36" i="18"/>
  <c r="T24" i="18"/>
  <c r="T27" i="18"/>
  <c r="T20" i="18"/>
  <c r="T25" i="18"/>
  <c r="T48" i="18"/>
  <c r="T18" i="18"/>
  <c r="T32" i="18"/>
  <c r="T22" i="18"/>
  <c r="T26" i="18"/>
  <c r="T19" i="18"/>
  <c r="T23" i="18"/>
  <c r="T40" i="18"/>
  <c r="T16" i="18"/>
  <c r="T15" i="18"/>
  <c r="T14" i="18"/>
  <c r="T17" i="18"/>
  <c r="AL114" i="18"/>
  <c r="AL110" i="18"/>
  <c r="AL106" i="18"/>
  <c r="AL102" i="18"/>
  <c r="AL98" i="18"/>
  <c r="AL94" i="18"/>
  <c r="AL90" i="18"/>
  <c r="AL86" i="18"/>
  <c r="AL113" i="18"/>
  <c r="AL109" i="18"/>
  <c r="AL105" i="18"/>
  <c r="AL101" i="18"/>
  <c r="AL97" i="18"/>
  <c r="AL93" i="18"/>
  <c r="AL89" i="18"/>
  <c r="AL85" i="18"/>
  <c r="AL115" i="18"/>
  <c r="AL111" i="18"/>
  <c r="AL107" i="18"/>
  <c r="AL103" i="18"/>
  <c r="AL99" i="18"/>
  <c r="AL95" i="18"/>
  <c r="AL91" i="18"/>
  <c r="AL87" i="18"/>
  <c r="AL112" i="18"/>
  <c r="AL88" i="18"/>
  <c r="AL83" i="18"/>
  <c r="AL79" i="18"/>
  <c r="AL75" i="18"/>
  <c r="AL71" i="18"/>
  <c r="AL100" i="18"/>
  <c r="AL82" i="18"/>
  <c r="AL78" i="18"/>
  <c r="AL74" i="18"/>
  <c r="AL70" i="18"/>
  <c r="AL96" i="18"/>
  <c r="AL81" i="18"/>
  <c r="AL64" i="18"/>
  <c r="AL60" i="18"/>
  <c r="AL56" i="18"/>
  <c r="AL52" i="18"/>
  <c r="AL104" i="18"/>
  <c r="AL92" i="18"/>
  <c r="AL73" i="18"/>
  <c r="AL69" i="18"/>
  <c r="AL108" i="18"/>
  <c r="AL72" i="18"/>
  <c r="AL68" i="18"/>
  <c r="AL67" i="18"/>
  <c r="AL63" i="18"/>
  <c r="AL59" i="18"/>
  <c r="AL55" i="18"/>
  <c r="AL51" i="18"/>
  <c r="AL84" i="18"/>
  <c r="AL77" i="18"/>
  <c r="AL76" i="18"/>
  <c r="AL65" i="18"/>
  <c r="AL61" i="18"/>
  <c r="AL66" i="18"/>
  <c r="AL80" i="18"/>
  <c r="AL47" i="18"/>
  <c r="AL43" i="18"/>
  <c r="AL39" i="18"/>
  <c r="AL35" i="18"/>
  <c r="AL31" i="18"/>
  <c r="AL50" i="18"/>
  <c r="AL46" i="18"/>
  <c r="AL42" i="18"/>
  <c r="AL38" i="18"/>
  <c r="AL34" i="18"/>
  <c r="AL30" i="18"/>
  <c r="AL49" i="18"/>
  <c r="AL45" i="18"/>
  <c r="AL41" i="18"/>
  <c r="AL37" i="18"/>
  <c r="AL33" i="18"/>
  <c r="AL29" i="18"/>
  <c r="AL58" i="18"/>
  <c r="AL57" i="18"/>
  <c r="AL54" i="18"/>
  <c r="AL53" i="18"/>
  <c r="AL44" i="18"/>
  <c r="AL36" i="18"/>
  <c r="AL62" i="18"/>
  <c r="AL28" i="18"/>
  <c r="AL21" i="18"/>
  <c r="AL48" i="18"/>
  <c r="AL40" i="18"/>
  <c r="AL32" i="18"/>
  <c r="AL24" i="18"/>
  <c r="AL27" i="18"/>
  <c r="AL20" i="18"/>
  <c r="AL22" i="18"/>
  <c r="AL19" i="18"/>
  <c r="AL26" i="18"/>
  <c r="AL16" i="18"/>
  <c r="AL15" i="18"/>
  <c r="AL14" i="18"/>
  <c r="AL23" i="18"/>
  <c r="AL17" i="18"/>
  <c r="AL25" i="18"/>
  <c r="AL18" i="18"/>
  <c r="AJ115" i="18"/>
  <c r="AJ111" i="18"/>
  <c r="AJ107" i="18"/>
  <c r="AJ103" i="18"/>
  <c r="AJ99" i="18"/>
  <c r="AJ95" i="18"/>
  <c r="AJ91" i="18"/>
  <c r="AJ87" i="18"/>
  <c r="AJ113" i="18"/>
  <c r="AJ109" i="18"/>
  <c r="AJ105" i="18"/>
  <c r="AJ108" i="18"/>
  <c r="AJ92" i="18"/>
  <c r="AJ90" i="18"/>
  <c r="AJ89" i="18"/>
  <c r="AJ84" i="18"/>
  <c r="AJ80" i="18"/>
  <c r="AJ76" i="18"/>
  <c r="AJ112" i="18"/>
  <c r="AJ106" i="18"/>
  <c r="AJ102" i="18"/>
  <c r="AJ101" i="18"/>
  <c r="AJ88" i="18"/>
  <c r="AJ86" i="18"/>
  <c r="AJ85" i="18"/>
  <c r="AJ83" i="18"/>
  <c r="AJ79" i="18"/>
  <c r="AJ75" i="18"/>
  <c r="AJ71" i="18"/>
  <c r="AJ110" i="18"/>
  <c r="AJ114" i="18"/>
  <c r="AJ100" i="18"/>
  <c r="AJ98" i="18"/>
  <c r="AJ97" i="18"/>
  <c r="AJ82" i="18"/>
  <c r="AJ78" i="18"/>
  <c r="AJ74" i="18"/>
  <c r="AJ70" i="18"/>
  <c r="AJ64" i="18"/>
  <c r="AJ60" i="18"/>
  <c r="AJ56" i="18"/>
  <c r="AJ52" i="18"/>
  <c r="AJ104" i="18"/>
  <c r="AJ81" i="18"/>
  <c r="AJ73" i="18"/>
  <c r="AJ69" i="18"/>
  <c r="AJ72" i="18"/>
  <c r="AJ68" i="18"/>
  <c r="AJ66" i="18"/>
  <c r="AJ62" i="18"/>
  <c r="AJ58" i="18"/>
  <c r="AJ54" i="18"/>
  <c r="AJ96" i="18"/>
  <c r="AJ93" i="18"/>
  <c r="AJ67" i="18"/>
  <c r="AJ48" i="18"/>
  <c r="AJ44" i="18"/>
  <c r="AJ40" i="18"/>
  <c r="AJ36" i="18"/>
  <c r="AJ32" i="18"/>
  <c r="AJ47" i="18"/>
  <c r="AJ43" i="18"/>
  <c r="AJ39" i="18"/>
  <c r="AJ35" i="18"/>
  <c r="AJ31" i="18"/>
  <c r="AJ65" i="18"/>
  <c r="AJ51" i="18"/>
  <c r="AJ49" i="18"/>
  <c r="AJ45" i="18"/>
  <c r="AJ41" i="18"/>
  <c r="AJ37" i="18"/>
  <c r="AJ33" i="18"/>
  <c r="AJ29" i="18"/>
  <c r="AJ63" i="18"/>
  <c r="AJ61" i="18"/>
  <c r="AJ55" i="18"/>
  <c r="AJ94" i="18"/>
  <c r="AJ57" i="18"/>
  <c r="AJ46" i="18"/>
  <c r="AJ38" i="18"/>
  <c r="AJ26" i="18"/>
  <c r="AJ23" i="18"/>
  <c r="AJ19" i="18"/>
  <c r="AJ15" i="18"/>
  <c r="AJ53" i="18"/>
  <c r="AJ25" i="18"/>
  <c r="AJ22" i="18"/>
  <c r="AJ18" i="18"/>
  <c r="AJ14" i="18"/>
  <c r="AJ50" i="18"/>
  <c r="AJ42" i="18"/>
  <c r="AJ34" i="18"/>
  <c r="AJ28" i="18"/>
  <c r="AJ21" i="18"/>
  <c r="AJ17" i="18"/>
  <c r="AJ59" i="18"/>
  <c r="AJ24" i="18"/>
  <c r="AJ77" i="18"/>
  <c r="AJ27" i="18"/>
  <c r="AJ20" i="18"/>
  <c r="AJ16" i="18"/>
  <c r="AT13" i="18"/>
  <c r="AJ30" i="18"/>
  <c r="AB104" i="18"/>
  <c r="AB73" i="18"/>
  <c r="AB68" i="18"/>
  <c r="AB16" i="18"/>
  <c r="R84" i="18"/>
  <c r="R76" i="18"/>
  <c r="R100" i="18"/>
  <c r="R94" i="18"/>
  <c r="R108" i="18"/>
  <c r="R82" i="18"/>
  <c r="R78" i="18"/>
  <c r="R56" i="18"/>
  <c r="R52" i="18"/>
  <c r="R85" i="18"/>
  <c r="R81" i="18"/>
  <c r="R61" i="18"/>
  <c r="R44" i="18"/>
  <c r="R40" i="18"/>
  <c r="R49" i="18"/>
  <c r="R37" i="18"/>
  <c r="R33" i="18"/>
  <c r="R29" i="18"/>
  <c r="R50" i="18"/>
  <c r="R67" i="18"/>
  <c r="R57" i="18"/>
  <c r="R22" i="18"/>
  <c r="R34" i="18"/>
  <c r="L98" i="18"/>
  <c r="AN114" i="18"/>
  <c r="AN110" i="18"/>
  <c r="AN106" i="18"/>
  <c r="AN102" i="18"/>
  <c r="AN98" i="18"/>
  <c r="AN94" i="18"/>
  <c r="AN90" i="18"/>
  <c r="AN86" i="18"/>
  <c r="AN112" i="18"/>
  <c r="AN108" i="18"/>
  <c r="AN104" i="18"/>
  <c r="AN115" i="18"/>
  <c r="AN105" i="18"/>
  <c r="AN88" i="18"/>
  <c r="AN83" i="18"/>
  <c r="AN79" i="18"/>
  <c r="AN75" i="18"/>
  <c r="AN109" i="18"/>
  <c r="AN101" i="18"/>
  <c r="AN91" i="18"/>
  <c r="AN85" i="18"/>
  <c r="AN113" i="18"/>
  <c r="AN100" i="18"/>
  <c r="AN82" i="18"/>
  <c r="AN78" i="18"/>
  <c r="AN74" i="18"/>
  <c r="AN70" i="18"/>
  <c r="AN97" i="18"/>
  <c r="AN87" i="18"/>
  <c r="AN96" i="18"/>
  <c r="AN81" i="18"/>
  <c r="AN77" i="18"/>
  <c r="AN73" i="18"/>
  <c r="AN69" i="18"/>
  <c r="AN103" i="18"/>
  <c r="AN99" i="18"/>
  <c r="AN93" i="18"/>
  <c r="AN92" i="18"/>
  <c r="AN111" i="18"/>
  <c r="AN107" i="18"/>
  <c r="AN72" i="18"/>
  <c r="AN68" i="18"/>
  <c r="AN67" i="18"/>
  <c r="AN63" i="18"/>
  <c r="AN59" i="18"/>
  <c r="AN55" i="18"/>
  <c r="AN51" i="18"/>
  <c r="AN84" i="18"/>
  <c r="AN71" i="18"/>
  <c r="AN89" i="18"/>
  <c r="AN76" i="18"/>
  <c r="AN65" i="18"/>
  <c r="AN61" i="18"/>
  <c r="AN57" i="18"/>
  <c r="AN53" i="18"/>
  <c r="AN80" i="18"/>
  <c r="AN95" i="18"/>
  <c r="AN60" i="18"/>
  <c r="AN47" i="18"/>
  <c r="AN43" i="18"/>
  <c r="AN39" i="18"/>
  <c r="AN35" i="18"/>
  <c r="AN31" i="18"/>
  <c r="AN64" i="18"/>
  <c r="AN50" i="18"/>
  <c r="AN46" i="18"/>
  <c r="AN42" i="18"/>
  <c r="AN38" i="18"/>
  <c r="AN34" i="18"/>
  <c r="AN30" i="18"/>
  <c r="AN58" i="18"/>
  <c r="AN54" i="18"/>
  <c r="AN62" i="18"/>
  <c r="AN56" i="18"/>
  <c r="AN52" i="18"/>
  <c r="AN48" i="18"/>
  <c r="AN44" i="18"/>
  <c r="AN40" i="18"/>
  <c r="AN36" i="18"/>
  <c r="AN32" i="18"/>
  <c r="AN66" i="18"/>
  <c r="AN49" i="18"/>
  <c r="AN25" i="18"/>
  <c r="AN22" i="18"/>
  <c r="AN18" i="18"/>
  <c r="AN14" i="18"/>
  <c r="AN29" i="18"/>
  <c r="AN28" i="18"/>
  <c r="AN21" i="18"/>
  <c r="AN17" i="18"/>
  <c r="AN24" i="18"/>
  <c r="AN45" i="18"/>
  <c r="AN37" i="18"/>
  <c r="AN27" i="18"/>
  <c r="AN20" i="18"/>
  <c r="AN16" i="18"/>
  <c r="AN26" i="18"/>
  <c r="AN23" i="18"/>
  <c r="AN19" i="18"/>
  <c r="AN15" i="18"/>
  <c r="AN33" i="18"/>
  <c r="AN41" i="18"/>
  <c r="P115" i="18"/>
  <c r="P111" i="18"/>
  <c r="P107" i="18"/>
  <c r="P103" i="18"/>
  <c r="P99" i="18"/>
  <c r="P95" i="18"/>
  <c r="P91" i="18"/>
  <c r="P87" i="18"/>
  <c r="P114" i="18"/>
  <c r="P110" i="18"/>
  <c r="P106" i="18"/>
  <c r="P102" i="18"/>
  <c r="P98" i="18"/>
  <c r="P94" i="18"/>
  <c r="P90" i="18"/>
  <c r="P86" i="18"/>
  <c r="P112" i="18"/>
  <c r="P108" i="18"/>
  <c r="P104" i="18"/>
  <c r="P100" i="18"/>
  <c r="P96" i="18"/>
  <c r="P92" i="18"/>
  <c r="P88" i="18"/>
  <c r="P85" i="18"/>
  <c r="P97" i="18"/>
  <c r="P84" i="18"/>
  <c r="P80" i="18"/>
  <c r="P76" i="18"/>
  <c r="P72" i="18"/>
  <c r="P93" i="18"/>
  <c r="P83" i="18"/>
  <c r="P79" i="18"/>
  <c r="P75" i="18"/>
  <c r="P71" i="18"/>
  <c r="P105" i="18"/>
  <c r="P109" i="18"/>
  <c r="P89" i="18"/>
  <c r="P82" i="18"/>
  <c r="P78" i="18"/>
  <c r="P113" i="18"/>
  <c r="P65" i="18"/>
  <c r="P61" i="18"/>
  <c r="P57" i="18"/>
  <c r="P53" i="18"/>
  <c r="P68" i="18"/>
  <c r="P64" i="18"/>
  <c r="P60" i="18"/>
  <c r="P56" i="18"/>
  <c r="P52" i="18"/>
  <c r="P101" i="18"/>
  <c r="P81" i="18"/>
  <c r="P74" i="18"/>
  <c r="P70" i="18"/>
  <c r="P66" i="18"/>
  <c r="P62" i="18"/>
  <c r="P77" i="18"/>
  <c r="P48" i="18"/>
  <c r="P44" i="18"/>
  <c r="P40" i="18"/>
  <c r="P36" i="18"/>
  <c r="P32" i="18"/>
  <c r="P59" i="18"/>
  <c r="P55" i="18"/>
  <c r="P58" i="18"/>
  <c r="P54" i="18"/>
  <c r="P47" i="18"/>
  <c r="P43" i="18"/>
  <c r="P39" i="18"/>
  <c r="P35" i="18"/>
  <c r="P31" i="18"/>
  <c r="P67" i="18"/>
  <c r="P51" i="18"/>
  <c r="P50" i="18"/>
  <c r="P46" i="18"/>
  <c r="P42" i="18"/>
  <c r="P38" i="18"/>
  <c r="P34" i="18"/>
  <c r="P30" i="18"/>
  <c r="P69" i="18"/>
  <c r="P63" i="18"/>
  <c r="P41" i="18"/>
  <c r="P22" i="18"/>
  <c r="P18" i="18"/>
  <c r="P73" i="18"/>
  <c r="P49" i="18"/>
  <c r="P33" i="18"/>
  <c r="P25" i="18"/>
  <c r="P28" i="18"/>
  <c r="P21" i="18"/>
  <c r="P24" i="18"/>
  <c r="P17" i="18"/>
  <c r="P29" i="18"/>
  <c r="P27" i="18"/>
  <c r="P37" i="18"/>
  <c r="P26" i="18"/>
  <c r="P19" i="18"/>
  <c r="P23" i="18"/>
  <c r="P20" i="18"/>
  <c r="P45" i="18"/>
  <c r="P16" i="18"/>
  <c r="P15" i="18"/>
  <c r="P14" i="18"/>
  <c r="H116" i="18"/>
  <c r="J116" i="18" s="1"/>
  <c r="J14" i="18"/>
  <c r="AR113" i="18"/>
  <c r="AR109" i="18"/>
  <c r="AR105" i="18"/>
  <c r="AR101" i="18"/>
  <c r="AR97" i="18"/>
  <c r="AR93" i="18"/>
  <c r="AR89" i="18"/>
  <c r="AR85" i="18"/>
  <c r="AR115" i="18"/>
  <c r="AR111" i="18"/>
  <c r="AR107" i="18"/>
  <c r="AR103" i="18"/>
  <c r="AR82" i="18"/>
  <c r="AR78" i="18"/>
  <c r="AR106" i="18"/>
  <c r="AR102" i="18"/>
  <c r="AR100" i="18"/>
  <c r="AR87" i="18"/>
  <c r="AR86" i="18"/>
  <c r="AR110" i="18"/>
  <c r="AR81" i="18"/>
  <c r="AR77" i="18"/>
  <c r="AR73" i="18"/>
  <c r="AR69" i="18"/>
  <c r="AR114" i="18"/>
  <c r="AR99" i="18"/>
  <c r="AR98" i="18"/>
  <c r="AR96" i="18"/>
  <c r="AR84" i="18"/>
  <c r="AR80" i="18"/>
  <c r="AR76" i="18"/>
  <c r="AR72" i="18"/>
  <c r="AR68" i="18"/>
  <c r="AR104" i="18"/>
  <c r="AR95" i="18"/>
  <c r="AR94" i="18"/>
  <c r="AR92" i="18"/>
  <c r="AR112" i="18"/>
  <c r="AR71" i="18"/>
  <c r="AR108" i="18"/>
  <c r="AR91" i="18"/>
  <c r="AR79" i="18"/>
  <c r="AR75" i="18"/>
  <c r="AR74" i="18"/>
  <c r="AR70" i="18"/>
  <c r="AR66" i="18"/>
  <c r="AR62" i="18"/>
  <c r="AR58" i="18"/>
  <c r="AR54" i="18"/>
  <c r="AR90" i="18"/>
  <c r="AR83" i="18"/>
  <c r="AR64" i="18"/>
  <c r="AR60" i="18"/>
  <c r="AR56" i="18"/>
  <c r="AR52" i="18"/>
  <c r="AR50" i="18"/>
  <c r="AR46" i="18"/>
  <c r="AR42" i="18"/>
  <c r="AR38" i="18"/>
  <c r="AR34" i="18"/>
  <c r="AR30" i="18"/>
  <c r="AR88" i="18"/>
  <c r="AR61" i="18"/>
  <c r="AR49" i="18"/>
  <c r="AR45" i="18"/>
  <c r="AR41" i="18"/>
  <c r="AR37" i="18"/>
  <c r="AR33" i="18"/>
  <c r="AR29" i="18"/>
  <c r="AR65" i="18"/>
  <c r="AR59" i="18"/>
  <c r="AR55" i="18"/>
  <c r="AR63" i="18"/>
  <c r="AR47" i="18"/>
  <c r="AR43" i="18"/>
  <c r="AR39" i="18"/>
  <c r="AR35" i="18"/>
  <c r="AR31" i="18"/>
  <c r="AR67" i="18"/>
  <c r="AR57" i="18"/>
  <c r="AR28" i="18"/>
  <c r="AR21" i="18"/>
  <c r="AR17" i="18"/>
  <c r="AR53" i="18"/>
  <c r="AR51" i="18"/>
  <c r="AR27" i="18"/>
  <c r="AR20" i="18"/>
  <c r="AR16" i="18"/>
  <c r="AR32" i="18"/>
  <c r="AR48" i="18"/>
  <c r="AR40" i="18"/>
  <c r="AR26" i="18"/>
  <c r="AR23" i="18"/>
  <c r="AR19" i="18"/>
  <c r="AR15" i="18"/>
  <c r="AR25" i="18"/>
  <c r="AR22" i="18"/>
  <c r="AR18" i="18"/>
  <c r="AR14" i="18"/>
  <c r="AR36" i="18"/>
  <c r="AR24" i="18"/>
  <c r="AR44" i="18"/>
  <c r="R42" i="18" l="1"/>
  <c r="R48" i="18"/>
  <c r="R80" i="18"/>
  <c r="X38" i="18"/>
  <c r="AB26" i="18"/>
  <c r="X76" i="18"/>
  <c r="X64" i="18"/>
  <c r="L29" i="18"/>
  <c r="X68" i="18"/>
  <c r="L78" i="18"/>
  <c r="AB108" i="18"/>
  <c r="X58" i="18"/>
  <c r="L110" i="18"/>
  <c r="L113" i="18"/>
  <c r="X21" i="18"/>
  <c r="X80" i="18"/>
  <c r="L115" i="18"/>
  <c r="X19" i="18"/>
  <c r="X95" i="18"/>
  <c r="R16" i="18"/>
  <c r="R31" i="18"/>
  <c r="R60" i="18"/>
  <c r="R114" i="18"/>
  <c r="R20" i="18"/>
  <c r="R55" i="18"/>
  <c r="R112" i="18"/>
  <c r="R105" i="18"/>
  <c r="L14" i="18"/>
  <c r="R53" i="18"/>
  <c r="R32" i="18"/>
  <c r="R70" i="18"/>
  <c r="R95" i="18"/>
  <c r="L23" i="18"/>
  <c r="R14" i="18"/>
  <c r="R36" i="18"/>
  <c r="R74" i="18"/>
  <c r="R107" i="18"/>
  <c r="X43" i="18"/>
  <c r="X107" i="18"/>
  <c r="R38" i="18"/>
  <c r="R63" i="18"/>
  <c r="R77" i="18"/>
  <c r="R89" i="18"/>
  <c r="R99" i="18"/>
  <c r="L43" i="18"/>
  <c r="R46" i="18"/>
  <c r="R88" i="18"/>
  <c r="R102" i="18"/>
  <c r="R90" i="18"/>
  <c r="R103" i="18"/>
  <c r="R18" i="18"/>
  <c r="R101" i="18"/>
  <c r="R110" i="18"/>
  <c r="R93" i="18"/>
  <c r="AB15" i="18"/>
  <c r="AB38" i="18"/>
  <c r="R51" i="18"/>
  <c r="R15" i="18"/>
  <c r="R35" i="18"/>
  <c r="R69" i="18"/>
  <c r="R64" i="18"/>
  <c r="R71" i="18"/>
  <c r="R109" i="18"/>
  <c r="AB35" i="18"/>
  <c r="L48" i="18"/>
  <c r="R17" i="18"/>
  <c r="R19" i="18"/>
  <c r="R39" i="18"/>
  <c r="R73" i="18"/>
  <c r="R68" i="18"/>
  <c r="R75" i="18"/>
  <c r="R113" i="18"/>
  <c r="AB98" i="18"/>
  <c r="R21" i="18"/>
  <c r="R23" i="18"/>
  <c r="R43" i="18"/>
  <c r="R54" i="18"/>
  <c r="R86" i="18"/>
  <c r="R79" i="18"/>
  <c r="R87" i="18"/>
  <c r="AB53" i="18"/>
  <c r="X36" i="18"/>
  <c r="X115" i="18"/>
  <c r="R28" i="18"/>
  <c r="R26" i="18"/>
  <c r="R47" i="18"/>
  <c r="R58" i="18"/>
  <c r="R92" i="18"/>
  <c r="R83" i="18"/>
  <c r="R91" i="18"/>
  <c r="AB106" i="18"/>
  <c r="AB42" i="18"/>
  <c r="AB62" i="18"/>
  <c r="AB50" i="18"/>
  <c r="AB66" i="18"/>
  <c r="AB39" i="18"/>
  <c r="AB77" i="18"/>
  <c r="AB44" i="18"/>
  <c r="AB101" i="18"/>
  <c r="L112" i="18"/>
  <c r="AH13" i="18"/>
  <c r="AZ13" i="18" s="1"/>
  <c r="AB48" i="18"/>
  <c r="AB105" i="18"/>
  <c r="R27" i="18"/>
  <c r="R25" i="18"/>
  <c r="R41" i="18"/>
  <c r="R59" i="18"/>
  <c r="R62" i="18"/>
  <c r="R106" i="18"/>
  <c r="R96" i="18"/>
  <c r="R97" i="18"/>
  <c r="R111" i="18"/>
  <c r="AB49" i="18"/>
  <c r="AB103" i="18"/>
  <c r="L68" i="18"/>
  <c r="R24" i="18"/>
  <c r="R30" i="18"/>
  <c r="R45" i="18"/>
  <c r="R65" i="18"/>
  <c r="R66" i="18"/>
  <c r="R72" i="18"/>
  <c r="R104" i="18"/>
  <c r="R98" i="18"/>
  <c r="AB51" i="18"/>
  <c r="AB107" i="18"/>
  <c r="X49" i="18"/>
  <c r="X86" i="18"/>
  <c r="L55" i="18"/>
  <c r="L69" i="18"/>
  <c r="L21" i="18"/>
  <c r="L16" i="18"/>
  <c r="L90" i="18"/>
  <c r="L42" i="18"/>
  <c r="L52" i="18"/>
  <c r="L59" i="18"/>
  <c r="L67" i="18"/>
  <c r="L62" i="18"/>
  <c r="L83" i="18"/>
  <c r="L73" i="18"/>
  <c r="L89" i="18"/>
  <c r="L91" i="18"/>
  <c r="L92" i="18"/>
  <c r="X25" i="18"/>
  <c r="X31" i="18"/>
  <c r="X20" i="18"/>
  <c r="X44" i="18"/>
  <c r="X51" i="18"/>
  <c r="X46" i="18"/>
  <c r="X71" i="18"/>
  <c r="X66" i="18"/>
  <c r="X84" i="18"/>
  <c r="X70" i="18"/>
  <c r="X90" i="18"/>
  <c r="X92" i="18"/>
  <c r="X93" i="18"/>
  <c r="L26" i="18"/>
  <c r="L18" i="18"/>
  <c r="L82" i="18"/>
  <c r="L19" i="18"/>
  <c r="L50" i="18"/>
  <c r="L60" i="18"/>
  <c r="L33" i="18"/>
  <c r="L53" i="18"/>
  <c r="L66" i="18"/>
  <c r="L94" i="18"/>
  <c r="L77" i="18"/>
  <c r="L93" i="18"/>
  <c r="L95" i="18"/>
  <c r="L96" i="18"/>
  <c r="AT55" i="18"/>
  <c r="X17" i="18"/>
  <c r="X22" i="18"/>
  <c r="X27" i="18"/>
  <c r="X48" i="18"/>
  <c r="X87" i="18"/>
  <c r="X50" i="18"/>
  <c r="X75" i="18"/>
  <c r="X83" i="18"/>
  <c r="X91" i="18"/>
  <c r="X74" i="18"/>
  <c r="X94" i="18"/>
  <c r="X96" i="18"/>
  <c r="X97" i="18"/>
  <c r="L20" i="18"/>
  <c r="L63" i="18"/>
  <c r="L85" i="18"/>
  <c r="L27" i="18"/>
  <c r="L22" i="18"/>
  <c r="L30" i="18"/>
  <c r="L51" i="18"/>
  <c r="L32" i="18"/>
  <c r="L37" i="18"/>
  <c r="L57" i="18"/>
  <c r="L70" i="18"/>
  <c r="L72" i="18"/>
  <c r="L81" i="18"/>
  <c r="L97" i="18"/>
  <c r="L99" i="18"/>
  <c r="L100" i="18"/>
  <c r="X39" i="18"/>
  <c r="X18" i="18"/>
  <c r="X24" i="18"/>
  <c r="X29" i="18"/>
  <c r="X53" i="18"/>
  <c r="X52" i="18"/>
  <c r="X72" i="18"/>
  <c r="X55" i="18"/>
  <c r="X69" i="18"/>
  <c r="X78" i="18"/>
  <c r="X98" i="18"/>
  <c r="X100" i="18"/>
  <c r="X101" i="18"/>
  <c r="AD109" i="18"/>
  <c r="AD101" i="18"/>
  <c r="AD93" i="18"/>
  <c r="AD85" i="18"/>
  <c r="AD77" i="18"/>
  <c r="AD69" i="18"/>
  <c r="AD61" i="18"/>
  <c r="AD53" i="18"/>
  <c r="AD45" i="18"/>
  <c r="AD37" i="18"/>
  <c r="AD29" i="18"/>
  <c r="AD21" i="18"/>
  <c r="AD104" i="18"/>
  <c r="AD64" i="18"/>
  <c r="AD48" i="18"/>
  <c r="AD24" i="18"/>
  <c r="AD79" i="18"/>
  <c r="AD39" i="18"/>
  <c r="AD108" i="18"/>
  <c r="AD92" i="18"/>
  <c r="AD84" i="18"/>
  <c r="AD76" i="18"/>
  <c r="AD68" i="18"/>
  <c r="AD60" i="18"/>
  <c r="AD52" i="18"/>
  <c r="AD44" i="18"/>
  <c r="AD36" i="18"/>
  <c r="AD28" i="18"/>
  <c r="AD20" i="18"/>
  <c r="AD88" i="18"/>
  <c r="AD103" i="18"/>
  <c r="AD115" i="18"/>
  <c r="AD107" i="18"/>
  <c r="AD99" i="18"/>
  <c r="AD91" i="18"/>
  <c r="AD83" i="18"/>
  <c r="AD75" i="18"/>
  <c r="AD67" i="18"/>
  <c r="AD59" i="18"/>
  <c r="AD51" i="18"/>
  <c r="AD43" i="18"/>
  <c r="AD35" i="18"/>
  <c r="AD27" i="18"/>
  <c r="AD19" i="18"/>
  <c r="AD80" i="18"/>
  <c r="AD56" i="18"/>
  <c r="AD16" i="18"/>
  <c r="AD87" i="18"/>
  <c r="AD31" i="18"/>
  <c r="AD114" i="18"/>
  <c r="AD106" i="18"/>
  <c r="AD98" i="18"/>
  <c r="AD90" i="18"/>
  <c r="AD82" i="18"/>
  <c r="AD74" i="18"/>
  <c r="AD66" i="18"/>
  <c r="AD58" i="18"/>
  <c r="AD50" i="18"/>
  <c r="AD42" i="18"/>
  <c r="AD34" i="18"/>
  <c r="AD26" i="18"/>
  <c r="AD18" i="18"/>
  <c r="AD112" i="18"/>
  <c r="AD72" i="18"/>
  <c r="AD40" i="18"/>
  <c r="AD111" i="18"/>
  <c r="AD23" i="18"/>
  <c r="AD113" i="18"/>
  <c r="AD105" i="18"/>
  <c r="AD97" i="18"/>
  <c r="AD89" i="18"/>
  <c r="AD81" i="18"/>
  <c r="AD73" i="18"/>
  <c r="AD65" i="18"/>
  <c r="AD57" i="18"/>
  <c r="AD49" i="18"/>
  <c r="AD41" i="18"/>
  <c r="AD33" i="18"/>
  <c r="AD25" i="18"/>
  <c r="AD17" i="18"/>
  <c r="AD110" i="18"/>
  <c r="AD102" i="18"/>
  <c r="AD94" i="18"/>
  <c r="AD86" i="18"/>
  <c r="AD78" i="18"/>
  <c r="AD70" i="18"/>
  <c r="AD62" i="18"/>
  <c r="AD54" i="18"/>
  <c r="AD46" i="18"/>
  <c r="AD38" i="18"/>
  <c r="AD30" i="18"/>
  <c r="AD22" i="18"/>
  <c r="AD14" i="18"/>
  <c r="AD96" i="18"/>
  <c r="AD32" i="18"/>
  <c r="AD95" i="18"/>
  <c r="AD71" i="18"/>
  <c r="AD63" i="18"/>
  <c r="AD55" i="18"/>
  <c r="AD47" i="18"/>
  <c r="AD15" i="18"/>
  <c r="L47" i="18"/>
  <c r="L88" i="18"/>
  <c r="L28" i="18"/>
  <c r="L25" i="18"/>
  <c r="L56" i="18"/>
  <c r="L31" i="18"/>
  <c r="L36" i="18"/>
  <c r="L41" i="18"/>
  <c r="L61" i="18"/>
  <c r="L71" i="18"/>
  <c r="L76" i="18"/>
  <c r="L114" i="18"/>
  <c r="L101" i="18"/>
  <c r="L103" i="18"/>
  <c r="L104" i="18"/>
  <c r="X14" i="18"/>
  <c r="X28" i="18"/>
  <c r="X47" i="18"/>
  <c r="X33" i="18"/>
  <c r="X57" i="18"/>
  <c r="X56" i="18"/>
  <c r="X79" i="18"/>
  <c r="X59" i="18"/>
  <c r="X73" i="18"/>
  <c r="X82" i="18"/>
  <c r="X102" i="18"/>
  <c r="X104" i="18"/>
  <c r="X105" i="18"/>
  <c r="L15" i="18"/>
  <c r="L87" i="18"/>
  <c r="L38" i="18"/>
  <c r="L64" i="18"/>
  <c r="L35" i="18"/>
  <c r="L40" i="18"/>
  <c r="L45" i="18"/>
  <c r="L65" i="18"/>
  <c r="L74" i="18"/>
  <c r="L80" i="18"/>
  <c r="L86" i="18"/>
  <c r="L105" i="18"/>
  <c r="L107" i="18"/>
  <c r="L108" i="18"/>
  <c r="X15" i="18"/>
  <c r="X23" i="18"/>
  <c r="X61" i="18"/>
  <c r="X37" i="18"/>
  <c r="X30" i="18"/>
  <c r="X65" i="18"/>
  <c r="X103" i="18"/>
  <c r="X63" i="18"/>
  <c r="X77" i="18"/>
  <c r="X111" i="18"/>
  <c r="X106" i="18"/>
  <c r="X108" i="18"/>
  <c r="X109" i="18"/>
  <c r="L34" i="18"/>
  <c r="L58" i="18"/>
  <c r="L79" i="18"/>
  <c r="L17" i="18"/>
  <c r="L46" i="18"/>
  <c r="L24" i="18"/>
  <c r="L39" i="18"/>
  <c r="L44" i="18"/>
  <c r="L49" i="18"/>
  <c r="L106" i="18"/>
  <c r="L75" i="18"/>
  <c r="L84" i="18"/>
  <c r="L102" i="18"/>
  <c r="L109" i="18"/>
  <c r="L111" i="18"/>
  <c r="X16" i="18"/>
  <c r="X26" i="18"/>
  <c r="X32" i="18"/>
  <c r="X41" i="18"/>
  <c r="X34" i="18"/>
  <c r="X60" i="18"/>
  <c r="X54" i="18"/>
  <c r="X67" i="18"/>
  <c r="X81" i="18"/>
  <c r="X99" i="18"/>
  <c r="X110" i="18"/>
  <c r="X112" i="18"/>
  <c r="AB14" i="18"/>
  <c r="AB34" i="18"/>
  <c r="AB23" i="18"/>
  <c r="AB31" i="18"/>
  <c r="AB40" i="18"/>
  <c r="AB45" i="18"/>
  <c r="AB78" i="18"/>
  <c r="AB58" i="18"/>
  <c r="AB102" i="18"/>
  <c r="AB69" i="18"/>
  <c r="AB97" i="18"/>
  <c r="AB99" i="18"/>
  <c r="AB100" i="18"/>
  <c r="AB21" i="18"/>
  <c r="AB22" i="18"/>
  <c r="AB46" i="18"/>
  <c r="AB43" i="18"/>
  <c r="AB60" i="18"/>
  <c r="AB75" i="18"/>
  <c r="AB57" i="18"/>
  <c r="AB114" i="18"/>
  <c r="AB72" i="18"/>
  <c r="AB81" i="18"/>
  <c r="AB109" i="18"/>
  <c r="AB111" i="18"/>
  <c r="AB112" i="18"/>
  <c r="AB30" i="18"/>
  <c r="AB25" i="18"/>
  <c r="AB55" i="18"/>
  <c r="AB47" i="18"/>
  <c r="AB74" i="18"/>
  <c r="AB52" i="18"/>
  <c r="AB61" i="18"/>
  <c r="AB79" i="18"/>
  <c r="AB76" i="18"/>
  <c r="AB94" i="18"/>
  <c r="AB113" i="18"/>
  <c r="AB115" i="18"/>
  <c r="AT85" i="18"/>
  <c r="AB27" i="18"/>
  <c r="AB29" i="18"/>
  <c r="AB24" i="18"/>
  <c r="AB70" i="18"/>
  <c r="AB33" i="18"/>
  <c r="AB56" i="18"/>
  <c r="AB65" i="18"/>
  <c r="AB83" i="18"/>
  <c r="AB80" i="18"/>
  <c r="AB85" i="18"/>
  <c r="AB87" i="18"/>
  <c r="AB88" i="18"/>
  <c r="AB17" i="18"/>
  <c r="AB18" i="18"/>
  <c r="AB71" i="18"/>
  <c r="AB64" i="18"/>
  <c r="AB32" i="18"/>
  <c r="AB37" i="18"/>
  <c r="AB63" i="18"/>
  <c r="AB82" i="18"/>
  <c r="AB110" i="18"/>
  <c r="AB84" i="18"/>
  <c r="AB89" i="18"/>
  <c r="AB91" i="18"/>
  <c r="AB92" i="18"/>
  <c r="AB20" i="18"/>
  <c r="AB28" i="18"/>
  <c r="AB19" i="18"/>
  <c r="AB59" i="18"/>
  <c r="AB36" i="18"/>
  <c r="AB41" i="18"/>
  <c r="AB67" i="18"/>
  <c r="AB54" i="18"/>
  <c r="AB86" i="18"/>
  <c r="AB90" i="18"/>
  <c r="AB93" i="18"/>
  <c r="AB95" i="18"/>
  <c r="AT49" i="18"/>
  <c r="AT106" i="18"/>
  <c r="AL116" i="18"/>
  <c r="AN116" i="18"/>
  <c r="AT27" i="18"/>
  <c r="AT42" i="18"/>
  <c r="AT19" i="18"/>
  <c r="AT61" i="18"/>
  <c r="AT51" i="18"/>
  <c r="AT36" i="18"/>
  <c r="AT58" i="18"/>
  <c r="AT104" i="18"/>
  <c r="AT82" i="18"/>
  <c r="AT79" i="18"/>
  <c r="AT112" i="18"/>
  <c r="AT105" i="18"/>
  <c r="AT107" i="18"/>
  <c r="N116" i="18"/>
  <c r="AR116" i="18"/>
  <c r="AT77" i="18"/>
  <c r="AT50" i="18"/>
  <c r="AT23" i="18"/>
  <c r="AT63" i="18"/>
  <c r="AT65" i="18"/>
  <c r="AT40" i="18"/>
  <c r="AT62" i="18"/>
  <c r="AT52" i="18"/>
  <c r="AT97" i="18"/>
  <c r="AT83" i="18"/>
  <c r="AT76" i="18"/>
  <c r="AT109" i="18"/>
  <c r="AT111" i="18"/>
  <c r="AT24" i="18"/>
  <c r="AJ116" i="18"/>
  <c r="AT14" i="18"/>
  <c r="AT26" i="18"/>
  <c r="AT29" i="18"/>
  <c r="AT31" i="18"/>
  <c r="AT44" i="18"/>
  <c r="AT66" i="18"/>
  <c r="AT56" i="18"/>
  <c r="AT98" i="18"/>
  <c r="AT80" i="18"/>
  <c r="AT113" i="18"/>
  <c r="AT115" i="18"/>
  <c r="V116" i="18"/>
  <c r="AT59" i="18"/>
  <c r="AT18" i="18"/>
  <c r="AT38" i="18"/>
  <c r="AT33" i="18"/>
  <c r="AT35" i="18"/>
  <c r="AT48" i="18"/>
  <c r="AT68" i="18"/>
  <c r="AT60" i="18"/>
  <c r="AT100" i="18"/>
  <c r="AT86" i="18"/>
  <c r="AT84" i="18"/>
  <c r="AT87" i="18"/>
  <c r="AT30" i="18"/>
  <c r="AT17" i="18"/>
  <c r="AT22" i="18"/>
  <c r="AT46" i="18"/>
  <c r="AT37" i="18"/>
  <c r="AT39" i="18"/>
  <c r="AT67" i="18"/>
  <c r="AT72" i="18"/>
  <c r="AT64" i="18"/>
  <c r="AT114" i="18"/>
  <c r="AT88" i="18"/>
  <c r="AT89" i="18"/>
  <c r="AT91" i="18"/>
  <c r="P116" i="18"/>
  <c r="AT21" i="18"/>
  <c r="AT25" i="18"/>
  <c r="AT57" i="18"/>
  <c r="AT41" i="18"/>
  <c r="AT43" i="18"/>
  <c r="AT93" i="18"/>
  <c r="AT69" i="18"/>
  <c r="AT70" i="18"/>
  <c r="AT110" i="18"/>
  <c r="AT101" i="18"/>
  <c r="AT90" i="18"/>
  <c r="AT95" i="18"/>
  <c r="Z116" i="18"/>
  <c r="AT16" i="18"/>
  <c r="AT28" i="18"/>
  <c r="AT53" i="18"/>
  <c r="AT94" i="18"/>
  <c r="AT45" i="18"/>
  <c r="AT47" i="18"/>
  <c r="AT96" i="18"/>
  <c r="AT73" i="18"/>
  <c r="AT74" i="18"/>
  <c r="AT71" i="18"/>
  <c r="AT102" i="18"/>
  <c r="AT92" i="18"/>
  <c r="AT99" i="18"/>
  <c r="T116" i="18"/>
  <c r="AT20" i="18"/>
  <c r="AT34" i="18"/>
  <c r="AT15" i="18"/>
  <c r="AT32" i="18"/>
  <c r="AT54" i="18"/>
  <c r="AT81" i="18"/>
  <c r="AT78" i="18"/>
  <c r="AT75" i="18"/>
  <c r="AT108" i="18"/>
  <c r="AT103" i="18"/>
  <c r="AH72" i="18" l="1"/>
  <c r="AZ72" i="18" s="1"/>
  <c r="AH98" i="18"/>
  <c r="AH78" i="18"/>
  <c r="AZ78" i="18" s="1"/>
  <c r="AH59" i="18"/>
  <c r="AZ59" i="18" s="1"/>
  <c r="BB59" i="18" s="1"/>
  <c r="AH23" i="18"/>
  <c r="AH48" i="18"/>
  <c r="AH29" i="18"/>
  <c r="AH43" i="18"/>
  <c r="AZ43" i="18" s="1"/>
  <c r="AH44" i="18"/>
  <c r="AZ44" i="18" s="1"/>
  <c r="X116" i="18"/>
  <c r="AH80" i="18"/>
  <c r="AZ80" i="18" s="1"/>
  <c r="AH104" i="18"/>
  <c r="AZ104" i="18" s="1"/>
  <c r="AH115" i="18"/>
  <c r="AZ115" i="18" s="1"/>
  <c r="AH113" i="18"/>
  <c r="AZ113" i="18" s="1"/>
  <c r="AH79" i="18"/>
  <c r="AZ79" i="18" s="1"/>
  <c r="AH110" i="18"/>
  <c r="AZ110" i="18" s="1"/>
  <c r="AH75" i="18"/>
  <c r="AZ75" i="18" s="1"/>
  <c r="AH108" i="18"/>
  <c r="AZ108" i="18" s="1"/>
  <c r="AH36" i="18"/>
  <c r="AZ36" i="18" s="1"/>
  <c r="AH22" i="18"/>
  <c r="AZ22" i="18" s="1"/>
  <c r="AH66" i="18"/>
  <c r="AZ66" i="18" s="1"/>
  <c r="AH89" i="18"/>
  <c r="AZ89" i="18" s="1"/>
  <c r="R116" i="18"/>
  <c r="AH106" i="18"/>
  <c r="AZ106" i="18" s="1"/>
  <c r="AH107" i="18"/>
  <c r="AZ107" i="18" s="1"/>
  <c r="AH53" i="18"/>
  <c r="AZ53" i="18" s="1"/>
  <c r="AH73" i="18"/>
  <c r="AZ73" i="18" s="1"/>
  <c r="AH49" i="18"/>
  <c r="AZ49" i="18" s="1"/>
  <c r="AH15" i="18"/>
  <c r="AH56" i="18"/>
  <c r="AZ56" i="18" s="1"/>
  <c r="AH105" i="18"/>
  <c r="AZ105" i="18" s="1"/>
  <c r="AH99" i="18"/>
  <c r="AZ99" i="18" s="1"/>
  <c r="AH85" i="18"/>
  <c r="AZ85" i="18" s="1"/>
  <c r="AZ48" i="18"/>
  <c r="AH33" i="18"/>
  <c r="AZ33" i="18" s="1"/>
  <c r="AH83" i="18"/>
  <c r="AZ83" i="18" s="1"/>
  <c r="AH14" i="18"/>
  <c r="AZ14" i="18" s="1"/>
  <c r="AH27" i="18"/>
  <c r="AZ27" i="18" s="1"/>
  <c r="BB27" i="18" s="1"/>
  <c r="AH86" i="18"/>
  <c r="AZ86" i="18" s="1"/>
  <c r="AH25" i="18"/>
  <c r="AZ25" i="18" s="1"/>
  <c r="AH97" i="18"/>
  <c r="AZ97" i="18" s="1"/>
  <c r="AH63" i="18"/>
  <c r="AH60" i="18"/>
  <c r="AZ60" i="18" s="1"/>
  <c r="BB60" i="18" s="1"/>
  <c r="AH62" i="18"/>
  <c r="AZ62" i="18" s="1"/>
  <c r="AH31" i="18"/>
  <c r="AZ31" i="18" s="1"/>
  <c r="AH68" i="18"/>
  <c r="AZ68" i="18" s="1"/>
  <c r="AH81" i="18"/>
  <c r="AZ81" i="18" s="1"/>
  <c r="AH74" i="18"/>
  <c r="AZ74" i="18" s="1"/>
  <c r="AH103" i="18"/>
  <c r="AZ103" i="18" s="1"/>
  <c r="AH19" i="18"/>
  <c r="AZ19" i="18" s="1"/>
  <c r="AH46" i="18"/>
  <c r="AZ46" i="18" s="1"/>
  <c r="AH65" i="18"/>
  <c r="AZ65" i="18" s="1"/>
  <c r="AH47" i="18"/>
  <c r="AZ47" i="18" s="1"/>
  <c r="AH70" i="18"/>
  <c r="AZ70" i="18" s="1"/>
  <c r="AH82" i="18"/>
  <c r="AZ82" i="18" s="1"/>
  <c r="AH52" i="18"/>
  <c r="AZ52" i="18" s="1"/>
  <c r="AH87" i="18"/>
  <c r="AZ87" i="18" s="1"/>
  <c r="AH28" i="18"/>
  <c r="AZ28" i="18" s="1"/>
  <c r="BB28" i="18" s="1"/>
  <c r="AH24" i="18"/>
  <c r="AH88" i="18"/>
  <c r="AZ88" i="18" s="1"/>
  <c r="AH101" i="18"/>
  <c r="AZ101" i="18" s="1"/>
  <c r="AH17" i="18"/>
  <c r="AZ17" i="18" s="1"/>
  <c r="AH45" i="18"/>
  <c r="AZ45" i="18" s="1"/>
  <c r="AH114" i="18"/>
  <c r="AZ114" i="18" s="1"/>
  <c r="AH57" i="18"/>
  <c r="AZ57" i="18" s="1"/>
  <c r="AH96" i="18"/>
  <c r="AZ96" i="18" s="1"/>
  <c r="AH18" i="18"/>
  <c r="AZ18" i="18" s="1"/>
  <c r="AH42" i="18"/>
  <c r="AZ42" i="18" s="1"/>
  <c r="AH111" i="18"/>
  <c r="AZ111" i="18" s="1"/>
  <c r="AH40" i="18"/>
  <c r="AZ40" i="18" s="1"/>
  <c r="AH76" i="18"/>
  <c r="AZ76" i="18" s="1"/>
  <c r="AH37" i="18"/>
  <c r="AZ37" i="18" s="1"/>
  <c r="AH95" i="18"/>
  <c r="AZ95" i="18" s="1"/>
  <c r="AH26" i="18"/>
  <c r="AZ26" i="18" s="1"/>
  <c r="BB26" i="18" s="1"/>
  <c r="AH90" i="18"/>
  <c r="AZ90" i="18" s="1"/>
  <c r="AH112" i="18"/>
  <c r="AZ112" i="18" s="1"/>
  <c r="L116" i="18"/>
  <c r="AH20" i="18"/>
  <c r="AZ20" i="18" s="1"/>
  <c r="AH109" i="18"/>
  <c r="AZ109" i="18" s="1"/>
  <c r="AH58" i="18"/>
  <c r="AZ58" i="18" s="1"/>
  <c r="AH35" i="18"/>
  <c r="AZ35" i="18" s="1"/>
  <c r="AH71" i="18"/>
  <c r="AZ71" i="18" s="1"/>
  <c r="AH32" i="18"/>
  <c r="AZ32" i="18" s="1"/>
  <c r="AH93" i="18"/>
  <c r="AZ93" i="18" s="1"/>
  <c r="AH16" i="18"/>
  <c r="AZ16" i="18" s="1"/>
  <c r="AH100" i="18"/>
  <c r="AH39" i="18"/>
  <c r="AZ39" i="18" s="1"/>
  <c r="AH67" i="18"/>
  <c r="AZ67" i="18" s="1"/>
  <c r="AH102" i="18"/>
  <c r="AZ102" i="18" s="1"/>
  <c r="AH34" i="18"/>
  <c r="AZ34" i="18" s="1"/>
  <c r="AH64" i="18"/>
  <c r="AZ64" i="18" s="1"/>
  <c r="AH61" i="18"/>
  <c r="AZ61" i="18" s="1"/>
  <c r="BB61" i="18" s="1"/>
  <c r="AH51" i="18"/>
  <c r="AZ51" i="18" s="1"/>
  <c r="AH77" i="18"/>
  <c r="AZ77" i="18" s="1"/>
  <c r="AH92" i="18"/>
  <c r="AZ92" i="18" s="1"/>
  <c r="AH21" i="18"/>
  <c r="AZ21" i="18" s="1"/>
  <c r="AH55" i="18"/>
  <c r="AZ55" i="18" s="1"/>
  <c r="AH50" i="18"/>
  <c r="AZ50" i="18" s="1"/>
  <c r="AH84" i="18"/>
  <c r="AZ84" i="18" s="1"/>
  <c r="AH38" i="18"/>
  <c r="AZ38" i="18" s="1"/>
  <c r="AH41" i="18"/>
  <c r="AZ41" i="18" s="1"/>
  <c r="AH30" i="18"/>
  <c r="AZ30" i="18" s="1"/>
  <c r="BB30" i="18" s="1"/>
  <c r="AH94" i="18"/>
  <c r="AZ94" i="18" s="1"/>
  <c r="AH91" i="18"/>
  <c r="AZ91" i="18" s="1"/>
  <c r="AH69" i="18"/>
  <c r="AZ69" i="18" s="1"/>
  <c r="AH54" i="18"/>
  <c r="AZ54" i="18" s="1"/>
  <c r="AZ24" i="18"/>
  <c r="AD116" i="18"/>
  <c r="AB116" i="18"/>
  <c r="AZ100" i="18"/>
  <c r="AZ15" i="18"/>
  <c r="AT116" i="18"/>
  <c r="AZ63" i="18"/>
  <c r="AZ29" i="18"/>
  <c r="AZ23" i="18"/>
  <c r="AZ98" i="18"/>
  <c r="AH116" i="18" l="1"/>
  <c r="BB116" i="18"/>
  <c r="BB117" i="18" s="1"/>
  <c r="AZ116" i="18"/>
  <c r="E12" i="11" l="1"/>
</calcChain>
</file>

<file path=xl/sharedStrings.xml><?xml version="1.0" encoding="utf-8"?>
<sst xmlns="http://schemas.openxmlformats.org/spreadsheetml/2006/main" count="875" uniqueCount="395">
  <si>
    <t>TIVNがパターンメイク、グレーディング、縫製仕様書作成に関わる品番</t>
    <rPh sb="21" eb="28">
      <t>ホウセイシヨウショサクセイ</t>
    </rPh>
    <rPh sb="29" eb="30">
      <t>カカ</t>
    </rPh>
    <rPh sb="32" eb="34">
      <t>ヒンバン</t>
    </rPh>
    <phoneticPr fontId="2"/>
  </si>
  <si>
    <t>番号</t>
  </si>
  <si>
    <t>シーズン</t>
  </si>
  <si>
    <t>デザイン名</t>
  </si>
  <si>
    <t>品番</t>
  </si>
  <si>
    <t>枚数</t>
    <rPh sb="0" eb="2">
      <t>マイスウ</t>
    </rPh>
    <phoneticPr fontId="2"/>
  </si>
  <si>
    <t>納品予定</t>
    <rPh sb="0" eb="2">
      <t>ノウヒン</t>
    </rPh>
    <rPh sb="2" eb="4">
      <t>ヨテイ</t>
    </rPh>
    <phoneticPr fontId="2"/>
  </si>
  <si>
    <t>25SS</t>
  </si>
  <si>
    <t>GL25142</t>
  </si>
  <si>
    <t>3月</t>
    <rPh sb="1" eb="2">
      <t>ガツ</t>
    </rPh>
    <phoneticPr fontId="2"/>
  </si>
  <si>
    <t>日本向け：717枚、三国間：95枚、中国分：406枚　合計1,208枚</t>
  </si>
  <si>
    <t>1-GM75159</t>
  </si>
  <si>
    <t>GM75159</t>
  </si>
  <si>
    <t>日本向け：327枚、三国間：117枚、中国分：470枚　合計914枚</t>
    <phoneticPr fontId="2"/>
  </si>
  <si>
    <t>825-HH12521</t>
  </si>
  <si>
    <t>HH12521</t>
  </si>
  <si>
    <t>248枚1/9、4枚4/3納品</t>
    <phoneticPr fontId="2"/>
  </si>
  <si>
    <t>425-NB32531-SMS</t>
  </si>
  <si>
    <t>NB32531</t>
  </si>
  <si>
    <t>3月、4月</t>
    <rPh sb="1" eb="2">
      <t>ガツ</t>
    </rPh>
    <rPh sb="4" eb="5">
      <t>ガツ</t>
    </rPh>
    <phoneticPr fontId="2"/>
  </si>
  <si>
    <t>425-NP22530-SMS</t>
  </si>
  <si>
    <t>NP22530</t>
  </si>
  <si>
    <t>425-NP22532-SMS</t>
  </si>
  <si>
    <t>NP22532</t>
  </si>
  <si>
    <t>425-NPW22532-SMS</t>
  </si>
  <si>
    <t>NPW22532</t>
  </si>
  <si>
    <t>NBW32531-SMS</t>
  </si>
  <si>
    <t>NBW32531</t>
  </si>
  <si>
    <t>25SS 計：</t>
    <rPh sb="5" eb="6">
      <t>ケイ</t>
    </rPh>
    <phoneticPr fontId="2"/>
  </si>
  <si>
    <t>25FW</t>
  </si>
  <si>
    <t>425-NP72580</t>
  </si>
  <si>
    <t>NP72580</t>
  </si>
  <si>
    <t>425-NPW72580</t>
  </si>
  <si>
    <t>NPW72580</t>
  </si>
  <si>
    <t>425-NP72581</t>
  </si>
  <si>
    <t>NP72581</t>
  </si>
  <si>
    <t>425-NP72583</t>
  </si>
  <si>
    <t>NP72583</t>
  </si>
  <si>
    <t>NP62502</t>
  </si>
  <si>
    <t>425-NPW62502</t>
  </si>
  <si>
    <t>NPW62502</t>
  </si>
  <si>
    <t>425-NS62515-I</t>
  </si>
  <si>
    <t>NS62515</t>
  </si>
  <si>
    <t>425-NS62515-O</t>
  </si>
  <si>
    <t>425-NS62515W-I</t>
  </si>
  <si>
    <t>425-NS62515W-O</t>
  </si>
  <si>
    <t>GLW25142</t>
  </si>
  <si>
    <t>工数</t>
    <rPh sb="0" eb="2">
      <t>コウスウ</t>
    </rPh>
    <phoneticPr fontId="2"/>
  </si>
  <si>
    <t>金額</t>
    <rPh sb="0" eb="2">
      <t>キンガク</t>
    </rPh>
    <phoneticPr fontId="2"/>
  </si>
  <si>
    <t>パターンメイク</t>
  </si>
  <si>
    <t>グレーデイング</t>
  </si>
  <si>
    <t>縫製仕様書</t>
  </si>
  <si>
    <t>商品開発</t>
    <rPh sb="0" eb="2">
      <t>ショウヒン</t>
    </rPh>
    <rPh sb="2" eb="4">
      <t>カイハツ</t>
    </rPh>
    <phoneticPr fontId="8"/>
  </si>
  <si>
    <t>新規素材、加工技術調査、サンプル試作</t>
    <rPh sb="0" eb="2">
      <t>シンキ</t>
    </rPh>
    <rPh sb="2" eb="4">
      <t>ソザイ</t>
    </rPh>
    <rPh sb="5" eb="7">
      <t>カコウ</t>
    </rPh>
    <rPh sb="7" eb="9">
      <t>ギジュツ</t>
    </rPh>
    <rPh sb="9" eb="11">
      <t>チョウサ</t>
    </rPh>
    <rPh sb="16" eb="18">
      <t>シサク</t>
    </rPh>
    <phoneticPr fontId="8"/>
  </si>
  <si>
    <t>加工技術</t>
    <rPh sb="0" eb="2">
      <t>カコウ</t>
    </rPh>
    <rPh sb="2" eb="4">
      <t>ギジュツ</t>
    </rPh>
    <phoneticPr fontId="8"/>
  </si>
  <si>
    <t>溶着縫製、パターン自動機、ダウン充填機設計</t>
    <rPh sb="0" eb="2">
      <t>ヨウチャク</t>
    </rPh>
    <rPh sb="2" eb="4">
      <t>ホウセイ</t>
    </rPh>
    <rPh sb="9" eb="11">
      <t>ジドウ</t>
    </rPh>
    <rPh sb="11" eb="12">
      <t>キ</t>
    </rPh>
    <rPh sb="16" eb="18">
      <t>ジュウテン</t>
    </rPh>
    <rPh sb="18" eb="19">
      <t>キ</t>
    </rPh>
    <rPh sb="19" eb="21">
      <t>セッケイ</t>
    </rPh>
    <phoneticPr fontId="8"/>
  </si>
  <si>
    <t>生産技術</t>
    <rPh sb="0" eb="2">
      <t>セイサン</t>
    </rPh>
    <rPh sb="2" eb="4">
      <t>ギジュツ</t>
    </rPh>
    <phoneticPr fontId="8"/>
  </si>
  <si>
    <t>IE、ライン設計</t>
    <rPh sb="6" eb="8">
      <t>セッケイ</t>
    </rPh>
    <phoneticPr fontId="8"/>
  </si>
  <si>
    <t>評価技術</t>
    <rPh sb="0" eb="2">
      <t>ヒョウカ</t>
    </rPh>
    <rPh sb="2" eb="4">
      <t>ギジュツ</t>
    </rPh>
    <phoneticPr fontId="8"/>
  </si>
  <si>
    <t>機能性評価、商品評価、物性試験等</t>
    <rPh sb="0" eb="3">
      <t>キノウセイ</t>
    </rPh>
    <rPh sb="3" eb="5">
      <t>ヒョウカ</t>
    </rPh>
    <rPh sb="6" eb="8">
      <t>ショウヒン</t>
    </rPh>
    <rPh sb="8" eb="10">
      <t>ヒョウカ</t>
    </rPh>
    <rPh sb="11" eb="13">
      <t>ブッセイ</t>
    </rPh>
    <rPh sb="13" eb="15">
      <t>シケン</t>
    </rPh>
    <rPh sb="15" eb="16">
      <t>トウ</t>
    </rPh>
    <phoneticPr fontId="8"/>
  </si>
  <si>
    <t>発送</t>
    <rPh sb="0" eb="2">
      <t>ハッソウ</t>
    </rPh>
    <phoneticPr fontId="8"/>
  </si>
  <si>
    <t>サンプル発送</t>
    <rPh sb="4" eb="6">
      <t>ハッソウ</t>
    </rPh>
    <phoneticPr fontId="8"/>
  </si>
  <si>
    <t>資材不足確認</t>
    <rPh sb="0" eb="2">
      <t>シザイ</t>
    </rPh>
    <rPh sb="2" eb="4">
      <t>フソク</t>
    </rPh>
    <rPh sb="4" eb="6">
      <t>カクニン</t>
    </rPh>
    <phoneticPr fontId="8"/>
  </si>
  <si>
    <t>不足資材を確認してTIへ連絡する</t>
    <rPh sb="0" eb="2">
      <t>フソク</t>
    </rPh>
    <rPh sb="2" eb="4">
      <t>シザイ</t>
    </rPh>
    <rPh sb="5" eb="7">
      <t>カクニン</t>
    </rPh>
    <rPh sb="12" eb="14">
      <t>レンラク</t>
    </rPh>
    <phoneticPr fontId="8"/>
  </si>
  <si>
    <t>作業</t>
    <rPh sb="0" eb="2">
      <t>サギョウ</t>
    </rPh>
    <phoneticPr fontId="8"/>
  </si>
  <si>
    <t>作業内容</t>
    <rPh sb="0" eb="2">
      <t>サギョウ</t>
    </rPh>
    <rPh sb="2" eb="4">
      <t>ナイヨウ</t>
    </rPh>
    <phoneticPr fontId="8"/>
  </si>
  <si>
    <t>天方顧問担当品番出荷実績</t>
  </si>
  <si>
    <t>TIVN担当者</t>
  </si>
  <si>
    <t>ブランド</t>
  </si>
  <si>
    <t>契約番号</t>
  </si>
  <si>
    <t>計画数</t>
  </si>
  <si>
    <t>仕向け地</t>
  </si>
  <si>
    <t>ETD</t>
  </si>
  <si>
    <t>出荷数</t>
  </si>
  <si>
    <t>計画実績差</t>
  </si>
  <si>
    <t>TNF</t>
  </si>
  <si>
    <t>Toray International Vietnam Co., Ltd</t>
  </si>
  <si>
    <t>-</t>
    <phoneticPr fontId="2"/>
  </si>
  <si>
    <t>単位/千USD</t>
    <rPh sb="0" eb="2">
      <t>タンイ</t>
    </rPh>
    <rPh sb="3" eb="4">
      <t>セン</t>
    </rPh>
    <phoneticPr fontId="2"/>
  </si>
  <si>
    <t>総計</t>
    <rPh sb="0" eb="2">
      <t>ソウケイ</t>
    </rPh>
    <phoneticPr fontId="2"/>
  </si>
  <si>
    <t>Trang</t>
  </si>
  <si>
    <t>該否</t>
    <rPh sb="0" eb="2">
      <t>ガイヒ</t>
    </rPh>
    <phoneticPr fontId="2"/>
  </si>
  <si>
    <t>課税価格参入金額</t>
    <rPh sb="0" eb="2">
      <t>カゼイ</t>
    </rPh>
    <rPh sb="2" eb="4">
      <t>カカク</t>
    </rPh>
    <rPh sb="4" eb="6">
      <t>サンニュウ</t>
    </rPh>
    <rPh sb="6" eb="8">
      <t>キンガク</t>
    </rPh>
    <phoneticPr fontId="2"/>
  </si>
  <si>
    <t>分類</t>
    <rPh sb="0" eb="2">
      <t>ブンルイ</t>
    </rPh>
    <phoneticPr fontId="8"/>
  </si>
  <si>
    <t>工程</t>
    <rPh sb="0" eb="2">
      <t>コウテイ</t>
    </rPh>
    <phoneticPr fontId="8"/>
  </si>
  <si>
    <t>発生頻度</t>
    <rPh sb="0" eb="2">
      <t>ハッセイ</t>
    </rPh>
    <rPh sb="2" eb="4">
      <t>ヒンド</t>
    </rPh>
    <phoneticPr fontId="8"/>
  </si>
  <si>
    <t>総括</t>
    <rPh sb="0" eb="2">
      <t>ソウカツ</t>
    </rPh>
    <phoneticPr fontId="8"/>
  </si>
  <si>
    <t>契約管理</t>
    <rPh sb="2" eb="4">
      <t>カンリ</t>
    </rPh>
    <phoneticPr fontId="8"/>
  </si>
  <si>
    <t>Debit Note</t>
    <phoneticPr fontId="8"/>
  </si>
  <si>
    <t>Debit Note確認、実績踏まえ更新交渉</t>
    <rPh sb="10" eb="12">
      <t>カクニン</t>
    </rPh>
    <rPh sb="13" eb="15">
      <t>ジッセキ</t>
    </rPh>
    <rPh sb="15" eb="16">
      <t>フ</t>
    </rPh>
    <rPh sb="18" eb="20">
      <t>コウシン</t>
    </rPh>
    <rPh sb="20" eb="22">
      <t>コウショウ</t>
    </rPh>
    <phoneticPr fontId="8"/>
  </si>
  <si>
    <t>月次</t>
    <rPh sb="0" eb="2">
      <t>ゲツジ</t>
    </rPh>
    <phoneticPr fontId="8"/>
  </si>
  <si>
    <t>-</t>
  </si>
  <si>
    <t>●</t>
    <phoneticPr fontId="2"/>
  </si>
  <si>
    <t>交渉</t>
    <rPh sb="0" eb="2">
      <t>コウショウ</t>
    </rPh>
    <phoneticPr fontId="8"/>
  </si>
  <si>
    <t>出勤管理</t>
    <rPh sb="0" eb="2">
      <t>シュッキン</t>
    </rPh>
    <rPh sb="2" eb="4">
      <t>カンリ</t>
    </rPh>
    <phoneticPr fontId="8"/>
  </si>
  <si>
    <t>月ごとの出勤状況をまとめる</t>
    <rPh sb="0" eb="1">
      <t>ツキ</t>
    </rPh>
    <rPh sb="4" eb="6">
      <t>シュッキン</t>
    </rPh>
    <rPh sb="6" eb="8">
      <t>ジョウキョウ</t>
    </rPh>
    <phoneticPr fontId="8"/>
  </si>
  <si>
    <t>期中変更対応</t>
    <rPh sb="0" eb="2">
      <t>キチュウ</t>
    </rPh>
    <rPh sb="2" eb="4">
      <t>ヘンコウ</t>
    </rPh>
    <rPh sb="4" eb="6">
      <t>タイオウ</t>
    </rPh>
    <phoneticPr fontId="8"/>
  </si>
  <si>
    <t>工場からの業務内容変更要請対応</t>
    <rPh sb="0" eb="2">
      <t>コウジョウ</t>
    </rPh>
    <rPh sb="5" eb="7">
      <t>ギョウム</t>
    </rPh>
    <rPh sb="7" eb="9">
      <t>ナイヨウ</t>
    </rPh>
    <rPh sb="9" eb="11">
      <t>ヘンコウ</t>
    </rPh>
    <rPh sb="11" eb="13">
      <t>ヨウセイ</t>
    </rPh>
    <rPh sb="13" eb="15">
      <t>タイオウ</t>
    </rPh>
    <phoneticPr fontId="8"/>
  </si>
  <si>
    <t>不定期（頻度低）</t>
    <rPh sb="0" eb="3">
      <t>フテイキ</t>
    </rPh>
    <rPh sb="4" eb="6">
      <t>ヒンド</t>
    </rPh>
    <rPh sb="6" eb="7">
      <t>テイ</t>
    </rPh>
    <phoneticPr fontId="8"/>
  </si>
  <si>
    <t>生産計画調整</t>
    <rPh sb="0" eb="2">
      <t>セイサン</t>
    </rPh>
    <rPh sb="2" eb="4">
      <t>ケイカク</t>
    </rPh>
    <rPh sb="4" eb="6">
      <t>チョウセイ</t>
    </rPh>
    <phoneticPr fontId="8"/>
  </si>
  <si>
    <t>工場との生産計画調整・決定</t>
    <rPh sb="0" eb="2">
      <t>コウジョウ</t>
    </rPh>
    <rPh sb="4" eb="6">
      <t>セイサン</t>
    </rPh>
    <rPh sb="6" eb="8">
      <t>ケイカク</t>
    </rPh>
    <rPh sb="8" eb="10">
      <t>チョウセイ</t>
    </rPh>
    <rPh sb="11" eb="13">
      <t>ケッテイ</t>
    </rPh>
    <phoneticPr fontId="8"/>
  </si>
  <si>
    <t>週次</t>
    <rPh sb="0" eb="2">
      <t>シュウジ</t>
    </rPh>
    <phoneticPr fontId="8"/>
  </si>
  <si>
    <t>残業要請</t>
    <rPh sb="0" eb="2">
      <t>ザンギョウ</t>
    </rPh>
    <rPh sb="2" eb="4">
      <t>ヨウセイ</t>
    </rPh>
    <phoneticPr fontId="8"/>
  </si>
  <si>
    <t>Air代負担交渉</t>
    <rPh sb="3" eb="4">
      <t>ダイ</t>
    </rPh>
    <rPh sb="4" eb="6">
      <t>フタン</t>
    </rPh>
    <rPh sb="6" eb="8">
      <t>コウショウ</t>
    </rPh>
    <phoneticPr fontId="8"/>
  </si>
  <si>
    <t>外注工賃交渉</t>
    <rPh sb="0" eb="2">
      <t>ガイチュウ</t>
    </rPh>
    <rPh sb="2" eb="4">
      <t>コウチン</t>
    </rPh>
    <rPh sb="4" eb="6">
      <t>コウショウ</t>
    </rPh>
    <phoneticPr fontId="8"/>
  </si>
  <si>
    <t>AUDIT</t>
  </si>
  <si>
    <t>事前準備</t>
    <rPh sb="0" eb="2">
      <t>ジゼン</t>
    </rPh>
    <rPh sb="2" eb="4">
      <t>ジュンビ</t>
    </rPh>
    <phoneticPr fontId="8"/>
  </si>
  <si>
    <t>提出書類、工場指導</t>
    <rPh sb="0" eb="2">
      <t>テイシュツ</t>
    </rPh>
    <rPh sb="2" eb="4">
      <t>ショルイ</t>
    </rPh>
    <rPh sb="5" eb="7">
      <t>コウジョウ</t>
    </rPh>
    <rPh sb="7" eb="9">
      <t>シドウ</t>
    </rPh>
    <phoneticPr fontId="8"/>
  </si>
  <si>
    <t>※１</t>
    <phoneticPr fontId="2"/>
  </si>
  <si>
    <t>当日対応</t>
    <rPh sb="0" eb="2">
      <t>トウジツ</t>
    </rPh>
    <rPh sb="2" eb="4">
      <t>タイオウ</t>
    </rPh>
    <phoneticPr fontId="8"/>
  </si>
  <si>
    <t>来客、</t>
    <rPh sb="0" eb="2">
      <t>ライキャク</t>
    </rPh>
    <phoneticPr fontId="8"/>
  </si>
  <si>
    <t>移動</t>
    <rPh sb="0" eb="2">
      <t>イドウ</t>
    </rPh>
    <phoneticPr fontId="8"/>
  </si>
  <si>
    <t>車、ホテル手配</t>
    <rPh sb="0" eb="1">
      <t>クルマ</t>
    </rPh>
    <rPh sb="5" eb="7">
      <t>テハイ</t>
    </rPh>
    <phoneticPr fontId="8"/>
  </si>
  <si>
    <t>不定期（頻度高）</t>
    <rPh sb="0" eb="3">
      <t>フテイキ</t>
    </rPh>
    <rPh sb="4" eb="6">
      <t>ヒンド</t>
    </rPh>
    <rPh sb="6" eb="7">
      <t>タカ</t>
    </rPh>
    <phoneticPr fontId="8"/>
  </si>
  <si>
    <t>出張対応</t>
    <rPh sb="0" eb="2">
      <t>シュッチョウ</t>
    </rPh>
    <rPh sb="2" eb="4">
      <t>タイオウ</t>
    </rPh>
    <phoneticPr fontId="8"/>
  </si>
  <si>
    <t>工場アテンド</t>
    <rPh sb="0" eb="2">
      <t>コウジョウ</t>
    </rPh>
    <phoneticPr fontId="8"/>
  </si>
  <si>
    <t>案内、食事</t>
    <rPh sb="0" eb="2">
      <t>アンナイ</t>
    </rPh>
    <rPh sb="3" eb="5">
      <t>ショクジ</t>
    </rPh>
    <phoneticPr fontId="8"/>
  </si>
  <si>
    <t>安全管理</t>
    <rPh sb="0" eb="2">
      <t>アンゼン</t>
    </rPh>
    <rPh sb="2" eb="4">
      <t>カンリ</t>
    </rPh>
    <phoneticPr fontId="8"/>
  </si>
  <si>
    <t>行程把握、緊急時対応</t>
    <rPh sb="0" eb="2">
      <t>コウテイ</t>
    </rPh>
    <rPh sb="2" eb="4">
      <t>ハアク</t>
    </rPh>
    <rPh sb="5" eb="8">
      <t>キンキュウジ</t>
    </rPh>
    <rPh sb="8" eb="10">
      <t>タイオウ</t>
    </rPh>
    <phoneticPr fontId="8"/>
  </si>
  <si>
    <t>企画</t>
    <rPh sb="0" eb="2">
      <t>キカク</t>
    </rPh>
    <phoneticPr fontId="8"/>
  </si>
  <si>
    <t>開発</t>
    <rPh sb="0" eb="2">
      <t>カイハツ</t>
    </rPh>
    <phoneticPr fontId="8"/>
  </si>
  <si>
    <t>不定期（頻度中）</t>
    <rPh sb="0" eb="3">
      <t>フテイキ</t>
    </rPh>
    <rPh sb="4" eb="6">
      <t>ヒンド</t>
    </rPh>
    <rPh sb="6" eb="7">
      <t>チュウ</t>
    </rPh>
    <phoneticPr fontId="8"/>
  </si>
  <si>
    <t>●</t>
  </si>
  <si>
    <t>管理技術</t>
    <rPh sb="0" eb="2">
      <t>カンリ</t>
    </rPh>
    <rPh sb="2" eb="4">
      <t>ギジュツ</t>
    </rPh>
    <phoneticPr fontId="8"/>
  </si>
  <si>
    <t>工程分析、進捗ばらつき、QC管理手法</t>
    <rPh sb="0" eb="2">
      <t>コウテイ</t>
    </rPh>
    <rPh sb="2" eb="4">
      <t>ブンセキ</t>
    </rPh>
    <phoneticPr fontId="8"/>
  </si>
  <si>
    <t>前段取り</t>
    <rPh sb="0" eb="1">
      <t>マエ</t>
    </rPh>
    <rPh sb="1" eb="3">
      <t>ダンド</t>
    </rPh>
    <phoneticPr fontId="8"/>
  </si>
  <si>
    <t>生産計画</t>
    <rPh sb="0" eb="2">
      <t>セイサン</t>
    </rPh>
    <rPh sb="2" eb="4">
      <t>ケイカク</t>
    </rPh>
    <phoneticPr fontId="8"/>
  </si>
  <si>
    <t>プランテーブル</t>
  </si>
  <si>
    <t>長期生産計画</t>
    <rPh sb="0" eb="2">
      <t>チョウキ</t>
    </rPh>
    <rPh sb="2" eb="4">
      <t>セイサン</t>
    </rPh>
    <rPh sb="4" eb="6">
      <t>ケイカク</t>
    </rPh>
    <phoneticPr fontId="8"/>
  </si>
  <si>
    <t>明細連絡</t>
    <rPh sb="0" eb="2">
      <t>メイサイ</t>
    </rPh>
    <rPh sb="2" eb="4">
      <t>レンラク</t>
    </rPh>
    <phoneticPr fontId="8"/>
  </si>
  <si>
    <t>SKU明細を工場へ連絡する</t>
    <rPh sb="3" eb="5">
      <t>メイサイ</t>
    </rPh>
    <rPh sb="6" eb="8">
      <t>コウジョウ</t>
    </rPh>
    <rPh sb="9" eb="11">
      <t>レンラク</t>
    </rPh>
    <phoneticPr fontId="8"/>
  </si>
  <si>
    <t>日次</t>
    <rPh sb="0" eb="2">
      <t>ニチジ</t>
    </rPh>
    <phoneticPr fontId="8"/>
  </si>
  <si>
    <t>工場生産計画</t>
    <rPh sb="0" eb="2">
      <t>コウジョウ</t>
    </rPh>
    <rPh sb="2" eb="4">
      <t>セイサン</t>
    </rPh>
    <rPh sb="4" eb="6">
      <t>ケイカク</t>
    </rPh>
    <phoneticPr fontId="8"/>
  </si>
  <si>
    <t>中期生産計画</t>
    <rPh sb="0" eb="2">
      <t>チュウキ</t>
    </rPh>
    <rPh sb="2" eb="4">
      <t>セイサン</t>
    </rPh>
    <rPh sb="4" eb="6">
      <t>ケイカク</t>
    </rPh>
    <phoneticPr fontId="8"/>
  </si>
  <si>
    <t>資材進捗</t>
    <rPh sb="0" eb="2">
      <t>シザイ</t>
    </rPh>
    <rPh sb="2" eb="4">
      <t>シンチョク</t>
    </rPh>
    <phoneticPr fontId="8"/>
  </si>
  <si>
    <t>材料の進捗状況を確認し工場へ報告する</t>
    <rPh sb="0" eb="2">
      <t>ザイリョウ</t>
    </rPh>
    <rPh sb="3" eb="5">
      <t>シンチョク</t>
    </rPh>
    <rPh sb="5" eb="7">
      <t>ジョウキョウ</t>
    </rPh>
    <rPh sb="8" eb="10">
      <t>カクニン</t>
    </rPh>
    <rPh sb="11" eb="13">
      <t>コウジョウ</t>
    </rPh>
    <rPh sb="14" eb="16">
      <t>ホウコク</t>
    </rPh>
    <phoneticPr fontId="8"/>
  </si>
  <si>
    <t>注意連絡</t>
    <rPh sb="0" eb="2">
      <t>チュウイ</t>
    </rPh>
    <rPh sb="2" eb="4">
      <t>レ</t>
    </rPh>
    <phoneticPr fontId="8"/>
  </si>
  <si>
    <t>特別に注視する内容を工場へ連絡</t>
    <rPh sb="0" eb="2">
      <t>トクベツ</t>
    </rPh>
    <rPh sb="3" eb="5">
      <t>チュウシ</t>
    </rPh>
    <rPh sb="7" eb="9">
      <t>ナイヨウ</t>
    </rPh>
    <rPh sb="10" eb="12">
      <t>コウジョウ</t>
    </rPh>
    <rPh sb="13" eb="15">
      <t>レ</t>
    </rPh>
    <phoneticPr fontId="8"/>
  </si>
  <si>
    <t>サンプル</t>
    <phoneticPr fontId="8"/>
  </si>
  <si>
    <t>受注</t>
    <rPh sb="0" eb="2">
      <t>ジュチュウ</t>
    </rPh>
    <phoneticPr fontId="8"/>
  </si>
  <si>
    <t>営業オーダー受注。サンプル管理表への記入</t>
    <rPh sb="0" eb="2">
      <t>エイギョウ</t>
    </rPh>
    <rPh sb="6" eb="8">
      <t>ジュチュウ</t>
    </rPh>
    <rPh sb="13" eb="15">
      <t>カンリ</t>
    </rPh>
    <rPh sb="15" eb="16">
      <t>ヒョウ</t>
    </rPh>
    <rPh sb="18" eb="20">
      <t>キニュウ</t>
    </rPh>
    <phoneticPr fontId="8"/>
  </si>
  <si>
    <t>工場指示</t>
    <rPh sb="0" eb="2">
      <t>コウジョウ</t>
    </rPh>
    <rPh sb="2" eb="4">
      <t>シジ</t>
    </rPh>
    <phoneticPr fontId="8"/>
  </si>
  <si>
    <t>日本からのサンプル依頼を工場へ連絡</t>
    <rPh sb="0" eb="2">
      <t>ニホン</t>
    </rPh>
    <rPh sb="9" eb="11">
      <t>イライ</t>
    </rPh>
    <rPh sb="12" eb="14">
      <t>コウジョウ</t>
    </rPh>
    <rPh sb="15" eb="17">
      <t>レ</t>
    </rPh>
    <phoneticPr fontId="8"/>
  </si>
  <si>
    <t>納期回答</t>
    <rPh sb="0" eb="2">
      <t>ノウキ</t>
    </rPh>
    <rPh sb="2" eb="4">
      <t>カイトウ</t>
    </rPh>
    <phoneticPr fontId="8"/>
  </si>
  <si>
    <t>工場スケジューリング、納期回答</t>
    <rPh sb="0" eb="2">
      <t>コウジョウ</t>
    </rPh>
    <rPh sb="11" eb="13">
      <t>ノウキ</t>
    </rPh>
    <rPh sb="13" eb="15">
      <t>カイトウ</t>
    </rPh>
    <phoneticPr fontId="8"/>
  </si>
  <si>
    <t>仕様</t>
    <rPh sb="0" eb="2">
      <t>シヨウ</t>
    </rPh>
    <phoneticPr fontId="8"/>
  </si>
  <si>
    <t>仕様書の受領、翻訳</t>
    <rPh sb="0" eb="3">
      <t>シヨウショ</t>
    </rPh>
    <rPh sb="4" eb="6">
      <t>ジュリョウ</t>
    </rPh>
    <rPh sb="7" eb="9">
      <t>ホンヤク</t>
    </rPh>
    <phoneticPr fontId="8"/>
  </si>
  <si>
    <t>パターンチェック</t>
    <phoneticPr fontId="8"/>
  </si>
  <si>
    <t>パターンの受領、寸法チェック</t>
    <rPh sb="5" eb="7">
      <t>ジュリョウ</t>
    </rPh>
    <rPh sb="8" eb="10">
      <t>スンポウ</t>
    </rPh>
    <phoneticPr fontId="8"/>
  </si>
  <si>
    <t>用尺計算</t>
    <rPh sb="0" eb="2">
      <t>ヨウジャク</t>
    </rPh>
    <rPh sb="2" eb="4">
      <t>ケイサン</t>
    </rPh>
    <phoneticPr fontId="8"/>
  </si>
  <si>
    <t>工場の作成したマーカー図のチェック、修正依頼</t>
    <rPh sb="0" eb="2">
      <t>コウジョウ</t>
    </rPh>
    <rPh sb="3" eb="5">
      <t>サクセイ</t>
    </rPh>
    <rPh sb="11" eb="12">
      <t>ズ</t>
    </rPh>
    <rPh sb="18" eb="20">
      <t>シュウセイ</t>
    </rPh>
    <rPh sb="20" eb="22">
      <t>イライ</t>
    </rPh>
    <phoneticPr fontId="10"/>
  </si>
  <si>
    <t>進捗フォロー</t>
    <rPh sb="0" eb="2">
      <t>シンチョク</t>
    </rPh>
    <phoneticPr fontId="8"/>
  </si>
  <si>
    <t>サンプルラインへの進捗フォロー</t>
    <rPh sb="9" eb="11">
      <t>シンチョク</t>
    </rPh>
    <phoneticPr fontId="8"/>
  </si>
  <si>
    <t>週3回程度</t>
    <rPh sb="0" eb="1">
      <t>シュウ</t>
    </rPh>
    <rPh sb="2" eb="3">
      <t>カイ</t>
    </rPh>
    <rPh sb="3" eb="5">
      <t>テイド</t>
    </rPh>
    <phoneticPr fontId="8"/>
  </si>
  <si>
    <t>諸確認</t>
    <rPh sb="0" eb="1">
      <t>ショ</t>
    </rPh>
    <rPh sb="1" eb="3">
      <t>カクニン</t>
    </rPh>
    <phoneticPr fontId="8"/>
  </si>
  <si>
    <t>サンプル班からの問合せ・質問対応</t>
    <rPh sb="4" eb="5">
      <t>ハン</t>
    </rPh>
    <rPh sb="8" eb="9">
      <t>ト</t>
    </rPh>
    <rPh sb="9" eb="10">
      <t>ア</t>
    </rPh>
    <rPh sb="12" eb="14">
      <t>シツモン</t>
    </rPh>
    <rPh sb="14" eb="16">
      <t>タイオウ</t>
    </rPh>
    <phoneticPr fontId="8"/>
  </si>
  <si>
    <t>問題抽出・改善提案</t>
    <rPh sb="0" eb="2">
      <t>モンダイ</t>
    </rPh>
    <rPh sb="2" eb="4">
      <t>チュウシュツ</t>
    </rPh>
    <rPh sb="5" eb="7">
      <t>カイゼン</t>
    </rPh>
    <rPh sb="7" eb="9">
      <t>テイアン</t>
    </rPh>
    <phoneticPr fontId="8"/>
  </si>
  <si>
    <t>仕様・素材に不具合があればアラート・改善提案する。</t>
    <rPh sb="0" eb="2">
      <t>シヨウ</t>
    </rPh>
    <rPh sb="3" eb="5">
      <t>ソザイ</t>
    </rPh>
    <rPh sb="6" eb="9">
      <t>フグアイ</t>
    </rPh>
    <rPh sb="18" eb="20">
      <t>カイゼン</t>
    </rPh>
    <rPh sb="20" eb="22">
      <t>テイアン</t>
    </rPh>
    <phoneticPr fontId="8"/>
  </si>
  <si>
    <t>コメント連絡</t>
    <rPh sb="4" eb="6">
      <t>レンラク</t>
    </rPh>
    <phoneticPr fontId="8"/>
  </si>
  <si>
    <t>サンプルコメント・採寸表の記入と連絡</t>
    <rPh sb="9" eb="11">
      <t>サイスン</t>
    </rPh>
    <rPh sb="11" eb="12">
      <t>ヒョウ</t>
    </rPh>
    <rPh sb="13" eb="15">
      <t>キニュウ</t>
    </rPh>
    <rPh sb="16" eb="18">
      <t>レンラク</t>
    </rPh>
    <phoneticPr fontId="8"/>
  </si>
  <si>
    <t>二次加工</t>
    <rPh sb="0" eb="2">
      <t>ニジ</t>
    </rPh>
    <rPh sb="2" eb="4">
      <t>カコウ</t>
    </rPh>
    <phoneticPr fontId="8"/>
  </si>
  <si>
    <t>外部工場の見本に関してバルクでの問題点を確認・連絡</t>
    <rPh sb="0" eb="2">
      <t>ガイブ</t>
    </rPh>
    <rPh sb="2" eb="4">
      <t>コウジョウ</t>
    </rPh>
    <rPh sb="5" eb="7">
      <t>ミホン</t>
    </rPh>
    <rPh sb="8" eb="9">
      <t>カン</t>
    </rPh>
    <rPh sb="16" eb="19">
      <t>モンダイテン</t>
    </rPh>
    <rPh sb="20" eb="22">
      <t>カ</t>
    </rPh>
    <rPh sb="23" eb="25">
      <t>レ</t>
    </rPh>
    <phoneticPr fontId="8"/>
  </si>
  <si>
    <t>出荷連絡</t>
    <rPh sb="0" eb="2">
      <t>シュッカ</t>
    </rPh>
    <rPh sb="2" eb="4">
      <t>レンラク</t>
    </rPh>
    <phoneticPr fontId="8"/>
  </si>
  <si>
    <t>出荷明細、送り状NoをTIへ連絡する</t>
    <rPh sb="0" eb="2">
      <t>シュッカ</t>
    </rPh>
    <rPh sb="2" eb="4">
      <t>メイサイ</t>
    </rPh>
    <rPh sb="14" eb="16">
      <t>レンラク</t>
    </rPh>
    <phoneticPr fontId="8"/>
  </si>
  <si>
    <t>生産条件設定</t>
    <rPh sb="0" eb="2">
      <t>セイサン</t>
    </rPh>
    <rPh sb="2" eb="4">
      <t>ジョウケン</t>
    </rPh>
    <rPh sb="4" eb="6">
      <t>セッテイ</t>
    </rPh>
    <phoneticPr fontId="8"/>
  </si>
  <si>
    <t>接着・シーム条件検討。機能性検査・記録</t>
    <rPh sb="0" eb="2">
      <t>セッチャク</t>
    </rPh>
    <rPh sb="6" eb="8">
      <t>ジョウケン</t>
    </rPh>
    <rPh sb="8" eb="10">
      <t>ケントウ</t>
    </rPh>
    <rPh sb="11" eb="14">
      <t>キノウセイ</t>
    </rPh>
    <rPh sb="14" eb="16">
      <t>ケンサ</t>
    </rPh>
    <rPh sb="17" eb="19">
      <t>キロク</t>
    </rPh>
    <phoneticPr fontId="8"/>
  </si>
  <si>
    <t>工程分析</t>
    <rPh sb="0" eb="2">
      <t>コウテイ</t>
    </rPh>
    <rPh sb="2" eb="4">
      <t>ブンセキ</t>
    </rPh>
    <phoneticPr fontId="8"/>
  </si>
  <si>
    <t>生産能力・コスト試算</t>
    <rPh sb="0" eb="2">
      <t>セイサン</t>
    </rPh>
    <rPh sb="2" eb="4">
      <t>ノウリョク</t>
    </rPh>
    <rPh sb="8" eb="10">
      <t>シサン</t>
    </rPh>
    <phoneticPr fontId="8"/>
  </si>
  <si>
    <t>元見本管理</t>
    <rPh sb="0" eb="1">
      <t>モト</t>
    </rPh>
    <rPh sb="1" eb="3">
      <t>ミホン</t>
    </rPh>
    <rPh sb="3" eb="5">
      <t>カンリ</t>
    </rPh>
    <phoneticPr fontId="8"/>
  </si>
  <si>
    <t>元見本台帳を作成し入出庫を管理する</t>
    <rPh sb="0" eb="1">
      <t>モト</t>
    </rPh>
    <rPh sb="1" eb="3">
      <t>ミホン</t>
    </rPh>
    <rPh sb="3" eb="5">
      <t>ダイチョウ</t>
    </rPh>
    <rPh sb="6" eb="8">
      <t>サクセイ</t>
    </rPh>
    <rPh sb="9" eb="10">
      <t>イ</t>
    </rPh>
    <rPh sb="10" eb="12">
      <t>シュッコ</t>
    </rPh>
    <rPh sb="13" eb="15">
      <t>カンリ</t>
    </rPh>
    <phoneticPr fontId="8"/>
  </si>
  <si>
    <t>仕様書</t>
    <rPh sb="0" eb="3">
      <t>シヨウショ</t>
    </rPh>
    <phoneticPr fontId="8"/>
  </si>
  <si>
    <t>ファイル作成</t>
    <rPh sb="4" eb="6">
      <t>サクセイ</t>
    </rPh>
    <phoneticPr fontId="8"/>
  </si>
  <si>
    <t>仕様書をプリントアウトしブランド・シーズン別にファイルを作成</t>
    <rPh sb="0" eb="3">
      <t>シヨウショ</t>
    </rPh>
    <rPh sb="21" eb="22">
      <t>ベツ</t>
    </rPh>
    <rPh sb="28" eb="30">
      <t>サクセイ</t>
    </rPh>
    <phoneticPr fontId="8"/>
  </si>
  <si>
    <t>翻訳</t>
    <rPh sb="0" eb="2">
      <t>ホンヤク</t>
    </rPh>
    <phoneticPr fontId="8"/>
  </si>
  <si>
    <t>ベトナム語への翻訳</t>
    <rPh sb="4" eb="5">
      <t>ゴ</t>
    </rPh>
    <rPh sb="7" eb="9">
      <t>ホンヤク</t>
    </rPh>
    <phoneticPr fontId="8"/>
  </si>
  <si>
    <t>チェック</t>
    <phoneticPr fontId="8"/>
  </si>
  <si>
    <t>パターンや元見本と違ったり問題があった場合、TIへ連絡する</t>
    <rPh sb="5" eb="6">
      <t>モト</t>
    </rPh>
    <rPh sb="6" eb="8">
      <t>ミホン</t>
    </rPh>
    <rPh sb="9" eb="10">
      <t>チガ</t>
    </rPh>
    <rPh sb="13" eb="15">
      <t>モンダイ</t>
    </rPh>
    <rPh sb="19" eb="21">
      <t>バアイ</t>
    </rPh>
    <rPh sb="25" eb="27">
      <t>レンラク</t>
    </rPh>
    <phoneticPr fontId="8"/>
  </si>
  <si>
    <t>修正連絡</t>
    <rPh sb="0" eb="2">
      <t>シュウセイ</t>
    </rPh>
    <rPh sb="2" eb="4">
      <t>レンラク</t>
    </rPh>
    <phoneticPr fontId="8"/>
  </si>
  <si>
    <t>修正があれば修正仕様書を翻訳し工場へ連絡する</t>
    <rPh sb="0" eb="2">
      <t>シュウセイ</t>
    </rPh>
    <rPh sb="6" eb="8">
      <t>シュウセイ</t>
    </rPh>
    <rPh sb="8" eb="11">
      <t>シヨウショ</t>
    </rPh>
    <rPh sb="12" eb="14">
      <t>ホンヤク</t>
    </rPh>
    <rPh sb="18" eb="20">
      <t>レンラク</t>
    </rPh>
    <phoneticPr fontId="8"/>
  </si>
  <si>
    <t>パターン</t>
  </si>
  <si>
    <t>パターン確認と連絡</t>
  </si>
  <si>
    <t>パターンデータを工場へ転送、問題があればTIへ連絡</t>
  </si>
  <si>
    <t>パターン修正</t>
  </si>
  <si>
    <t>一部不具合を工場で修正するように指示</t>
    <rPh sb="0" eb="2">
      <t>イチブ</t>
    </rPh>
    <rPh sb="2" eb="5">
      <t>フグアイ</t>
    </rPh>
    <rPh sb="6" eb="8">
      <t>コウジョウ</t>
    </rPh>
    <rPh sb="9" eb="11">
      <t>シュウセイ</t>
    </rPh>
    <rPh sb="16" eb="18">
      <t>シジ</t>
    </rPh>
    <phoneticPr fontId="8"/>
  </si>
  <si>
    <t>CAD</t>
  </si>
  <si>
    <t>パターン作成作業、トレーニング</t>
    <phoneticPr fontId="2"/>
  </si>
  <si>
    <t>グレーデイング作業、トレーニング</t>
    <phoneticPr fontId="2"/>
  </si>
  <si>
    <t>縫製仕様書作成作業、トレーニング</t>
    <phoneticPr fontId="2"/>
  </si>
  <si>
    <t>資材管理</t>
    <rPh sb="0" eb="2">
      <t>シザイ</t>
    </rPh>
    <rPh sb="2" eb="4">
      <t>カンリ</t>
    </rPh>
    <phoneticPr fontId="8"/>
  </si>
  <si>
    <t>資材着荷確認</t>
    <rPh sb="0" eb="2">
      <t>シザイ</t>
    </rPh>
    <rPh sb="2" eb="4">
      <t>チャッカ</t>
    </rPh>
    <rPh sb="4" eb="6">
      <t>カクニン</t>
    </rPh>
    <phoneticPr fontId="8"/>
  </si>
  <si>
    <t>BL、P/L、DHL No などを工場へ連絡する</t>
    <rPh sb="20" eb="22">
      <t>レンラク</t>
    </rPh>
    <phoneticPr fontId="8"/>
  </si>
  <si>
    <t>工場からのバランスシートをもとにTIへ不足連絡をする</t>
    <rPh sb="0" eb="2">
      <t>コウジョウ</t>
    </rPh>
    <rPh sb="19" eb="21">
      <t>フソク</t>
    </rPh>
    <rPh sb="21" eb="23">
      <t>レンラク</t>
    </rPh>
    <phoneticPr fontId="8"/>
  </si>
  <si>
    <t>生地不良確認</t>
    <rPh sb="0" eb="2">
      <t>キジ</t>
    </rPh>
    <rPh sb="2" eb="4">
      <t>フリョウ</t>
    </rPh>
    <rPh sb="4" eb="6">
      <t>カクニン</t>
    </rPh>
    <phoneticPr fontId="8"/>
  </si>
  <si>
    <t>工場から検反報告をもらい不良内容をTIへ確認する</t>
    <rPh sb="0" eb="2">
      <t>コウジョウ</t>
    </rPh>
    <rPh sb="4" eb="5">
      <t>ケン</t>
    </rPh>
    <rPh sb="5" eb="6">
      <t>タン</t>
    </rPh>
    <rPh sb="6" eb="8">
      <t>ホウコク</t>
    </rPh>
    <rPh sb="12" eb="14">
      <t>フリョウ</t>
    </rPh>
    <rPh sb="14" eb="16">
      <t>ナイヨウ</t>
    </rPh>
    <rPh sb="20" eb="22">
      <t>カクニン</t>
    </rPh>
    <phoneticPr fontId="10"/>
  </si>
  <si>
    <t>本生産</t>
    <rPh sb="0" eb="1">
      <t>ホン</t>
    </rPh>
    <rPh sb="1" eb="3">
      <t>セイサン</t>
    </rPh>
    <phoneticPr fontId="8"/>
  </si>
  <si>
    <t>裁断</t>
    <rPh sb="0" eb="2">
      <t>サイダン</t>
    </rPh>
    <phoneticPr fontId="8"/>
  </si>
  <si>
    <t>明細確認</t>
    <rPh sb="0" eb="2">
      <t>メイサイ</t>
    </rPh>
    <rPh sb="2" eb="4">
      <t>カクニン</t>
    </rPh>
    <phoneticPr fontId="8"/>
  </si>
  <si>
    <t>工場が作成した裁断明細を入手しチェックする</t>
    <rPh sb="0" eb="2">
      <t>コウジョウ</t>
    </rPh>
    <rPh sb="3" eb="5">
      <t>サクセイ</t>
    </rPh>
    <rPh sb="7" eb="9">
      <t>サイダン</t>
    </rPh>
    <rPh sb="9" eb="11">
      <t>メイサイ</t>
    </rPh>
    <rPh sb="12" eb="14">
      <t>ニュウシュ</t>
    </rPh>
    <phoneticPr fontId="8"/>
  </si>
  <si>
    <t>要尺確認</t>
    <rPh sb="0" eb="1">
      <t>ヨウ</t>
    </rPh>
    <rPh sb="1" eb="2">
      <t>シャク</t>
    </rPh>
    <rPh sb="2" eb="4">
      <t>カクニン</t>
    </rPh>
    <phoneticPr fontId="8"/>
  </si>
  <si>
    <t>サンプル要尺を確認してTIへ連絡する</t>
    <rPh sb="4" eb="5">
      <t>ヨウ</t>
    </rPh>
    <rPh sb="5" eb="6">
      <t>シャク</t>
    </rPh>
    <rPh sb="7" eb="9">
      <t>カクニン</t>
    </rPh>
    <rPh sb="14" eb="16">
      <t>レンラク</t>
    </rPh>
    <phoneticPr fontId="8"/>
  </si>
  <si>
    <t>トラブル対応</t>
    <rPh sb="4" eb="6">
      <t>タイオウ</t>
    </rPh>
    <phoneticPr fontId="8"/>
  </si>
  <si>
    <t>色違い・収縮等のトラブル発生時の対応</t>
    <rPh sb="0" eb="1">
      <t>イロ</t>
    </rPh>
    <rPh sb="1" eb="2">
      <t>チガ</t>
    </rPh>
    <rPh sb="4" eb="6">
      <t>シュウシュク</t>
    </rPh>
    <rPh sb="6" eb="7">
      <t>トウ</t>
    </rPh>
    <rPh sb="12" eb="14">
      <t>ハッセイ</t>
    </rPh>
    <rPh sb="14" eb="15">
      <t>ジ</t>
    </rPh>
    <rPh sb="16" eb="18">
      <t>タイオウ</t>
    </rPh>
    <phoneticPr fontId="8"/>
  </si>
  <si>
    <t>刺繍</t>
    <rPh sb="0" eb="2">
      <t>シシュウ</t>
    </rPh>
    <phoneticPr fontId="8"/>
  </si>
  <si>
    <t>刺繍データを入手し、刺繍屋に連絡する</t>
    <rPh sb="0" eb="2">
      <t>シシュウ</t>
    </rPh>
    <rPh sb="6" eb="8">
      <t>ニュウシュ</t>
    </rPh>
    <rPh sb="10" eb="12">
      <t>シシュウ</t>
    </rPh>
    <rPh sb="12" eb="13">
      <t>ヤ</t>
    </rPh>
    <rPh sb="14" eb="16">
      <t>レンラク</t>
    </rPh>
    <phoneticPr fontId="8"/>
  </si>
  <si>
    <t>※2</t>
    <phoneticPr fontId="2"/>
  </si>
  <si>
    <t>プリント</t>
  </si>
  <si>
    <t>プリントデータを入手し、プリント屋に連絡する</t>
    <rPh sb="8" eb="10">
      <t>ニュウシュ</t>
    </rPh>
    <rPh sb="16" eb="17">
      <t>ヤ</t>
    </rPh>
    <rPh sb="18" eb="20">
      <t>レンラク</t>
    </rPh>
    <phoneticPr fontId="8"/>
  </si>
  <si>
    <t>キルト</t>
    <phoneticPr fontId="8"/>
  </si>
  <si>
    <t>依頼内容のバルク展開可否判断</t>
    <rPh sb="0" eb="2">
      <t>イライ</t>
    </rPh>
    <rPh sb="2" eb="4">
      <t>ナイヨウ</t>
    </rPh>
    <rPh sb="8" eb="10">
      <t>テンカイ</t>
    </rPh>
    <rPh sb="10" eb="12">
      <t>カヒ</t>
    </rPh>
    <rPh sb="12" eb="14">
      <t>ハンダン</t>
    </rPh>
    <phoneticPr fontId="8"/>
  </si>
  <si>
    <t>品位確認・評価</t>
    <rPh sb="0" eb="2">
      <t>ヒンイ</t>
    </rPh>
    <rPh sb="2" eb="4">
      <t>カクニン</t>
    </rPh>
    <rPh sb="5" eb="7">
      <t>ヒョウカ</t>
    </rPh>
    <phoneticPr fontId="8"/>
  </si>
  <si>
    <t>現物確認、客先個別試験</t>
    <rPh sb="0" eb="2">
      <t>ゲンブツ</t>
    </rPh>
    <rPh sb="2" eb="4">
      <t>カクニン</t>
    </rPh>
    <rPh sb="5" eb="7">
      <t>キャクサキ</t>
    </rPh>
    <rPh sb="7" eb="9">
      <t>コベツ</t>
    </rPh>
    <rPh sb="9" eb="11">
      <t>シケン</t>
    </rPh>
    <phoneticPr fontId="8"/>
  </si>
  <si>
    <t>生産</t>
    <rPh sb="0" eb="2">
      <t>セイサン</t>
    </rPh>
    <phoneticPr fontId="8"/>
  </si>
  <si>
    <t>仕様確認</t>
    <rPh sb="0" eb="2">
      <t>シヨウ</t>
    </rPh>
    <rPh sb="2" eb="4">
      <t>カクニン</t>
    </rPh>
    <phoneticPr fontId="8"/>
  </si>
  <si>
    <t>TIとの量産品の仕様確認</t>
    <rPh sb="4" eb="6">
      <t>リョウサン</t>
    </rPh>
    <rPh sb="6" eb="7">
      <t>ヒン</t>
    </rPh>
    <rPh sb="8" eb="10">
      <t>シヨウ</t>
    </rPh>
    <rPh sb="10" eb="12">
      <t>カクニン</t>
    </rPh>
    <phoneticPr fontId="8"/>
  </si>
  <si>
    <t>縫製指導</t>
    <rPh sb="0" eb="2">
      <t>ホウセイ</t>
    </rPh>
    <rPh sb="2" eb="4">
      <t>シドウ</t>
    </rPh>
    <phoneticPr fontId="8"/>
  </si>
  <si>
    <t>現場での縫製指導</t>
    <rPh sb="0" eb="2">
      <t>ゲンバ</t>
    </rPh>
    <rPh sb="4" eb="6">
      <t>ホウセイ</t>
    </rPh>
    <rPh sb="6" eb="8">
      <t>シドウ</t>
    </rPh>
    <phoneticPr fontId="8"/>
  </si>
  <si>
    <t>シーム・溶着指導</t>
    <rPh sb="4" eb="6">
      <t>ヨウチャク</t>
    </rPh>
    <rPh sb="6" eb="8">
      <t>シドウ</t>
    </rPh>
    <phoneticPr fontId="2"/>
  </si>
  <si>
    <t>日次</t>
    <rPh sb="0" eb="1">
      <t>ニチ</t>
    </rPh>
    <rPh sb="1" eb="2">
      <t>ジ</t>
    </rPh>
    <phoneticPr fontId="2"/>
  </si>
  <si>
    <t>納期管理</t>
    <rPh sb="0" eb="2">
      <t>ノウキ</t>
    </rPh>
    <rPh sb="2" eb="4">
      <t>カンリ</t>
    </rPh>
    <phoneticPr fontId="8"/>
  </si>
  <si>
    <t>生産日報、進捗の確認</t>
    <rPh sb="0" eb="2">
      <t>セイサン</t>
    </rPh>
    <rPh sb="2" eb="4">
      <t>ニッポウ</t>
    </rPh>
    <rPh sb="5" eb="7">
      <t>シンチョク</t>
    </rPh>
    <rPh sb="8" eb="10">
      <t>カクニン</t>
    </rPh>
    <phoneticPr fontId="8"/>
  </si>
  <si>
    <t>トラブルシュート</t>
  </si>
  <si>
    <t>各種トラブル対応(段取り、計画、工程、品質)</t>
    <rPh sb="0" eb="2">
      <t>カクシュ</t>
    </rPh>
    <rPh sb="6" eb="8">
      <t>タイオウ</t>
    </rPh>
    <rPh sb="9" eb="11">
      <t>ダンド</t>
    </rPh>
    <rPh sb="13" eb="15">
      <t>ケイカク</t>
    </rPh>
    <rPh sb="16" eb="18">
      <t>コウテイ</t>
    </rPh>
    <rPh sb="19" eb="21">
      <t>ヒンシツ</t>
    </rPh>
    <phoneticPr fontId="8"/>
  </si>
  <si>
    <t>生産結果記録</t>
    <rPh sb="0" eb="2">
      <t>セイサン</t>
    </rPh>
    <rPh sb="2" eb="4">
      <t>ケッカ</t>
    </rPh>
    <rPh sb="4" eb="6">
      <t>キロク</t>
    </rPh>
    <phoneticPr fontId="8"/>
  </si>
  <si>
    <t>問題・対策内容の記録と類似生産への水平展開</t>
  </si>
  <si>
    <t>技術者MTG</t>
    <rPh sb="0" eb="3">
      <t>ギジュツシャ</t>
    </rPh>
    <phoneticPr fontId="8"/>
  </si>
  <si>
    <t>工場の投入前MTGに参加し注意事項の確認</t>
    <rPh sb="0" eb="2">
      <t>コウジョウ</t>
    </rPh>
    <rPh sb="3" eb="5">
      <t>トウニュウ</t>
    </rPh>
    <rPh sb="5" eb="6">
      <t>マエ</t>
    </rPh>
    <rPh sb="10" eb="12">
      <t>サンカ</t>
    </rPh>
    <rPh sb="13" eb="15">
      <t>チュウイ</t>
    </rPh>
    <rPh sb="15" eb="17">
      <t>ジコウ</t>
    </rPh>
    <rPh sb="18" eb="20">
      <t>カ</t>
    </rPh>
    <phoneticPr fontId="8"/>
  </si>
  <si>
    <t>検査</t>
    <rPh sb="0" eb="2">
      <t>ケンサ</t>
    </rPh>
    <phoneticPr fontId="8"/>
  </si>
  <si>
    <t>検査目合わせ</t>
    <rPh sb="0" eb="2">
      <t>ケンサ</t>
    </rPh>
    <rPh sb="2" eb="3">
      <t>メ</t>
    </rPh>
    <rPh sb="3" eb="4">
      <t>ア</t>
    </rPh>
    <phoneticPr fontId="8"/>
  </si>
  <si>
    <t>投入後、最初に上がった製品の基準目合わせ</t>
    <rPh sb="0" eb="2">
      <t>トウニュウ</t>
    </rPh>
    <rPh sb="2" eb="3">
      <t>ゴ</t>
    </rPh>
    <rPh sb="4" eb="6">
      <t>サイショ</t>
    </rPh>
    <rPh sb="7" eb="8">
      <t>ア</t>
    </rPh>
    <rPh sb="11" eb="13">
      <t>セイヒン</t>
    </rPh>
    <rPh sb="14" eb="16">
      <t>キジュン</t>
    </rPh>
    <rPh sb="16" eb="17">
      <t>メ</t>
    </rPh>
    <rPh sb="17" eb="18">
      <t>ア</t>
    </rPh>
    <phoneticPr fontId="8"/>
  </si>
  <si>
    <t>※3</t>
    <phoneticPr fontId="2"/>
  </si>
  <si>
    <t>一次検査</t>
    <rPh sb="0" eb="2">
      <t>イチジ</t>
    </rPh>
    <rPh sb="2" eb="4">
      <t>ケンサ</t>
    </rPh>
    <phoneticPr fontId="8"/>
  </si>
  <si>
    <t>ライン上がり製品の縫製検査</t>
    <rPh sb="3" eb="4">
      <t>ア</t>
    </rPh>
    <rPh sb="6" eb="8">
      <t>セイヒン</t>
    </rPh>
    <rPh sb="9" eb="11">
      <t>ホウセイ</t>
    </rPh>
    <rPh sb="11" eb="13">
      <t>ケンサ</t>
    </rPh>
    <phoneticPr fontId="8"/>
  </si>
  <si>
    <t>二次検査</t>
    <rPh sb="0" eb="2">
      <t>ニジ</t>
    </rPh>
    <rPh sb="2" eb="4">
      <t>ケンサ</t>
    </rPh>
    <phoneticPr fontId="8"/>
  </si>
  <si>
    <t>仕上げ製品の外観検査</t>
    <rPh sb="0" eb="2">
      <t>シア</t>
    </rPh>
    <rPh sb="3" eb="5">
      <t>セイヒン</t>
    </rPh>
    <rPh sb="6" eb="8">
      <t>ガイカン</t>
    </rPh>
    <rPh sb="8" eb="10">
      <t>ケンサ</t>
    </rPh>
    <phoneticPr fontId="8"/>
  </si>
  <si>
    <t>出荷前検査</t>
    <rPh sb="0" eb="2">
      <t>シュッカ</t>
    </rPh>
    <rPh sb="2" eb="3">
      <t>マエ</t>
    </rPh>
    <rPh sb="3" eb="5">
      <t>ケンサ</t>
    </rPh>
    <phoneticPr fontId="8"/>
  </si>
  <si>
    <t>工場検品後の製品の抜取チェック</t>
    <rPh sb="0" eb="2">
      <t>コウジョウ</t>
    </rPh>
    <rPh sb="2" eb="4">
      <t>ケンピン</t>
    </rPh>
    <rPh sb="4" eb="5">
      <t>ゴ</t>
    </rPh>
    <rPh sb="6" eb="8">
      <t>セイヒン</t>
    </rPh>
    <rPh sb="9" eb="11">
      <t>ヌキトリ</t>
    </rPh>
    <phoneticPr fontId="8"/>
  </si>
  <si>
    <t>下札、ﾈｰﾑ確認</t>
    <rPh sb="0" eb="1">
      <t>サ</t>
    </rPh>
    <rPh sb="1" eb="2">
      <t>フダ</t>
    </rPh>
    <rPh sb="6" eb="8">
      <t>カクニン</t>
    </rPh>
    <phoneticPr fontId="8"/>
  </si>
  <si>
    <t>下げ札、ネーム類の印字内容のチェック</t>
    <rPh sb="0" eb="1">
      <t>サ</t>
    </rPh>
    <rPh sb="2" eb="3">
      <t>フダ</t>
    </rPh>
    <rPh sb="7" eb="8">
      <t>ルイ</t>
    </rPh>
    <rPh sb="9" eb="11">
      <t>インジ</t>
    </rPh>
    <rPh sb="11" eb="13">
      <t>ナイヨウ</t>
    </rPh>
    <phoneticPr fontId="8"/>
  </si>
  <si>
    <t>客先検査</t>
    <rPh sb="0" eb="2">
      <t>キャクサキ</t>
    </rPh>
    <rPh sb="2" eb="4">
      <t>ケンサ</t>
    </rPh>
    <phoneticPr fontId="8"/>
  </si>
  <si>
    <t>客先検査結果の工場連絡</t>
    <rPh sb="0" eb="2">
      <t>キャクサキ</t>
    </rPh>
    <rPh sb="2" eb="4">
      <t>ケンサ</t>
    </rPh>
    <rPh sb="4" eb="6">
      <t>ケッカ</t>
    </rPh>
    <rPh sb="7" eb="9">
      <t>コウジョウ</t>
    </rPh>
    <rPh sb="9" eb="11">
      <t>レンラク</t>
    </rPh>
    <phoneticPr fontId="8"/>
  </si>
  <si>
    <t>機能検査</t>
    <rPh sb="0" eb="2">
      <t>キノウ</t>
    </rPh>
    <rPh sb="2" eb="4">
      <t>ケンサ</t>
    </rPh>
    <phoneticPr fontId="8"/>
  </si>
  <si>
    <t>耐水圧・シーム製品抜き取り検査チェック</t>
    <rPh sb="0" eb="2">
      <t>タイスイ</t>
    </rPh>
    <rPh sb="2" eb="3">
      <t>アツ</t>
    </rPh>
    <rPh sb="7" eb="9">
      <t>セイヒン</t>
    </rPh>
    <rPh sb="9" eb="10">
      <t>ヌ</t>
    </rPh>
    <rPh sb="11" eb="12">
      <t>ト</t>
    </rPh>
    <rPh sb="13" eb="15">
      <t>ケンサ</t>
    </rPh>
    <phoneticPr fontId="8"/>
  </si>
  <si>
    <t>第三者検品</t>
    <rPh sb="0" eb="1">
      <t>ダイ</t>
    </rPh>
    <rPh sb="1" eb="3">
      <t>サンシャ</t>
    </rPh>
    <rPh sb="3" eb="5">
      <t>ケンピン</t>
    </rPh>
    <phoneticPr fontId="8"/>
  </si>
  <si>
    <t>外部検査機関との品質基準・日程調整</t>
    <rPh sb="0" eb="2">
      <t>ガイブ</t>
    </rPh>
    <rPh sb="2" eb="4">
      <t>ケンサ</t>
    </rPh>
    <rPh sb="4" eb="6">
      <t>キカン</t>
    </rPh>
    <rPh sb="8" eb="10">
      <t>ヒンシツ</t>
    </rPh>
    <rPh sb="10" eb="12">
      <t>キジュン</t>
    </rPh>
    <rPh sb="13" eb="15">
      <t>ニッテイ</t>
    </rPh>
    <rPh sb="15" eb="17">
      <t>チョウセイ</t>
    </rPh>
    <phoneticPr fontId="8"/>
  </si>
  <si>
    <t>出荷</t>
    <rPh sb="0" eb="2">
      <t>シュッカ</t>
    </rPh>
    <phoneticPr fontId="8"/>
  </si>
  <si>
    <t>P/L管理</t>
    <rPh sb="3" eb="5">
      <t>カンリ</t>
    </rPh>
    <phoneticPr fontId="8"/>
  </si>
  <si>
    <t>出荷後のP/Lチェックし、減産していれば補充確認する</t>
    <rPh sb="0" eb="2">
      <t>シュッカ</t>
    </rPh>
    <rPh sb="2" eb="3">
      <t>ゴ</t>
    </rPh>
    <rPh sb="13" eb="15">
      <t>ゲンサン</t>
    </rPh>
    <rPh sb="20" eb="22">
      <t>ホジュウ</t>
    </rPh>
    <rPh sb="22" eb="24">
      <t>カクニン</t>
    </rPh>
    <phoneticPr fontId="8"/>
  </si>
  <si>
    <t>出荷情報確認、P/L・C/Oを連絡(BL、IVは工場からTIへ連絡）</t>
    <rPh sb="0" eb="2">
      <t>シュッカ</t>
    </rPh>
    <rPh sb="2" eb="4">
      <t>ジョウホウ</t>
    </rPh>
    <rPh sb="4" eb="6">
      <t>カ</t>
    </rPh>
    <rPh sb="15" eb="17">
      <t>レンラク</t>
    </rPh>
    <rPh sb="24" eb="26">
      <t>コウジョウ</t>
    </rPh>
    <rPh sb="31" eb="33">
      <t>レンラク</t>
    </rPh>
    <phoneticPr fontId="8"/>
  </si>
  <si>
    <t>日程調整</t>
    <rPh sb="0" eb="2">
      <t>ニッテイ</t>
    </rPh>
    <rPh sb="2" eb="4">
      <t>チョウセイ</t>
    </rPh>
    <phoneticPr fontId="8"/>
  </si>
  <si>
    <t>出荷日・数量の変更依頼を工場と調整</t>
    <rPh sb="0" eb="2">
      <t>シュッカ</t>
    </rPh>
    <rPh sb="2" eb="3">
      <t>ビ</t>
    </rPh>
    <rPh sb="4" eb="6">
      <t>スウリョウ</t>
    </rPh>
    <rPh sb="7" eb="9">
      <t>ヘンコウ</t>
    </rPh>
    <rPh sb="9" eb="11">
      <t>イライ</t>
    </rPh>
    <rPh sb="12" eb="14">
      <t>コウジョウ</t>
    </rPh>
    <rPh sb="15" eb="17">
      <t>チョウセイ</t>
    </rPh>
    <phoneticPr fontId="8"/>
  </si>
  <si>
    <t>工場管理</t>
    <rPh sb="0" eb="2">
      <t>コウジョウ</t>
    </rPh>
    <rPh sb="2" eb="4">
      <t>カンリ</t>
    </rPh>
    <phoneticPr fontId="8"/>
  </si>
  <si>
    <t>備品管理</t>
    <rPh sb="0" eb="2">
      <t>ビヒン</t>
    </rPh>
    <rPh sb="2" eb="4">
      <t>カンリ</t>
    </rPh>
    <phoneticPr fontId="8"/>
  </si>
  <si>
    <t>消耗品管理</t>
    <rPh sb="0" eb="2">
      <t>ショウモウ</t>
    </rPh>
    <rPh sb="2" eb="3">
      <t>ヒン</t>
    </rPh>
    <rPh sb="3" eb="5">
      <t>カンリ</t>
    </rPh>
    <phoneticPr fontId="8"/>
  </si>
  <si>
    <t>工場で必要な消耗品をTIへ発注し受渡伝票を作成する</t>
    <rPh sb="3" eb="5">
      <t>ヒツヨウ</t>
    </rPh>
    <rPh sb="6" eb="8">
      <t>ショウモウ</t>
    </rPh>
    <rPh sb="8" eb="9">
      <t>ヒン</t>
    </rPh>
    <rPh sb="13" eb="15">
      <t>ハッチュウ</t>
    </rPh>
    <rPh sb="16" eb="18">
      <t>ウケワタシ</t>
    </rPh>
    <rPh sb="18" eb="20">
      <t>デンピョウ</t>
    </rPh>
    <rPh sb="21" eb="23">
      <t>サクセイ</t>
    </rPh>
    <phoneticPr fontId="8"/>
  </si>
  <si>
    <t>労務管理</t>
    <rPh sb="0" eb="2">
      <t>ロウム</t>
    </rPh>
    <rPh sb="2" eb="4">
      <t>カンリ</t>
    </rPh>
    <phoneticPr fontId="8"/>
  </si>
  <si>
    <t>出勤簿管理</t>
    <rPh sb="0" eb="2">
      <t>シュッキン</t>
    </rPh>
    <rPh sb="2" eb="3">
      <t>ボ</t>
    </rPh>
    <rPh sb="3" eb="5">
      <t>カンリ</t>
    </rPh>
    <phoneticPr fontId="8"/>
  </si>
  <si>
    <t>その他</t>
    <rPh sb="2" eb="3">
      <t>タ</t>
    </rPh>
    <phoneticPr fontId="8"/>
  </si>
  <si>
    <t>日次作業</t>
  </si>
  <si>
    <t>業務日報</t>
    <rPh sb="0" eb="2">
      <t>ギョウム</t>
    </rPh>
    <rPh sb="2" eb="4">
      <t>ニッポウ</t>
    </rPh>
    <phoneticPr fontId="8"/>
  </si>
  <si>
    <t>当日の行内容をTI東京へ報告</t>
    <rPh sb="0" eb="2">
      <t>トウジツ</t>
    </rPh>
    <rPh sb="3" eb="4">
      <t>ギョウ</t>
    </rPh>
    <rPh sb="4" eb="6">
      <t>ナイヨウ</t>
    </rPh>
    <rPh sb="9" eb="11">
      <t>トウキョウ</t>
    </rPh>
    <rPh sb="12" eb="14">
      <t>ホウコク</t>
    </rPh>
    <phoneticPr fontId="8"/>
  </si>
  <si>
    <t>進捗報告会</t>
    <rPh sb="0" eb="2">
      <t>シンチョク</t>
    </rPh>
    <rPh sb="2" eb="4">
      <t>ホウコク</t>
    </rPh>
    <rPh sb="4" eb="5">
      <t>カイ</t>
    </rPh>
    <phoneticPr fontId="8"/>
  </si>
  <si>
    <t>前日の生産進捗・工員出欠を各工場長より確認</t>
    <rPh sb="0" eb="2">
      <t>ゼンジツ</t>
    </rPh>
    <rPh sb="3" eb="5">
      <t>セ</t>
    </rPh>
    <rPh sb="5" eb="7">
      <t>シンチョク</t>
    </rPh>
    <rPh sb="8" eb="10">
      <t>コウイン</t>
    </rPh>
    <rPh sb="10" eb="12">
      <t>シュッケツ</t>
    </rPh>
    <rPh sb="13" eb="14">
      <t>カク</t>
    </rPh>
    <rPh sb="14" eb="17">
      <t>コウジョウチョウ</t>
    </rPh>
    <rPh sb="19" eb="21">
      <t>カ</t>
    </rPh>
    <phoneticPr fontId="8"/>
  </si>
  <si>
    <t>技術MTG</t>
    <rPh sb="0" eb="2">
      <t>ギジュツ</t>
    </rPh>
    <phoneticPr fontId="8"/>
  </si>
  <si>
    <t>工場技術・品管リーダーより前日のトピックスを確認</t>
    <rPh sb="0" eb="2">
      <t>コウジョウ</t>
    </rPh>
    <rPh sb="2" eb="4">
      <t>ギジュツ</t>
    </rPh>
    <rPh sb="5" eb="7">
      <t>ヒンカン</t>
    </rPh>
    <rPh sb="13" eb="15">
      <t>ゼンジツ</t>
    </rPh>
    <rPh sb="22" eb="24">
      <t>カ</t>
    </rPh>
    <phoneticPr fontId="8"/>
  </si>
  <si>
    <t>工場ラウンド</t>
  </si>
  <si>
    <t>工場報告内容確認</t>
  </si>
  <si>
    <t>HCMより材料引き取り</t>
    <rPh sb="5" eb="7">
      <t>ザイリョウ</t>
    </rPh>
    <rPh sb="7" eb="8">
      <t>ヒ</t>
    </rPh>
    <rPh sb="9" eb="10">
      <t>ト</t>
    </rPh>
    <phoneticPr fontId="8"/>
  </si>
  <si>
    <t>材料引き取り方法確認</t>
    <rPh sb="2" eb="3">
      <t>ヒ</t>
    </rPh>
    <rPh sb="4" eb="5">
      <t>ト</t>
    </rPh>
    <rPh sb="6" eb="8">
      <t>ホウホウ</t>
    </rPh>
    <rPh sb="8" eb="10">
      <t>カ</t>
    </rPh>
    <phoneticPr fontId="8"/>
  </si>
  <si>
    <t>日次</t>
    <phoneticPr fontId="8"/>
  </si>
  <si>
    <t>週次作業</t>
    <rPh sb="0" eb="2">
      <t>シュウジ</t>
    </rPh>
    <rPh sb="2" eb="4">
      <t>サギョウ</t>
    </rPh>
    <phoneticPr fontId="8"/>
  </si>
  <si>
    <t>生産MTG</t>
    <rPh sb="0" eb="2">
      <t>セ</t>
    </rPh>
    <phoneticPr fontId="8"/>
  </si>
  <si>
    <t>次週以降の生産計画を工場と調整・確認</t>
    <rPh sb="0" eb="2">
      <t>ジシュウ</t>
    </rPh>
    <rPh sb="2" eb="4">
      <t>イコウ</t>
    </rPh>
    <rPh sb="5" eb="7">
      <t>セ</t>
    </rPh>
    <rPh sb="7" eb="9">
      <t>ケイカク</t>
    </rPh>
    <rPh sb="10" eb="12">
      <t>コウジョウ</t>
    </rPh>
    <rPh sb="13" eb="15">
      <t>チョウセイ</t>
    </rPh>
    <rPh sb="16" eb="18">
      <t>カ</t>
    </rPh>
    <phoneticPr fontId="8"/>
  </si>
  <si>
    <t>サンプルMTG</t>
    <phoneticPr fontId="8"/>
  </si>
  <si>
    <t>2府先までのサンプル班計画を調整・確認</t>
    <rPh sb="1" eb="2">
      <t>フ</t>
    </rPh>
    <rPh sb="2" eb="3">
      <t>サキ</t>
    </rPh>
    <rPh sb="10" eb="11">
      <t>ハン</t>
    </rPh>
    <rPh sb="11" eb="13">
      <t>ケイカク</t>
    </rPh>
    <rPh sb="14" eb="16">
      <t>チョウセイ</t>
    </rPh>
    <rPh sb="17" eb="19">
      <t>カ</t>
    </rPh>
    <phoneticPr fontId="8"/>
  </si>
  <si>
    <t>業務週報</t>
    <rPh sb="0" eb="2">
      <t>ギョウム</t>
    </rPh>
    <rPh sb="2" eb="4">
      <t>シュウホウ</t>
    </rPh>
    <phoneticPr fontId="8"/>
  </si>
  <si>
    <t>当週の行内容をTI東京へ報告</t>
    <rPh sb="0" eb="1">
      <t>トウ</t>
    </rPh>
    <rPh sb="1" eb="2">
      <t>シュウ</t>
    </rPh>
    <rPh sb="3" eb="4">
      <t>ギョウ</t>
    </rPh>
    <rPh sb="4" eb="6">
      <t>ナイヨウ</t>
    </rPh>
    <rPh sb="9" eb="11">
      <t>トウキョウ</t>
    </rPh>
    <rPh sb="12" eb="14">
      <t>ホウコク</t>
    </rPh>
    <phoneticPr fontId="8"/>
  </si>
  <si>
    <t>計画修正連絡</t>
    <rPh sb="0" eb="2">
      <t>ケイカク</t>
    </rPh>
    <rPh sb="2" eb="4">
      <t>シュウセイ</t>
    </rPh>
    <rPh sb="4" eb="6">
      <t>レ</t>
    </rPh>
    <phoneticPr fontId="8"/>
  </si>
  <si>
    <t>生産管理課へ計画修正案・空きライン・問題点を連絡</t>
    <rPh sb="0" eb="5">
      <t>セ</t>
    </rPh>
    <rPh sb="6" eb="8">
      <t>ケイカク</t>
    </rPh>
    <rPh sb="8" eb="10">
      <t>シュウセイ</t>
    </rPh>
    <rPh sb="10" eb="11">
      <t>アン</t>
    </rPh>
    <rPh sb="12" eb="13">
      <t>ア</t>
    </rPh>
    <rPh sb="18" eb="21">
      <t>モンダイテン</t>
    </rPh>
    <rPh sb="22" eb="24">
      <t>レ</t>
    </rPh>
    <phoneticPr fontId="8"/>
  </si>
  <si>
    <t>プランテーブル修正</t>
    <rPh sb="7" eb="9">
      <t>シュウセイ</t>
    </rPh>
    <phoneticPr fontId="8"/>
  </si>
  <si>
    <t>生産管理課へ修正計画を盛り込んだプランテーブルを送付</t>
    <rPh sb="0" eb="5">
      <t>セ</t>
    </rPh>
    <rPh sb="6" eb="8">
      <t>シュウセイ</t>
    </rPh>
    <rPh sb="8" eb="10">
      <t>ケイカク</t>
    </rPh>
    <rPh sb="11" eb="12">
      <t>モ</t>
    </rPh>
    <rPh sb="13" eb="14">
      <t>コ</t>
    </rPh>
    <rPh sb="24" eb="26">
      <t>ソウフ</t>
    </rPh>
    <phoneticPr fontId="8"/>
  </si>
  <si>
    <t>Update修正内容確認</t>
    <rPh sb="6" eb="8">
      <t>シュウセイ</t>
    </rPh>
    <rPh sb="8" eb="10">
      <t>ナイヨウ</t>
    </rPh>
    <rPh sb="10" eb="12">
      <t>カ</t>
    </rPh>
    <phoneticPr fontId="8"/>
  </si>
  <si>
    <t>計画修正されたUpdateとプランテーブルの照合</t>
    <rPh sb="0" eb="2">
      <t>ケイカク</t>
    </rPh>
    <rPh sb="2" eb="4">
      <t>シュウセイ</t>
    </rPh>
    <rPh sb="22" eb="24">
      <t>ショウゴウ</t>
    </rPh>
    <phoneticPr fontId="8"/>
  </si>
  <si>
    <t>出勤名簿の抜き打ち確認</t>
    <rPh sb="0" eb="2">
      <t>シュッキン</t>
    </rPh>
    <rPh sb="2" eb="4">
      <t>メイボ</t>
    </rPh>
    <rPh sb="5" eb="6">
      <t>ヌ</t>
    </rPh>
    <rPh sb="7" eb="8">
      <t>ウ</t>
    </rPh>
    <rPh sb="9" eb="11">
      <t>カ</t>
    </rPh>
    <phoneticPr fontId="8"/>
  </si>
  <si>
    <t>工場工員の出勤名簿とラインの抜き打ち照合</t>
    <rPh sb="0" eb="2">
      <t>コウジョウ</t>
    </rPh>
    <rPh sb="2" eb="4">
      <t>コウイン</t>
    </rPh>
    <rPh sb="5" eb="7">
      <t>シュッキン</t>
    </rPh>
    <rPh sb="7" eb="9">
      <t>メイボ</t>
    </rPh>
    <rPh sb="14" eb="15">
      <t>ヌ</t>
    </rPh>
    <rPh sb="16" eb="17">
      <t>ウ</t>
    </rPh>
    <rPh sb="18" eb="20">
      <t>ショウゴウ</t>
    </rPh>
    <phoneticPr fontId="8"/>
  </si>
  <si>
    <t>月次作業</t>
    <rPh sb="0" eb="2">
      <t>ゲツジ</t>
    </rPh>
    <rPh sb="2" eb="4">
      <t>サギョウ</t>
    </rPh>
    <phoneticPr fontId="8"/>
  </si>
  <si>
    <t>業務月報</t>
    <rPh sb="0" eb="2">
      <t>ギョウム</t>
    </rPh>
    <rPh sb="2" eb="4">
      <t>ゲッポウ</t>
    </rPh>
    <phoneticPr fontId="8"/>
  </si>
  <si>
    <t>毎月のトピックス・生産実績・要員情報を報告</t>
    <rPh sb="0" eb="2">
      <t>マイツキ</t>
    </rPh>
    <rPh sb="9" eb="11">
      <t>セイサン</t>
    </rPh>
    <rPh sb="11" eb="13">
      <t>ジッセキ</t>
    </rPh>
    <rPh sb="14" eb="16">
      <t>ヨウイン</t>
    </rPh>
    <rPh sb="16" eb="18">
      <t>ジョウホウ</t>
    </rPh>
    <rPh sb="19" eb="21">
      <t>ホウコク</t>
    </rPh>
    <phoneticPr fontId="8"/>
  </si>
  <si>
    <t>材料在庫管理</t>
    <rPh sb="0" eb="2">
      <t>ザイリョウ</t>
    </rPh>
    <rPh sb="2" eb="4">
      <t>ザイコ</t>
    </rPh>
    <rPh sb="4" eb="6">
      <t>カンリ</t>
    </rPh>
    <phoneticPr fontId="8"/>
  </si>
  <si>
    <t>工場算出の材料在庫数をまとめて報告</t>
    <rPh sb="0" eb="2">
      <t>コウジョウ</t>
    </rPh>
    <rPh sb="2" eb="4">
      <t>サンシュツ</t>
    </rPh>
    <rPh sb="5" eb="7">
      <t>ザイリョウ</t>
    </rPh>
    <rPh sb="7" eb="10">
      <t>ザイコスウ</t>
    </rPh>
    <rPh sb="15" eb="17">
      <t>ホウコク</t>
    </rPh>
    <phoneticPr fontId="8"/>
  </si>
  <si>
    <t>製品在庫管理</t>
    <rPh sb="0" eb="2">
      <t>セイヒン</t>
    </rPh>
    <rPh sb="2" eb="4">
      <t>ザイコ</t>
    </rPh>
    <rPh sb="4" eb="6">
      <t>カンリ</t>
    </rPh>
    <phoneticPr fontId="8"/>
  </si>
  <si>
    <t>工場算出の生産実績日報を必要項目毎に計算して報告</t>
    <rPh sb="0" eb="2">
      <t>コウジョウ</t>
    </rPh>
    <rPh sb="2" eb="4">
      <t>サンシュツ</t>
    </rPh>
    <rPh sb="5" eb="7">
      <t>セ</t>
    </rPh>
    <rPh sb="7" eb="9">
      <t>ジッセキ</t>
    </rPh>
    <rPh sb="9" eb="11">
      <t>ニッポウ</t>
    </rPh>
    <rPh sb="12" eb="14">
      <t>ヒツヨウ</t>
    </rPh>
    <rPh sb="14" eb="16">
      <t>コウモク</t>
    </rPh>
    <rPh sb="16" eb="17">
      <t>マイ</t>
    </rPh>
    <rPh sb="18" eb="20">
      <t>ケイサン</t>
    </rPh>
    <rPh sb="22" eb="24">
      <t>ホウコク</t>
    </rPh>
    <phoneticPr fontId="8"/>
  </si>
  <si>
    <t>生産計画・実績報告</t>
    <rPh sb="0" eb="2">
      <t>セ</t>
    </rPh>
    <rPh sb="2" eb="4">
      <t>ケイカク</t>
    </rPh>
    <rPh sb="5" eb="7">
      <t>ジッセキ</t>
    </rPh>
    <rPh sb="7" eb="9">
      <t>ホウコク</t>
    </rPh>
    <phoneticPr fontId="8"/>
  </si>
  <si>
    <t>前月の生産実績と翌月の生産計画を報告</t>
    <rPh sb="0" eb="2">
      <t>ゼンゲツ</t>
    </rPh>
    <rPh sb="3" eb="5">
      <t>セ</t>
    </rPh>
    <rPh sb="5" eb="7">
      <t>ジッセキ</t>
    </rPh>
    <rPh sb="8" eb="10">
      <t>ヨクゲツ</t>
    </rPh>
    <rPh sb="11" eb="13">
      <t>セ</t>
    </rPh>
    <rPh sb="13" eb="15">
      <t>ケイカク</t>
    </rPh>
    <rPh sb="16" eb="18">
      <t>ホウコク</t>
    </rPh>
    <phoneticPr fontId="8"/>
  </si>
  <si>
    <t>機材管理報告</t>
    <rPh sb="0" eb="2">
      <t>キザイ</t>
    </rPh>
    <rPh sb="2" eb="4">
      <t>カンリ</t>
    </rPh>
    <rPh sb="4" eb="6">
      <t>ホウコク</t>
    </rPh>
    <phoneticPr fontId="8"/>
  </si>
  <si>
    <t>工場へ貸し出している機材明細の報告</t>
    <rPh sb="0" eb="2">
      <t>コウジョウ</t>
    </rPh>
    <rPh sb="3" eb="4">
      <t>カ</t>
    </rPh>
    <rPh sb="5" eb="6">
      <t>ダ</t>
    </rPh>
    <rPh sb="10" eb="12">
      <t>キザイ</t>
    </rPh>
    <rPh sb="12" eb="14">
      <t>メイサイ</t>
    </rPh>
    <rPh sb="15" eb="17">
      <t>ホウコク</t>
    </rPh>
    <phoneticPr fontId="8"/>
  </si>
  <si>
    <t>計画・実績情報報告</t>
    <rPh sb="0" eb="2">
      <t>ケイカク</t>
    </rPh>
    <rPh sb="3" eb="5">
      <t>ジッセキ</t>
    </rPh>
    <rPh sb="5" eb="7">
      <t>ジョウホウ</t>
    </rPh>
    <rPh sb="7" eb="9">
      <t>ホウコク</t>
    </rPh>
    <phoneticPr fontId="8"/>
  </si>
  <si>
    <t>品番毎の計画・実績及び早見表計画日数との比較を報告</t>
    <rPh sb="0" eb="2">
      <t>ヒ</t>
    </rPh>
    <rPh sb="2" eb="3">
      <t>マイ</t>
    </rPh>
    <rPh sb="4" eb="6">
      <t>ケイカク</t>
    </rPh>
    <rPh sb="7" eb="9">
      <t>ジッセキ</t>
    </rPh>
    <rPh sb="9" eb="10">
      <t>オヨ</t>
    </rPh>
    <rPh sb="11" eb="14">
      <t>ハヤミヒョウ</t>
    </rPh>
    <rPh sb="14" eb="16">
      <t>ケイカク</t>
    </rPh>
    <rPh sb="16" eb="18">
      <t>ニッスウ</t>
    </rPh>
    <rPh sb="20" eb="22">
      <t>ヒカク</t>
    </rPh>
    <rPh sb="23" eb="25">
      <t>ホウコク</t>
    </rPh>
    <phoneticPr fontId="8"/>
  </si>
  <si>
    <t>2週間ルール外品番報告</t>
    <rPh sb="1" eb="3">
      <t>シュウカン</t>
    </rPh>
    <rPh sb="6" eb="7">
      <t>ガイ</t>
    </rPh>
    <rPh sb="7" eb="9">
      <t>ヒ</t>
    </rPh>
    <rPh sb="9" eb="11">
      <t>ホウコク</t>
    </rPh>
    <phoneticPr fontId="8"/>
  </si>
  <si>
    <t>工場算出の2週間ルール外品番リストを報告</t>
    <rPh sb="0" eb="2">
      <t>コウジョウ</t>
    </rPh>
    <rPh sb="2" eb="4">
      <t>サンシュツ</t>
    </rPh>
    <rPh sb="6" eb="8">
      <t>シュウカン</t>
    </rPh>
    <rPh sb="11" eb="12">
      <t>ガイ</t>
    </rPh>
    <rPh sb="12" eb="14">
      <t>ヒ</t>
    </rPh>
    <rPh sb="18" eb="20">
      <t>ホウコク</t>
    </rPh>
    <phoneticPr fontId="8"/>
  </si>
  <si>
    <t>品質改善報告会議</t>
    <rPh sb="0" eb="2">
      <t>ヒンシツ</t>
    </rPh>
    <rPh sb="2" eb="4">
      <t>カイゼン</t>
    </rPh>
    <rPh sb="4" eb="6">
      <t>ホウコク</t>
    </rPh>
    <rPh sb="6" eb="8">
      <t>カイギ</t>
    </rPh>
    <phoneticPr fontId="8"/>
  </si>
  <si>
    <t>会議資料作成</t>
    <rPh sb="0" eb="2">
      <t>カイギ</t>
    </rPh>
    <rPh sb="2" eb="4">
      <t>シリョウ</t>
    </rPh>
    <rPh sb="4" eb="6">
      <t>サクセイ</t>
    </rPh>
    <phoneticPr fontId="8"/>
  </si>
  <si>
    <t>会議</t>
    <rPh sb="0" eb="2">
      <t>カイギ</t>
    </rPh>
    <phoneticPr fontId="8"/>
  </si>
  <si>
    <t>出勤名簿・D/N照合</t>
    <rPh sb="0" eb="2">
      <t>シュッキン</t>
    </rPh>
    <rPh sb="2" eb="4">
      <t>メイボ</t>
    </rPh>
    <rPh sb="8" eb="10">
      <t>ショウゴウ</t>
    </rPh>
    <phoneticPr fontId="8"/>
  </si>
  <si>
    <t>工員出勤名簿人数とD/N記載人数の照合</t>
    <rPh sb="0" eb="2">
      <t>コウイン</t>
    </rPh>
    <rPh sb="2" eb="4">
      <t>シュッキン</t>
    </rPh>
    <rPh sb="4" eb="6">
      <t>メイボ</t>
    </rPh>
    <rPh sb="6" eb="8">
      <t>ニンズウ</t>
    </rPh>
    <rPh sb="12" eb="14">
      <t>キサイ</t>
    </rPh>
    <rPh sb="14" eb="16">
      <t>ニンズウ</t>
    </rPh>
    <rPh sb="17" eb="19">
      <t>ショウゴウ</t>
    </rPh>
    <phoneticPr fontId="8"/>
  </si>
  <si>
    <t>TIVNスタッフ労務管理</t>
    <rPh sb="8" eb="10">
      <t>ロウム</t>
    </rPh>
    <rPh sb="10" eb="12">
      <t>カンリ</t>
    </rPh>
    <phoneticPr fontId="8"/>
  </si>
  <si>
    <t>TIVNスタッフのタイムカード確認及び残業時間確認</t>
    <rPh sb="15" eb="17">
      <t>カ</t>
    </rPh>
    <rPh sb="17" eb="18">
      <t>オヨ</t>
    </rPh>
    <rPh sb="19" eb="21">
      <t>ザンギョウ</t>
    </rPh>
    <rPh sb="21" eb="23">
      <t>ジカン</t>
    </rPh>
    <rPh sb="23" eb="25">
      <t>カ</t>
    </rPh>
    <phoneticPr fontId="8"/>
  </si>
  <si>
    <t>合計</t>
    <rPh sb="0" eb="2">
      <t>ゴウケイ</t>
    </rPh>
    <phoneticPr fontId="8"/>
  </si>
  <si>
    <t>※1 再販先からの要望に応じ、生産者として適切かチェックする行為</t>
    <phoneticPr fontId="2"/>
  </si>
  <si>
    <t>※2 あくまでも二次加工の作業自体は工場で実施。必要に応じ日本に連絡。</t>
    <rPh sb="8" eb="10">
      <t>ニジ</t>
    </rPh>
    <rPh sb="10" eb="12">
      <t>カコウ</t>
    </rPh>
    <rPh sb="13" eb="15">
      <t>サギョウ</t>
    </rPh>
    <rPh sb="15" eb="17">
      <t>ジタイ</t>
    </rPh>
    <rPh sb="18" eb="20">
      <t>コウジョウ</t>
    </rPh>
    <rPh sb="21" eb="23">
      <t>ジッシ</t>
    </rPh>
    <rPh sb="24" eb="26">
      <t>ヒツヨウ</t>
    </rPh>
    <rPh sb="27" eb="28">
      <t>オウ</t>
    </rPh>
    <rPh sb="29" eb="31">
      <t>ニホン</t>
    </rPh>
    <rPh sb="32" eb="34">
      <t>レンラク</t>
    </rPh>
    <phoneticPr fontId="2"/>
  </si>
  <si>
    <t>※3 検査の実行者は工場、TIVNは各検査に対し、適切に実施されているかの管理</t>
    <rPh sb="3" eb="5">
      <t>ケンサ</t>
    </rPh>
    <rPh sb="6" eb="9">
      <t>ジッコウシャ</t>
    </rPh>
    <rPh sb="10" eb="12">
      <t>コウジョウ</t>
    </rPh>
    <rPh sb="18" eb="19">
      <t>カク</t>
    </rPh>
    <rPh sb="19" eb="21">
      <t>ケンサ</t>
    </rPh>
    <rPh sb="22" eb="23">
      <t>タイ</t>
    </rPh>
    <rPh sb="25" eb="27">
      <t>テキセツ</t>
    </rPh>
    <rPh sb="28" eb="30">
      <t>ジッシ</t>
    </rPh>
    <rPh sb="37" eb="39">
      <t>カンリ</t>
    </rPh>
    <phoneticPr fontId="2"/>
  </si>
  <si>
    <t>日本人管理者</t>
    <rPh sb="0" eb="2">
      <t>ニホン</t>
    </rPh>
    <rPh sb="2" eb="3">
      <t>ジン</t>
    </rPh>
    <rPh sb="3" eb="6">
      <t>カンリシャ</t>
    </rPh>
    <phoneticPr fontId="2"/>
  </si>
  <si>
    <t>管理グループ</t>
    <rPh sb="0" eb="2">
      <t>カンリ</t>
    </rPh>
    <phoneticPr fontId="8"/>
  </si>
  <si>
    <t>技術グループ</t>
    <rPh sb="0" eb="2">
      <t>ギジュツ</t>
    </rPh>
    <phoneticPr fontId="8"/>
  </si>
  <si>
    <t>TIVN本社ﾏﾈｰｼﾞﾒﾝﾄ(出張･配車手配）</t>
    <rPh sb="15" eb="17">
      <t>シュッチョウ</t>
    </rPh>
    <rPh sb="18" eb="20">
      <t>ハイシャ</t>
    </rPh>
    <rPh sb="20" eb="22">
      <t>テハイ</t>
    </rPh>
    <phoneticPr fontId="2"/>
  </si>
  <si>
    <t>Hori</t>
  </si>
  <si>
    <t>計</t>
    <rPh sb="0" eb="1">
      <t>ケイ</t>
    </rPh>
    <phoneticPr fontId="2"/>
  </si>
  <si>
    <t>Chanh</t>
    <phoneticPr fontId="8"/>
  </si>
  <si>
    <t>Cuong</t>
    <phoneticPr fontId="8"/>
  </si>
  <si>
    <t>Hien</t>
    <phoneticPr fontId="8"/>
  </si>
  <si>
    <t>Huy</t>
  </si>
  <si>
    <t>Khanh</t>
  </si>
  <si>
    <t>Luan</t>
    <phoneticPr fontId="8"/>
  </si>
  <si>
    <t>Nhu</t>
    <phoneticPr fontId="8"/>
  </si>
  <si>
    <t>Cau</t>
    <phoneticPr fontId="8"/>
  </si>
  <si>
    <t>計</t>
    <rPh sb="0" eb="1">
      <t>ケイ</t>
    </rPh>
    <phoneticPr fontId="8"/>
  </si>
  <si>
    <t>Vy</t>
    <phoneticPr fontId="8"/>
  </si>
  <si>
    <t>Quyen</t>
    <phoneticPr fontId="8"/>
  </si>
  <si>
    <t>Hong</t>
  </si>
  <si>
    <t>Phuong</t>
    <phoneticPr fontId="8"/>
  </si>
  <si>
    <t>Luu</t>
    <phoneticPr fontId="8"/>
  </si>
  <si>
    <t>-</t>
    <phoneticPr fontId="8"/>
  </si>
  <si>
    <t>入船ダイナミック・シッピング ご担当者様</t>
    <rPh sb="0" eb="2">
      <t>イリフネ</t>
    </rPh>
    <rPh sb="16" eb="20">
      <t>タントウシャサマ</t>
    </rPh>
    <phoneticPr fontId="2"/>
  </si>
  <si>
    <t>鴻池運輸　ご担当者様</t>
    <rPh sb="0" eb="4">
      <t>コウノイケウンユ</t>
    </rPh>
    <rPh sb="6" eb="10">
      <t>タントウシャサマ</t>
    </rPh>
    <phoneticPr fontId="2"/>
  </si>
  <si>
    <t>【ご依頼】APIC、BTNB生産の輸入におけるTIVNの業務委託費用の評価加算について</t>
    <rPh sb="2" eb="4">
      <t>イライ</t>
    </rPh>
    <rPh sb="14" eb="16">
      <t>セイサン</t>
    </rPh>
    <rPh sb="17" eb="19">
      <t>ユニュウ</t>
    </rPh>
    <rPh sb="28" eb="30">
      <t>ギョウム</t>
    </rPh>
    <rPh sb="30" eb="32">
      <t>イタク</t>
    </rPh>
    <rPh sb="32" eb="34">
      <t>ヒヨウ</t>
    </rPh>
    <rPh sb="35" eb="37">
      <t>ヒョウカ</t>
    </rPh>
    <rPh sb="37" eb="39">
      <t>カサン</t>
    </rPh>
    <phoneticPr fontId="2"/>
  </si>
  <si>
    <t>26SS</t>
  </si>
  <si>
    <t>Ngan</t>
  </si>
  <si>
    <t>GM76151</t>
  </si>
  <si>
    <t>NP12661R</t>
  </si>
  <si>
    <t>NB32662R</t>
  </si>
  <si>
    <t>NB42660R</t>
  </si>
  <si>
    <t>APIC TIVNスタッフ業務分析表/2026年度上期業務委託料配分</t>
  </si>
  <si>
    <t>2026.4.1</t>
  </si>
  <si>
    <t>Bich Trang</t>
  </si>
  <si>
    <t xml:space="preserve"> 1-1</t>
  </si>
  <si>
    <t>Ms.Nhu</t>
  </si>
  <si>
    <t xml:space="preserve">S26別注(富山設計) </t>
  </si>
  <si>
    <t>OSAKA</t>
  </si>
  <si>
    <t xml:space="preserve"> 2-1</t>
  </si>
  <si>
    <t xml:space="preserve"> 2-2</t>
  </si>
  <si>
    <t xml:space="preserve"> 3-1</t>
  </si>
  <si>
    <t xml:space="preserve"> 3-2</t>
  </si>
  <si>
    <t xml:space="preserve"> 4-1</t>
  </si>
  <si>
    <t>Ms. Khanh</t>
  </si>
  <si>
    <t>GOLDWIN</t>
  </si>
  <si>
    <t>GWS26-001</t>
  </si>
  <si>
    <t xml:space="preserve"> 4-2</t>
  </si>
  <si>
    <t xml:space="preserve"> 4-3</t>
  </si>
  <si>
    <t>TOKYO</t>
  </si>
  <si>
    <t xml:space="preserve"> 4-4</t>
  </si>
  <si>
    <t xml:space="preserve"> 4-5</t>
  </si>
  <si>
    <t>CHINA BONDED WAREHOUSE</t>
  </si>
  <si>
    <t xml:space="preserve"> 4-6</t>
  </si>
  <si>
    <t>CHINA</t>
  </si>
  <si>
    <t xml:space="preserve"> 5-1</t>
  </si>
  <si>
    <t>Mr.Luan</t>
  </si>
  <si>
    <t>TN26-010-1</t>
  </si>
  <si>
    <t xml:space="preserve"> 5-2</t>
  </si>
  <si>
    <t xml:space="preserve"> 6-1</t>
  </si>
  <si>
    <t>TN26-010</t>
  </si>
  <si>
    <t xml:space="preserve"> 6-2 </t>
  </si>
  <si>
    <t xml:space="preserve"> 6-3</t>
  </si>
  <si>
    <t> 6-4</t>
  </si>
  <si>
    <t>  7-1</t>
  </si>
  <si>
    <t xml:space="preserve"> 7-2</t>
  </si>
  <si>
    <t xml:space="preserve"> 7-3</t>
  </si>
  <si>
    <t xml:space="preserve"> 8-1</t>
  </si>
  <si>
    <t xml:space="preserve"> 8-2</t>
  </si>
  <si>
    <t xml:space="preserve"> 8-3</t>
  </si>
  <si>
    <t xml:space="preserve"> 9-1</t>
  </si>
  <si>
    <t>TN26-026</t>
  </si>
  <si>
    <t xml:space="preserve"> 9-2 </t>
  </si>
  <si>
    <t xml:space="preserve"> 9-3</t>
  </si>
  <si>
    <t>TN26-026-2</t>
  </si>
  <si>
    <t xml:space="preserve"> 9-4</t>
  </si>
  <si>
    <t xml:space="preserve"> 10-1</t>
  </si>
  <si>
    <t xml:space="preserve"> 10-2</t>
  </si>
  <si>
    <t xml:space="preserve"> 10-3</t>
  </si>
  <si>
    <t xml:space="preserve"> 10-4</t>
  </si>
  <si>
    <t xml:space="preserve"> 11-1</t>
  </si>
  <si>
    <t>TN26-026-1</t>
  </si>
  <si>
    <t xml:space="preserve"> 11-2</t>
  </si>
  <si>
    <t xml:space="preserve"> 12-1</t>
  </si>
  <si>
    <t xml:space="preserve"> 12-2</t>
  </si>
  <si>
    <t xml:space="preserve"> 12-3</t>
  </si>
  <si>
    <t xml:space="preserve"> 12-4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</si>
</sst>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&quot;¥&quot;#,##0;[Red]&quot;¥&quot;\-#,##0"/>
    <numFmt numFmtId="165" formatCode="0.00_);[Red]\(0.00\)"/>
    <numFmt numFmtId="168" formatCode="#,##0.00000;[Red]\-#,##0.00000"/>
    <numFmt numFmtId="170" formatCode="\$#,##0.00;\-\$#,##0.00"/>
    <numFmt numFmtId="171" formatCode="[$-409]d\-mmm;@"/>
  </numFmts>
  <fonts count="2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10"/>
      <color theme="1"/>
      <name val="Calibri"/>
      <family val="2"/>
      <charset val="128"/>
      <scheme val="minor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color theme="1"/>
      <name val="Calibri"/>
      <family val="3"/>
      <charset val="128"/>
      <scheme val="minor"/>
    </font>
    <font>
      <sz val="10"/>
      <color theme="1"/>
      <name val="Calibri"/>
      <family val="3"/>
      <charset val="128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/>
    <xf numFmtId="164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0" fontId="15" fillId="0" borderId="0"/>
  </cellStyleXfs>
  <cellXfs count="33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top" shrinkToFit="1"/>
    </xf>
    <xf numFmtId="0" fontId="6" fillId="4" borderId="0" xfId="0" applyFont="1" applyFill="1" applyAlignment="1">
      <alignment horizontal="center" vertical="top" shrinkToFit="1"/>
    </xf>
    <xf numFmtId="0" fontId="6" fillId="4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165" fontId="6" fillId="4" borderId="0" xfId="0" applyNumberFormat="1" applyFont="1" applyFill="1" applyAlignment="1">
      <alignment horizontal="right" vertical="center"/>
    </xf>
    <xf numFmtId="0" fontId="5" fillId="4" borderId="0" xfId="0" applyFont="1" applyFill="1">
      <alignment vertical="center"/>
    </xf>
    <xf numFmtId="0" fontId="9" fillId="4" borderId="0" xfId="0" applyFont="1" applyFill="1" applyAlignment="1">
      <alignment vertical="top"/>
    </xf>
    <xf numFmtId="0" fontId="9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center" vertical="top"/>
    </xf>
    <xf numFmtId="0" fontId="10" fillId="4" borderId="0" xfId="0" applyFont="1" applyFill="1" applyAlignment="1">
      <alignment horizontal="left" vertical="top" shrinkToFit="1"/>
    </xf>
    <xf numFmtId="165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righ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top" shrinkToFit="1"/>
    </xf>
    <xf numFmtId="0" fontId="6" fillId="4" borderId="7" xfId="0" applyFont="1" applyFill="1" applyBorder="1" applyAlignment="1">
      <alignment horizontal="center" vertical="top" shrinkToFit="1"/>
    </xf>
    <xf numFmtId="0" fontId="6" fillId="4" borderId="8" xfId="0" applyFont="1" applyFill="1" applyBorder="1" applyAlignment="1">
      <alignment horizontal="left" vertical="top"/>
    </xf>
    <xf numFmtId="0" fontId="6" fillId="4" borderId="15" xfId="0" applyFont="1" applyFill="1" applyBorder="1" applyAlignment="1">
      <alignment horizontal="left" vertical="center" shrinkToFit="1"/>
    </xf>
    <xf numFmtId="0" fontId="6" fillId="4" borderId="16" xfId="0" applyFont="1" applyFill="1" applyBorder="1" applyAlignment="1">
      <alignment horizontal="right" vertical="top" shrinkToFit="1"/>
    </xf>
    <xf numFmtId="0" fontId="6" fillId="0" borderId="21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3" borderId="23" xfId="0" applyFont="1" applyFill="1" applyBorder="1" applyAlignment="1">
      <alignment horizontal="center" vertical="top" shrinkToFit="1"/>
    </xf>
    <xf numFmtId="0" fontId="6" fillId="3" borderId="22" xfId="0" applyFont="1" applyFill="1" applyBorder="1" applyAlignment="1">
      <alignment horizontal="center" vertical="top" shrinkToFit="1"/>
    </xf>
    <xf numFmtId="165" fontId="6" fillId="4" borderId="21" xfId="0" applyNumberFormat="1" applyFont="1" applyFill="1" applyBorder="1" applyAlignment="1">
      <alignment horizontal="center" vertical="center" shrinkToFit="1"/>
    </xf>
    <xf numFmtId="165" fontId="6" fillId="4" borderId="23" xfId="0" applyNumberFormat="1" applyFont="1" applyFill="1" applyBorder="1" applyAlignment="1">
      <alignment horizontal="center" vertical="center" shrinkToFit="1"/>
    </xf>
    <xf numFmtId="165" fontId="6" fillId="3" borderId="23" xfId="0" applyNumberFormat="1" applyFont="1" applyFill="1" applyBorder="1" applyAlignment="1">
      <alignment horizontal="center" vertical="center" shrinkToFit="1"/>
    </xf>
    <xf numFmtId="165" fontId="6" fillId="3" borderId="24" xfId="0" applyNumberFormat="1" applyFont="1" applyFill="1" applyBorder="1" applyAlignment="1">
      <alignment horizontal="center" vertical="center" shrinkToFit="1"/>
    </xf>
    <xf numFmtId="165" fontId="6" fillId="3" borderId="22" xfId="0" applyNumberFormat="1" applyFont="1" applyFill="1" applyBorder="1" applyAlignment="1">
      <alignment horizontal="center" vertical="center" shrinkToFit="1"/>
    </xf>
    <xf numFmtId="0" fontId="13" fillId="5" borderId="21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left" vertical="top" shrinkToFit="1"/>
    </xf>
    <xf numFmtId="0" fontId="6" fillId="4" borderId="26" xfId="0" applyFont="1" applyFill="1" applyBorder="1" applyAlignment="1">
      <alignment horizontal="center" vertical="top" shrinkToFit="1"/>
    </xf>
    <xf numFmtId="0" fontId="6" fillId="4" borderId="27" xfId="0" applyFont="1" applyFill="1" applyBorder="1" applyAlignment="1">
      <alignment horizontal="left" vertical="top"/>
    </xf>
    <xf numFmtId="165" fontId="6" fillId="0" borderId="28" xfId="0" applyNumberFormat="1" applyFont="1" applyBorder="1" applyAlignment="1">
      <alignment horizontal="right" vertical="top"/>
    </xf>
    <xf numFmtId="165" fontId="6" fillId="0" borderId="29" xfId="0" applyNumberFormat="1" applyFont="1" applyBorder="1" applyAlignment="1">
      <alignment horizontal="right" vertical="top"/>
    </xf>
    <xf numFmtId="165" fontId="6" fillId="3" borderId="29" xfId="0" applyNumberFormat="1" applyFont="1" applyFill="1" applyBorder="1" applyAlignment="1">
      <alignment horizontal="right" vertical="top"/>
    </xf>
    <xf numFmtId="165" fontId="6" fillId="3" borderId="30" xfId="0" applyNumberFormat="1" applyFont="1" applyFill="1" applyBorder="1" applyAlignment="1">
      <alignment horizontal="right" vertical="top"/>
    </xf>
    <xf numFmtId="165" fontId="6" fillId="4" borderId="28" xfId="0" applyNumberFormat="1" applyFont="1" applyFill="1" applyBorder="1">
      <alignment vertical="center"/>
    </xf>
    <xf numFmtId="165" fontId="6" fillId="4" borderId="29" xfId="0" applyNumberFormat="1" applyFont="1" applyFill="1" applyBorder="1">
      <alignment vertical="center"/>
    </xf>
    <xf numFmtId="165" fontId="6" fillId="3" borderId="29" xfId="0" applyNumberFormat="1" applyFont="1" applyFill="1" applyBorder="1">
      <alignment vertical="center"/>
    </xf>
    <xf numFmtId="165" fontId="7" fillId="3" borderId="30" xfId="0" applyNumberFormat="1" applyFont="1" applyFill="1" applyBorder="1">
      <alignment vertical="center"/>
    </xf>
    <xf numFmtId="2" fontId="7" fillId="3" borderId="31" xfId="0" applyNumberFormat="1" applyFont="1" applyFill="1" applyBorder="1">
      <alignment vertical="center"/>
    </xf>
    <xf numFmtId="165" fontId="13" fillId="5" borderId="28" xfId="0" applyNumberFormat="1" applyFont="1" applyFill="1" applyBorder="1">
      <alignment vertical="center"/>
    </xf>
    <xf numFmtId="165" fontId="13" fillId="5" borderId="30" xfId="0" applyNumberFormat="1" applyFont="1" applyFill="1" applyBorder="1">
      <alignment vertical="center"/>
    </xf>
    <xf numFmtId="0" fontId="6" fillId="4" borderId="32" xfId="0" applyFont="1" applyFill="1" applyBorder="1" applyAlignment="1">
      <alignment horizontal="left" vertical="center"/>
    </xf>
    <xf numFmtId="0" fontId="6" fillId="4" borderId="33" xfId="0" applyFont="1" applyFill="1" applyBorder="1" applyAlignment="1">
      <alignment horizontal="left" vertical="top" shrinkToFit="1"/>
    </xf>
    <xf numFmtId="0" fontId="6" fillId="4" borderId="33" xfId="0" applyFont="1" applyFill="1" applyBorder="1" applyAlignment="1">
      <alignment horizontal="center" vertical="top" shrinkToFit="1"/>
    </xf>
    <xf numFmtId="0" fontId="6" fillId="4" borderId="34" xfId="0" applyFont="1" applyFill="1" applyBorder="1" applyAlignment="1">
      <alignment horizontal="left" vertical="top" shrinkToFit="1"/>
    </xf>
    <xf numFmtId="0" fontId="6" fillId="4" borderId="35" xfId="0" applyFont="1" applyFill="1" applyBorder="1" applyAlignment="1">
      <alignment horizontal="left" vertical="top" wrapText="1"/>
    </xf>
    <xf numFmtId="165" fontId="6" fillId="0" borderId="33" xfId="0" applyNumberFormat="1" applyFont="1" applyBorder="1" applyAlignment="1">
      <alignment horizontal="right" vertical="top" wrapText="1"/>
    </xf>
    <xf numFmtId="165" fontId="6" fillId="3" borderId="33" xfId="0" applyNumberFormat="1" applyFont="1" applyFill="1" applyBorder="1" applyAlignment="1">
      <alignment horizontal="right" vertical="top" wrapText="1"/>
    </xf>
    <xf numFmtId="165" fontId="6" fillId="3" borderId="34" xfId="0" applyNumberFormat="1" applyFont="1" applyFill="1" applyBorder="1" applyAlignment="1">
      <alignment horizontal="right" vertical="top" wrapText="1"/>
    </xf>
    <xf numFmtId="165" fontId="6" fillId="4" borderId="36" xfId="0" applyNumberFormat="1" applyFont="1" applyFill="1" applyBorder="1" applyAlignment="1">
      <alignment horizontal="right" vertical="center"/>
    </xf>
    <xf numFmtId="165" fontId="6" fillId="4" borderId="33" xfId="0" applyNumberFormat="1" applyFont="1" applyFill="1" applyBorder="1" applyAlignment="1">
      <alignment horizontal="right" vertical="center"/>
    </xf>
    <xf numFmtId="165" fontId="6" fillId="3" borderId="33" xfId="0" applyNumberFormat="1" applyFont="1" applyFill="1" applyBorder="1">
      <alignment vertical="center"/>
    </xf>
    <xf numFmtId="165" fontId="7" fillId="3" borderId="34" xfId="0" applyNumberFormat="1" applyFont="1" applyFill="1" applyBorder="1">
      <alignment vertical="center"/>
    </xf>
    <xf numFmtId="2" fontId="7" fillId="3" borderId="35" xfId="0" applyNumberFormat="1" applyFont="1" applyFill="1" applyBorder="1">
      <alignment vertical="center"/>
    </xf>
    <xf numFmtId="2" fontId="13" fillId="5" borderId="36" xfId="0" applyNumberFormat="1" applyFont="1" applyFill="1" applyBorder="1">
      <alignment vertical="center"/>
    </xf>
    <xf numFmtId="2" fontId="13" fillId="5" borderId="34" xfId="0" applyNumberFormat="1" applyFont="1" applyFill="1" applyBorder="1">
      <alignment vertical="center"/>
    </xf>
    <xf numFmtId="0" fontId="6" fillId="4" borderId="37" xfId="0" applyFont="1" applyFill="1" applyBorder="1" applyAlignment="1">
      <alignment horizontal="left" vertical="top" shrinkToFit="1"/>
    </xf>
    <xf numFmtId="0" fontId="6" fillId="4" borderId="37" xfId="0" applyFont="1" applyFill="1" applyBorder="1" applyAlignment="1">
      <alignment horizontal="center" vertical="top" shrinkToFit="1"/>
    </xf>
    <xf numFmtId="0" fontId="6" fillId="4" borderId="18" xfId="0" applyFont="1" applyFill="1" applyBorder="1" applyAlignment="1">
      <alignment horizontal="left" vertical="top" wrapText="1"/>
    </xf>
    <xf numFmtId="165" fontId="6" fillId="0" borderId="17" xfId="0" applyNumberFormat="1" applyFont="1" applyBorder="1" applyAlignment="1">
      <alignment horizontal="right" vertical="top" wrapText="1"/>
    </xf>
    <xf numFmtId="165" fontId="6" fillId="0" borderId="1" xfId="0" applyNumberFormat="1" applyFont="1" applyBorder="1" applyAlignment="1">
      <alignment horizontal="right" vertical="top" wrapText="1"/>
    </xf>
    <xf numFmtId="165" fontId="6" fillId="3" borderId="1" xfId="0" applyNumberFormat="1" applyFont="1" applyFill="1" applyBorder="1" applyAlignment="1">
      <alignment horizontal="right" vertical="top" wrapText="1"/>
    </xf>
    <xf numFmtId="165" fontId="6" fillId="3" borderId="3" xfId="0" applyNumberFormat="1" applyFont="1" applyFill="1" applyBorder="1" applyAlignment="1">
      <alignment horizontal="right" vertical="top" wrapText="1"/>
    </xf>
    <xf numFmtId="165" fontId="6" fillId="4" borderId="17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>
      <alignment vertical="center"/>
    </xf>
    <xf numFmtId="165" fontId="7" fillId="3" borderId="3" xfId="0" applyNumberFormat="1" applyFont="1" applyFill="1" applyBorder="1">
      <alignment vertical="center"/>
    </xf>
    <xf numFmtId="2" fontId="7" fillId="3" borderId="18" xfId="0" applyNumberFormat="1" applyFont="1" applyFill="1" applyBorder="1">
      <alignment vertical="center"/>
    </xf>
    <xf numFmtId="2" fontId="13" fillId="5" borderId="17" xfId="0" applyNumberFormat="1" applyFont="1" applyFill="1" applyBorder="1">
      <alignment vertical="center"/>
    </xf>
    <xf numFmtId="2" fontId="13" fillId="5" borderId="3" xfId="0" applyNumberFormat="1" applyFont="1" applyFill="1" applyBorder="1">
      <alignment vertical="center"/>
    </xf>
    <xf numFmtId="0" fontId="6" fillId="4" borderId="38" xfId="0" applyFont="1" applyFill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right" vertical="center"/>
    </xf>
    <xf numFmtId="165" fontId="6" fillId="0" borderId="17" xfId="0" applyNumberFormat="1" applyFont="1" applyBorder="1" applyAlignment="1">
      <alignment horizontal="right" vertical="center"/>
    </xf>
    <xf numFmtId="0" fontId="6" fillId="4" borderId="39" xfId="0" applyFont="1" applyFill="1" applyBorder="1" applyAlignment="1">
      <alignment horizontal="left" vertical="top" shrinkToFit="1"/>
    </xf>
    <xf numFmtId="0" fontId="6" fillId="0" borderId="37" xfId="0" applyFont="1" applyBorder="1" applyAlignment="1">
      <alignment horizontal="center" vertical="top" shrinkToFit="1"/>
    </xf>
    <xf numFmtId="0" fontId="6" fillId="0" borderId="33" xfId="0" applyFont="1" applyBorder="1" applyAlignment="1">
      <alignment horizontal="left" vertical="top" shrinkToFit="1"/>
    </xf>
    <xf numFmtId="0" fontId="6" fillId="0" borderId="34" xfId="0" applyFont="1" applyBorder="1" applyAlignment="1">
      <alignment horizontal="left" vertical="top" shrinkToFit="1"/>
    </xf>
    <xf numFmtId="0" fontId="6" fillId="0" borderId="35" xfId="0" applyFont="1" applyBorder="1" applyAlignment="1">
      <alignment horizontal="left" vertical="top" wrapText="1"/>
    </xf>
    <xf numFmtId="0" fontId="6" fillId="4" borderId="23" xfId="0" applyFont="1" applyFill="1" applyBorder="1" applyAlignment="1">
      <alignment horizontal="left" vertical="top" shrinkToFit="1"/>
    </xf>
    <xf numFmtId="0" fontId="6" fillId="0" borderId="38" xfId="0" applyFont="1" applyBorder="1" applyAlignment="1">
      <alignment horizontal="center" vertical="top" shrinkToFit="1"/>
    </xf>
    <xf numFmtId="0" fontId="6" fillId="0" borderId="38" xfId="0" applyFont="1" applyBorder="1" applyAlignment="1">
      <alignment horizontal="left" vertical="top" shrinkToFit="1"/>
    </xf>
    <xf numFmtId="0" fontId="6" fillId="0" borderId="40" xfId="0" applyFont="1" applyBorder="1" applyAlignment="1">
      <alignment horizontal="left" vertical="top" shrinkToFit="1"/>
    </xf>
    <xf numFmtId="0" fontId="6" fillId="0" borderId="41" xfId="0" applyFont="1" applyBorder="1" applyAlignment="1">
      <alignment horizontal="left" vertical="top" wrapText="1"/>
    </xf>
    <xf numFmtId="165" fontId="6" fillId="0" borderId="21" xfId="0" applyNumberFormat="1" applyFont="1" applyBorder="1" applyAlignment="1">
      <alignment horizontal="right" vertical="top" wrapText="1"/>
    </xf>
    <xf numFmtId="165" fontId="6" fillId="0" borderId="23" xfId="0" applyNumberFormat="1" applyFont="1" applyBorder="1" applyAlignment="1">
      <alignment horizontal="right" vertical="top" wrapText="1"/>
    </xf>
    <xf numFmtId="165" fontId="6" fillId="3" borderId="23" xfId="0" applyNumberFormat="1" applyFont="1" applyFill="1" applyBorder="1" applyAlignment="1">
      <alignment horizontal="right" vertical="top" wrapText="1"/>
    </xf>
    <xf numFmtId="165" fontId="6" fillId="3" borderId="22" xfId="0" applyNumberFormat="1" applyFont="1" applyFill="1" applyBorder="1" applyAlignment="1">
      <alignment horizontal="right" vertical="top" wrapText="1"/>
    </xf>
    <xf numFmtId="165" fontId="6" fillId="0" borderId="21" xfId="0" applyNumberFormat="1" applyFont="1" applyBorder="1" applyAlignment="1">
      <alignment horizontal="right" vertical="center"/>
    </xf>
    <xf numFmtId="165" fontId="6" fillId="0" borderId="23" xfId="0" applyNumberFormat="1" applyFont="1" applyBorder="1" applyAlignment="1">
      <alignment horizontal="right" vertical="center"/>
    </xf>
    <xf numFmtId="165" fontId="6" fillId="3" borderId="23" xfId="0" applyNumberFormat="1" applyFont="1" applyFill="1" applyBorder="1">
      <alignment vertical="center"/>
    </xf>
    <xf numFmtId="165" fontId="7" fillId="3" borderId="22" xfId="0" applyNumberFormat="1" applyFont="1" applyFill="1" applyBorder="1">
      <alignment vertical="center"/>
    </xf>
    <xf numFmtId="2" fontId="7" fillId="3" borderId="24" xfId="0" applyNumberFormat="1" applyFont="1" applyFill="1" applyBorder="1">
      <alignment vertical="center"/>
    </xf>
    <xf numFmtId="2" fontId="13" fillId="5" borderId="21" xfId="0" applyNumberFormat="1" applyFont="1" applyFill="1" applyBorder="1">
      <alignment vertical="center"/>
    </xf>
    <xf numFmtId="2" fontId="13" fillId="5" borderId="22" xfId="0" applyNumberFormat="1" applyFont="1" applyFill="1" applyBorder="1">
      <alignment vertical="center"/>
    </xf>
    <xf numFmtId="0" fontId="0" fillId="0" borderId="23" xfId="0" applyBorder="1">
      <alignment vertical="center"/>
    </xf>
    <xf numFmtId="0" fontId="6" fillId="4" borderId="42" xfId="0" applyFont="1" applyFill="1" applyBorder="1" applyAlignment="1">
      <alignment horizontal="left" vertical="center"/>
    </xf>
    <xf numFmtId="0" fontId="6" fillId="4" borderId="43" xfId="0" applyFont="1" applyFill="1" applyBorder="1" applyAlignment="1">
      <alignment horizontal="left" vertical="top" shrinkToFit="1"/>
    </xf>
    <xf numFmtId="0" fontId="6" fillId="0" borderId="44" xfId="0" applyFont="1" applyBorder="1" applyAlignment="1">
      <alignment horizontal="center" vertical="top" shrinkToFit="1"/>
    </xf>
    <xf numFmtId="0" fontId="6" fillId="0" borderId="45" xfId="0" applyFont="1" applyBorder="1" applyAlignment="1">
      <alignment horizontal="left" vertical="top" shrinkToFit="1"/>
    </xf>
    <xf numFmtId="0" fontId="6" fillId="0" borderId="46" xfId="0" applyFont="1" applyBorder="1" applyAlignment="1">
      <alignment horizontal="left" vertical="top" shrinkToFit="1"/>
    </xf>
    <xf numFmtId="0" fontId="6" fillId="0" borderId="47" xfId="0" applyFont="1" applyBorder="1" applyAlignment="1">
      <alignment horizontal="left" vertical="top" wrapText="1"/>
    </xf>
    <xf numFmtId="165" fontId="6" fillId="0" borderId="45" xfId="0" applyNumberFormat="1" applyFont="1" applyBorder="1" applyAlignment="1">
      <alignment horizontal="right" vertical="top" wrapText="1"/>
    </xf>
    <xf numFmtId="165" fontId="6" fillId="3" borderId="45" xfId="0" applyNumberFormat="1" applyFont="1" applyFill="1" applyBorder="1" applyAlignment="1">
      <alignment horizontal="right" vertical="top" wrapText="1"/>
    </xf>
    <xf numFmtId="165" fontId="6" fillId="3" borderId="46" xfId="0" applyNumberFormat="1" applyFont="1" applyFill="1" applyBorder="1" applyAlignment="1">
      <alignment horizontal="right" vertical="top" wrapText="1"/>
    </xf>
    <xf numFmtId="165" fontId="6" fillId="0" borderId="48" xfId="0" applyNumberFormat="1" applyFont="1" applyBorder="1" applyAlignment="1">
      <alignment horizontal="right" vertical="center"/>
    </xf>
    <xf numFmtId="165" fontId="6" fillId="0" borderId="45" xfId="0" applyNumberFormat="1" applyFont="1" applyBorder="1" applyAlignment="1">
      <alignment horizontal="right" vertical="center"/>
    </xf>
    <xf numFmtId="165" fontId="6" fillId="3" borderId="45" xfId="0" applyNumberFormat="1" applyFont="1" applyFill="1" applyBorder="1">
      <alignment vertical="center"/>
    </xf>
    <xf numFmtId="165" fontId="7" fillId="3" borderId="46" xfId="0" applyNumberFormat="1" applyFont="1" applyFill="1" applyBorder="1">
      <alignment vertical="center"/>
    </xf>
    <xf numFmtId="2" fontId="7" fillId="3" borderId="47" xfId="0" applyNumberFormat="1" applyFont="1" applyFill="1" applyBorder="1">
      <alignment vertical="center"/>
    </xf>
    <xf numFmtId="2" fontId="13" fillId="5" borderId="48" xfId="0" applyNumberFormat="1" applyFont="1" applyFill="1" applyBorder="1">
      <alignment vertical="center"/>
    </xf>
    <xf numFmtId="2" fontId="13" fillId="5" borderId="46" xfId="0" applyNumberFormat="1" applyFont="1" applyFill="1" applyBorder="1">
      <alignment vertical="center"/>
    </xf>
    <xf numFmtId="0" fontId="0" fillId="0" borderId="45" xfId="0" applyBorder="1">
      <alignment vertical="center"/>
    </xf>
    <xf numFmtId="0" fontId="6" fillId="4" borderId="49" xfId="0" applyFont="1" applyFill="1" applyBorder="1" applyAlignment="1">
      <alignment horizontal="left" vertical="center"/>
    </xf>
    <xf numFmtId="0" fontId="6" fillId="4" borderId="50" xfId="0" applyFont="1" applyFill="1" applyBorder="1" applyAlignment="1">
      <alignment horizontal="left" vertical="top" shrinkToFit="1"/>
    </xf>
    <xf numFmtId="0" fontId="6" fillId="0" borderId="51" xfId="0" applyFont="1" applyBorder="1" applyAlignment="1">
      <alignment horizontal="center" vertical="top" shrinkToFit="1"/>
    </xf>
    <xf numFmtId="0" fontId="6" fillId="0" borderId="51" xfId="0" applyFont="1" applyBorder="1" applyAlignment="1">
      <alignment horizontal="left" vertical="top" shrinkToFit="1"/>
    </xf>
    <xf numFmtId="0" fontId="6" fillId="0" borderId="52" xfId="0" applyFont="1" applyBorder="1" applyAlignment="1">
      <alignment horizontal="left" vertical="top" shrinkToFit="1"/>
    </xf>
    <xf numFmtId="0" fontId="6" fillId="0" borderId="53" xfId="0" applyFont="1" applyBorder="1" applyAlignment="1">
      <alignment horizontal="left" vertical="top" wrapText="1"/>
    </xf>
    <xf numFmtId="165" fontId="6" fillId="0" borderId="55" xfId="0" applyNumberFormat="1" applyFont="1" applyBorder="1" applyAlignment="1">
      <alignment horizontal="right" vertical="top" wrapText="1"/>
    </xf>
    <xf numFmtId="165" fontId="6" fillId="3" borderId="55" xfId="0" applyNumberFormat="1" applyFont="1" applyFill="1" applyBorder="1" applyAlignment="1">
      <alignment horizontal="right" vertical="top" wrapText="1"/>
    </xf>
    <xf numFmtId="165" fontId="6" fillId="3" borderId="56" xfId="0" applyNumberFormat="1" applyFont="1" applyFill="1" applyBorder="1" applyAlignment="1">
      <alignment horizontal="right" vertical="top" wrapText="1"/>
    </xf>
    <xf numFmtId="165" fontId="6" fillId="0" borderId="54" xfId="0" applyNumberFormat="1" applyFont="1" applyBorder="1" applyAlignment="1">
      <alignment horizontal="right" vertical="center"/>
    </xf>
    <xf numFmtId="165" fontId="6" fillId="0" borderId="55" xfId="0" applyNumberFormat="1" applyFont="1" applyBorder="1" applyAlignment="1">
      <alignment horizontal="right" vertical="center"/>
    </xf>
    <xf numFmtId="165" fontId="6" fillId="3" borderId="55" xfId="0" applyNumberFormat="1" applyFont="1" applyFill="1" applyBorder="1">
      <alignment vertical="center"/>
    </xf>
    <xf numFmtId="165" fontId="7" fillId="3" borderId="56" xfId="0" applyNumberFormat="1" applyFont="1" applyFill="1" applyBorder="1">
      <alignment vertical="center"/>
    </xf>
    <xf numFmtId="2" fontId="7" fillId="3" borderId="57" xfId="0" applyNumberFormat="1" applyFont="1" applyFill="1" applyBorder="1">
      <alignment vertical="center"/>
    </xf>
    <xf numFmtId="2" fontId="13" fillId="5" borderId="54" xfId="0" applyNumberFormat="1" applyFont="1" applyFill="1" applyBorder="1">
      <alignment vertical="center"/>
    </xf>
    <xf numFmtId="2" fontId="13" fillId="5" borderId="56" xfId="0" applyNumberFormat="1" applyFont="1" applyFill="1" applyBorder="1">
      <alignment vertical="center"/>
    </xf>
    <xf numFmtId="0" fontId="0" fillId="0" borderId="55" xfId="0" applyBorder="1">
      <alignment vertical="center"/>
    </xf>
    <xf numFmtId="165" fontId="6" fillId="0" borderId="36" xfId="0" applyNumberFormat="1" applyFont="1" applyBorder="1" applyAlignment="1">
      <alignment horizontal="right" vertical="center"/>
    </xf>
    <xf numFmtId="165" fontId="6" fillId="0" borderId="33" xfId="0" applyNumberFormat="1" applyFont="1" applyBorder="1" applyAlignment="1">
      <alignment horizontal="right" vertical="center"/>
    </xf>
    <xf numFmtId="0" fontId="0" fillId="0" borderId="33" xfId="0" applyBorder="1">
      <alignment vertical="center"/>
    </xf>
    <xf numFmtId="0" fontId="6" fillId="0" borderId="1" xfId="0" applyFont="1" applyBorder="1" applyAlignment="1">
      <alignment horizontal="left" vertical="top" shrinkToFit="1"/>
    </xf>
    <xf numFmtId="0" fontId="6" fillId="0" borderId="3" xfId="0" applyFont="1" applyBorder="1" applyAlignment="1">
      <alignment horizontal="left" vertical="top" shrinkToFit="1"/>
    </xf>
    <xf numFmtId="0" fontId="6" fillId="0" borderId="18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center" vertical="top" shrinkToFit="1"/>
    </xf>
    <xf numFmtId="164" fontId="6" fillId="4" borderId="32" xfId="2" applyFont="1" applyFill="1" applyBorder="1" applyAlignment="1">
      <alignment horizontal="left" vertical="center"/>
    </xf>
    <xf numFmtId="164" fontId="6" fillId="0" borderId="1" xfId="2" applyFont="1" applyFill="1" applyBorder="1" applyAlignment="1">
      <alignment horizontal="left" vertical="top" shrinkToFit="1"/>
    </xf>
    <xf numFmtId="164" fontId="6" fillId="0" borderId="3" xfId="2" applyFont="1" applyFill="1" applyBorder="1" applyAlignment="1">
      <alignment horizontal="left" vertical="top" shrinkToFit="1"/>
    </xf>
    <xf numFmtId="165" fontId="6" fillId="0" borderId="17" xfId="2" applyNumberFormat="1" applyFont="1" applyFill="1" applyBorder="1" applyAlignment="1">
      <alignment horizontal="right" vertical="center"/>
    </xf>
    <xf numFmtId="165" fontId="6" fillId="0" borderId="1" xfId="2" applyNumberFormat="1" applyFont="1" applyFill="1" applyBorder="1" applyAlignment="1">
      <alignment horizontal="right" vertical="center"/>
    </xf>
    <xf numFmtId="0" fontId="6" fillId="0" borderId="23" xfId="0" applyFont="1" applyBorder="1" applyAlignment="1">
      <alignment horizontal="left" vertical="top" shrinkToFit="1"/>
    </xf>
    <xf numFmtId="0" fontId="6" fillId="0" borderId="22" xfId="0" applyFont="1" applyBorder="1" applyAlignment="1">
      <alignment horizontal="left" vertical="top" shrinkToFit="1"/>
    </xf>
    <xf numFmtId="0" fontId="6" fillId="0" borderId="24" xfId="0" applyFont="1" applyBorder="1" applyAlignment="1">
      <alignment horizontal="left" vertical="top" wrapText="1"/>
    </xf>
    <xf numFmtId="0" fontId="6" fillId="0" borderId="43" xfId="0" applyFont="1" applyBorder="1" applyAlignment="1">
      <alignment horizontal="center" vertical="top" shrinkToFit="1"/>
    </xf>
    <xf numFmtId="0" fontId="6" fillId="4" borderId="38" xfId="0" applyFont="1" applyFill="1" applyBorder="1" applyAlignment="1">
      <alignment horizontal="left" vertical="top" shrinkToFit="1"/>
    </xf>
    <xf numFmtId="0" fontId="6" fillId="0" borderId="50" xfId="0" applyFont="1" applyBorder="1" applyAlignment="1">
      <alignment horizontal="center" vertical="top" shrinkToFit="1"/>
    </xf>
    <xf numFmtId="0" fontId="6" fillId="0" borderId="55" xfId="0" applyFont="1" applyBorder="1" applyAlignment="1">
      <alignment horizontal="left" vertical="top" shrinkToFit="1"/>
    </xf>
    <xf numFmtId="0" fontId="6" fillId="0" borderId="56" xfId="0" applyFont="1" applyBorder="1" applyAlignment="1">
      <alignment horizontal="left" vertical="top" shrinkToFit="1"/>
    </xf>
    <xf numFmtId="0" fontId="6" fillId="4" borderId="44" xfId="0" applyFont="1" applyFill="1" applyBorder="1" applyAlignment="1">
      <alignment horizontal="center" vertical="top" shrinkToFit="1"/>
    </xf>
    <xf numFmtId="0" fontId="6" fillId="4" borderId="45" xfId="0" applyFont="1" applyFill="1" applyBorder="1" applyAlignment="1">
      <alignment horizontal="left" vertical="top" shrinkToFit="1"/>
    </xf>
    <xf numFmtId="0" fontId="6" fillId="4" borderId="46" xfId="0" applyFont="1" applyFill="1" applyBorder="1" applyAlignment="1">
      <alignment horizontal="left" vertical="top" shrinkToFit="1"/>
    </xf>
    <xf numFmtId="0" fontId="6" fillId="4" borderId="47" xfId="0" applyFont="1" applyFill="1" applyBorder="1" applyAlignment="1">
      <alignment horizontal="left" vertical="top" wrapText="1"/>
    </xf>
    <xf numFmtId="165" fontId="6" fillId="4" borderId="48" xfId="0" applyNumberFormat="1" applyFont="1" applyFill="1" applyBorder="1" applyAlignment="1">
      <alignment horizontal="right" vertical="center"/>
    </xf>
    <xf numFmtId="165" fontId="6" fillId="4" borderId="45" xfId="0" applyNumberFormat="1" applyFont="1" applyFill="1" applyBorder="1" applyAlignment="1">
      <alignment horizontal="right" vertical="center"/>
    </xf>
    <xf numFmtId="0" fontId="6" fillId="4" borderId="55" xfId="0" applyFont="1" applyFill="1" applyBorder="1" applyAlignment="1">
      <alignment horizontal="left" vertical="top" shrinkToFit="1"/>
    </xf>
    <xf numFmtId="0" fontId="6" fillId="4" borderId="55" xfId="0" applyFont="1" applyFill="1" applyBorder="1" applyAlignment="1">
      <alignment horizontal="center" vertical="top" shrinkToFit="1"/>
    </xf>
    <xf numFmtId="0" fontId="6" fillId="4" borderId="56" xfId="0" applyFont="1" applyFill="1" applyBorder="1" applyAlignment="1">
      <alignment horizontal="left" vertical="top" shrinkToFit="1"/>
    </xf>
    <xf numFmtId="0" fontId="6" fillId="4" borderId="57" xfId="0" applyFont="1" applyFill="1" applyBorder="1" applyAlignment="1">
      <alignment horizontal="left" vertical="top" wrapText="1"/>
    </xf>
    <xf numFmtId="165" fontId="6" fillId="4" borderId="54" xfId="0" applyNumberFormat="1" applyFont="1" applyFill="1" applyBorder="1" applyAlignment="1">
      <alignment horizontal="right" vertical="center"/>
    </xf>
    <xf numFmtId="165" fontId="6" fillId="4" borderId="55" xfId="0" applyNumberFormat="1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top" shrinkToFit="1"/>
    </xf>
    <xf numFmtId="0" fontId="6" fillId="4" borderId="3" xfId="0" applyFont="1" applyFill="1" applyBorder="1" applyAlignment="1">
      <alignment horizontal="left" vertical="top" shrinkToFit="1"/>
    </xf>
    <xf numFmtId="165" fontId="6" fillId="4" borderId="1" xfId="0" applyNumberFormat="1" applyFont="1" applyFill="1" applyBorder="1" applyAlignment="1">
      <alignment horizontal="right" vertical="top" wrapText="1"/>
    </xf>
    <xf numFmtId="0" fontId="6" fillId="4" borderId="2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shrinkToFit="1"/>
    </xf>
    <xf numFmtId="0" fontId="6" fillId="4" borderId="1" xfId="0" applyFont="1" applyFill="1" applyBorder="1" applyAlignment="1">
      <alignment horizontal="left" vertical="top" shrinkToFit="1"/>
    </xf>
    <xf numFmtId="0" fontId="6" fillId="4" borderId="22" xfId="0" applyFont="1" applyFill="1" applyBorder="1" applyAlignment="1">
      <alignment horizontal="left" vertical="top" shrinkToFit="1"/>
    </xf>
    <xf numFmtId="165" fontId="6" fillId="4" borderId="23" xfId="0" applyNumberFormat="1" applyFont="1" applyFill="1" applyBorder="1" applyAlignment="1">
      <alignment horizontal="right" vertical="top" wrapText="1"/>
    </xf>
    <xf numFmtId="165" fontId="6" fillId="4" borderId="21" xfId="0" applyNumberFormat="1" applyFont="1" applyFill="1" applyBorder="1" applyAlignment="1">
      <alignment horizontal="right" vertical="center"/>
    </xf>
    <xf numFmtId="165" fontId="6" fillId="4" borderId="23" xfId="0" applyNumberFormat="1" applyFont="1" applyFill="1" applyBorder="1" applyAlignment="1">
      <alignment horizontal="right" vertical="center"/>
    </xf>
    <xf numFmtId="0" fontId="6" fillId="4" borderId="58" xfId="0" applyFont="1" applyFill="1" applyBorder="1" applyAlignment="1">
      <alignment horizontal="left" vertical="top" shrinkToFit="1"/>
    </xf>
    <xf numFmtId="0" fontId="6" fillId="4" borderId="59" xfId="0" applyFont="1" applyFill="1" applyBorder="1" applyAlignment="1">
      <alignment horizontal="left" vertical="top" shrinkToFit="1"/>
    </xf>
    <xf numFmtId="0" fontId="6" fillId="4" borderId="59" xfId="0" applyFont="1" applyFill="1" applyBorder="1" applyAlignment="1">
      <alignment horizontal="center" vertical="top" shrinkToFit="1"/>
    </xf>
    <xf numFmtId="0" fontId="6" fillId="4" borderId="60" xfId="0" applyFont="1" applyFill="1" applyBorder="1" applyAlignment="1">
      <alignment horizontal="left" vertical="top" shrinkToFit="1"/>
    </xf>
    <xf numFmtId="0" fontId="6" fillId="4" borderId="61" xfId="0" applyFont="1" applyFill="1" applyBorder="1" applyAlignment="1">
      <alignment horizontal="left" vertical="top" wrapText="1"/>
    </xf>
    <xf numFmtId="165" fontId="6" fillId="4" borderId="62" xfId="0" applyNumberFormat="1" applyFont="1" applyFill="1" applyBorder="1" applyAlignment="1">
      <alignment horizontal="right" vertical="top" wrapText="1"/>
    </xf>
    <xf numFmtId="165" fontId="6" fillId="4" borderId="59" xfId="0" applyNumberFormat="1" applyFont="1" applyFill="1" applyBorder="1" applyAlignment="1">
      <alignment horizontal="right" vertical="top" wrapText="1"/>
    </xf>
    <xf numFmtId="165" fontId="6" fillId="3" borderId="59" xfId="0" applyNumberFormat="1" applyFont="1" applyFill="1" applyBorder="1" applyAlignment="1">
      <alignment horizontal="right" vertical="top" wrapText="1"/>
    </xf>
    <xf numFmtId="165" fontId="6" fillId="3" borderId="63" xfId="0" applyNumberFormat="1" applyFont="1" applyFill="1" applyBorder="1" applyAlignment="1">
      <alignment horizontal="right" vertical="top" wrapText="1"/>
    </xf>
    <xf numFmtId="165" fontId="6" fillId="4" borderId="62" xfId="0" applyNumberFormat="1" applyFont="1" applyFill="1" applyBorder="1" applyAlignment="1">
      <alignment horizontal="right" vertical="center"/>
    </xf>
    <xf numFmtId="165" fontId="6" fillId="4" borderId="59" xfId="0" applyNumberFormat="1" applyFont="1" applyFill="1" applyBorder="1" applyAlignment="1">
      <alignment horizontal="right" vertical="center"/>
    </xf>
    <xf numFmtId="165" fontId="6" fillId="3" borderId="59" xfId="0" applyNumberFormat="1" applyFont="1" applyFill="1" applyBorder="1">
      <alignment vertical="center"/>
    </xf>
    <xf numFmtId="40" fontId="0" fillId="3" borderId="63" xfId="1" applyNumberFormat="1" applyFont="1" applyFill="1" applyBorder="1">
      <alignment vertical="center"/>
    </xf>
    <xf numFmtId="2" fontId="7" fillId="3" borderId="61" xfId="0" applyNumberFormat="1" applyFont="1" applyFill="1" applyBorder="1">
      <alignment vertical="center"/>
    </xf>
    <xf numFmtId="2" fontId="13" fillId="5" borderId="62" xfId="0" applyNumberFormat="1" applyFont="1" applyFill="1" applyBorder="1">
      <alignment vertical="center"/>
    </xf>
    <xf numFmtId="2" fontId="13" fillId="5" borderId="63" xfId="0" applyNumberFormat="1" applyFont="1" applyFill="1" applyBorder="1">
      <alignment vertical="center"/>
    </xf>
    <xf numFmtId="0" fontId="5" fillId="4" borderId="1" xfId="0" applyFont="1" applyFill="1" applyBorder="1">
      <alignment vertical="center"/>
    </xf>
    <xf numFmtId="168" fontId="0" fillId="0" borderId="1" xfId="1" applyNumberFormat="1" applyFont="1" applyBorder="1">
      <alignment vertical="center"/>
    </xf>
    <xf numFmtId="0" fontId="6" fillId="4" borderId="64" xfId="0" applyFont="1" applyFill="1" applyBorder="1" applyAlignment="1">
      <alignment horizontal="left" vertical="top"/>
    </xf>
    <xf numFmtId="0" fontId="0" fillId="0" borderId="38" xfId="0" applyBorder="1">
      <alignment vertical="center"/>
    </xf>
    <xf numFmtId="9" fontId="0" fillId="0" borderId="0" xfId="3" applyFont="1">
      <alignment vertical="center"/>
    </xf>
    <xf numFmtId="0" fontId="6" fillId="4" borderId="37" xfId="0" applyFont="1" applyFill="1" applyBorder="1" applyAlignment="1">
      <alignment horizontal="left" vertical="top"/>
    </xf>
    <xf numFmtId="165" fontId="6" fillId="0" borderId="36" xfId="0" applyNumberFormat="1" applyFont="1" applyBorder="1" applyAlignment="1">
      <alignment horizontal="right" vertical="top" wrapText="1"/>
    </xf>
    <xf numFmtId="165" fontId="6" fillId="0" borderId="48" xfId="0" applyNumberFormat="1" applyFont="1" applyBorder="1" applyAlignment="1">
      <alignment horizontal="right" vertical="top" wrapText="1"/>
    </xf>
    <xf numFmtId="165" fontId="6" fillId="0" borderId="54" xfId="0" applyNumberFormat="1" applyFont="1" applyBorder="1" applyAlignment="1">
      <alignment horizontal="right" vertical="top" wrapText="1"/>
    </xf>
    <xf numFmtId="165" fontId="10" fillId="0" borderId="0" xfId="0" applyNumberFormat="1" applyFont="1" applyAlignment="1">
      <alignment horizontal="right" vertical="center"/>
    </xf>
    <xf numFmtId="165" fontId="14" fillId="3" borderId="31" xfId="0" applyNumberFormat="1" applyFont="1" applyFill="1" applyBorder="1">
      <alignment vertical="center"/>
    </xf>
    <xf numFmtId="165" fontId="14" fillId="3" borderId="35" xfId="0" applyNumberFormat="1" applyFont="1" applyFill="1" applyBorder="1">
      <alignment vertical="center"/>
    </xf>
    <xf numFmtId="165" fontId="14" fillId="3" borderId="18" xfId="0" applyNumberFormat="1" applyFont="1" applyFill="1" applyBorder="1">
      <alignment vertical="center"/>
    </xf>
    <xf numFmtId="165" fontId="14" fillId="3" borderId="24" xfId="0" applyNumberFormat="1" applyFont="1" applyFill="1" applyBorder="1">
      <alignment vertical="center"/>
    </xf>
    <xf numFmtId="165" fontId="14" fillId="3" borderId="47" xfId="0" applyNumberFormat="1" applyFont="1" applyFill="1" applyBorder="1">
      <alignment vertical="center"/>
    </xf>
    <xf numFmtId="165" fontId="14" fillId="3" borderId="57" xfId="0" applyNumberFormat="1" applyFont="1" applyFill="1" applyBorder="1">
      <alignment vertical="center"/>
    </xf>
    <xf numFmtId="165" fontId="14" fillId="3" borderId="61" xfId="0" applyNumberFormat="1" applyFont="1" applyFill="1" applyBorder="1">
      <alignment vertical="center"/>
    </xf>
    <xf numFmtId="0" fontId="6" fillId="0" borderId="65" xfId="0" applyFont="1" applyBorder="1" applyAlignment="1">
      <alignment horizontal="center" vertical="top" shrinkToFit="1"/>
    </xf>
    <xf numFmtId="0" fontId="6" fillId="0" borderId="39" xfId="0" applyFont="1" applyBorder="1" applyAlignment="1">
      <alignment horizontal="left" vertical="top" shrinkToFit="1"/>
    </xf>
    <xf numFmtId="14" fontId="6" fillId="4" borderId="0" xfId="0" applyNumberFormat="1" applyFont="1" applyFill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6" xfId="0" applyBorder="1">
      <alignment vertical="center"/>
    </xf>
    <xf numFmtId="0" fontId="0" fillId="6" borderId="67" xfId="0" applyFill="1" applyBorder="1">
      <alignment vertical="center"/>
    </xf>
    <xf numFmtId="0" fontId="0" fillId="0" borderId="67" xfId="0" applyBorder="1">
      <alignment vertical="center"/>
    </xf>
    <xf numFmtId="0" fontId="3" fillId="0" borderId="68" xfId="0" applyFont="1" applyBorder="1">
      <alignment vertical="center"/>
    </xf>
    <xf numFmtId="0" fontId="3" fillId="0" borderId="67" xfId="0" applyFont="1" applyBorder="1">
      <alignment vertical="center"/>
    </xf>
    <xf numFmtId="0" fontId="0" fillId="0" borderId="69" xfId="0" applyBorder="1">
      <alignment vertical="center"/>
    </xf>
    <xf numFmtId="0" fontId="0" fillId="0" borderId="70" xfId="0" applyBorder="1">
      <alignment vertical="center"/>
    </xf>
    <xf numFmtId="0" fontId="0" fillId="6" borderId="71" xfId="0" applyFill="1" applyBorder="1">
      <alignment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0" fontId="0" fillId="0" borderId="73" xfId="0" applyBorder="1">
      <alignment vertical="center"/>
    </xf>
    <xf numFmtId="0" fontId="0" fillId="0" borderId="74" xfId="0" applyBorder="1">
      <alignment vertical="center"/>
    </xf>
    <xf numFmtId="0" fontId="0" fillId="6" borderId="75" xfId="0" applyFill="1" applyBorder="1">
      <alignment vertical="center"/>
    </xf>
    <xf numFmtId="0" fontId="0" fillId="0" borderId="75" xfId="0" applyBorder="1">
      <alignment vertical="center"/>
    </xf>
    <xf numFmtId="0" fontId="0" fillId="0" borderId="76" xfId="0" applyBorder="1">
      <alignment vertical="center"/>
    </xf>
    <xf numFmtId="0" fontId="0" fillId="0" borderId="77" xfId="0" applyBorder="1">
      <alignment vertical="center"/>
    </xf>
    <xf numFmtId="0" fontId="0" fillId="0" borderId="68" xfId="0" applyBorder="1">
      <alignment vertical="center"/>
    </xf>
    <xf numFmtId="0" fontId="0" fillId="6" borderId="66" xfId="0" applyFill="1" applyBorder="1">
      <alignment vertical="center"/>
    </xf>
    <xf numFmtId="0" fontId="0" fillId="6" borderId="70" xfId="0" applyFill="1" applyBorder="1">
      <alignment vertical="center"/>
    </xf>
    <xf numFmtId="0" fontId="0" fillId="6" borderId="74" xfId="0" applyFill="1" applyBorder="1">
      <alignment vertical="center"/>
    </xf>
    <xf numFmtId="3" fontId="0" fillId="0" borderId="67" xfId="0" applyNumberFormat="1" applyBorder="1">
      <alignment vertical="center"/>
    </xf>
    <xf numFmtId="3" fontId="0" fillId="0" borderId="71" xfId="0" applyNumberFormat="1" applyBorder="1">
      <alignment vertical="center"/>
    </xf>
    <xf numFmtId="3" fontId="0" fillId="0" borderId="75" xfId="0" applyNumberFormat="1" applyBorder="1">
      <alignment vertical="center"/>
    </xf>
    <xf numFmtId="0" fontId="0" fillId="0" borderId="4" xfId="0" applyBorder="1" applyAlignment="1">
      <alignment horizontal="right" vertical="center"/>
    </xf>
    <xf numFmtId="3" fontId="4" fillId="0" borderId="4" xfId="0" applyNumberFormat="1" applyFont="1" applyBorder="1">
      <alignment vertical="center"/>
    </xf>
    <xf numFmtId="0" fontId="6" fillId="0" borderId="37" xfId="0" applyFont="1" applyBorder="1" applyAlignment="1">
      <alignment horizontal="left" vertical="top" shrinkToFit="1"/>
    </xf>
    <xf numFmtId="0" fontId="1" fillId="0" borderId="0" xfId="7"/>
    <xf numFmtId="41" fontId="0" fillId="0" borderId="0" xfId="8" applyFont="1"/>
    <xf numFmtId="170" fontId="7" fillId="0" borderId="0" xfId="0" applyNumberFormat="1" applyFont="1">
      <alignment vertical="center"/>
    </xf>
    <xf numFmtId="0" fontId="15" fillId="0" borderId="0" xfId="12"/>
    <xf numFmtId="0" fontId="15" fillId="0" borderId="78" xfId="12" applyBorder="1"/>
    <xf numFmtId="0" fontId="15" fillId="0" borderId="79" xfId="12" applyBorder="1"/>
    <xf numFmtId="0" fontId="15" fillId="0" borderId="80" xfId="12" applyBorder="1"/>
    <xf numFmtId="0" fontId="15" fillId="0" borderId="81" xfId="12" applyBorder="1"/>
    <xf numFmtId="0" fontId="15" fillId="0" borderId="82" xfId="12" applyBorder="1"/>
    <xf numFmtId="0" fontId="15" fillId="0" borderId="83" xfId="12" applyBorder="1"/>
    <xf numFmtId="16" fontId="16" fillId="0" borderId="32" xfId="12" applyNumberFormat="1" applyFont="1" applyBorder="1" applyAlignment="1">
      <alignment wrapText="1"/>
    </xf>
    <xf numFmtId="0" fontId="16" fillId="0" borderId="37" xfId="12" applyFont="1" applyBorder="1"/>
    <xf numFmtId="0" fontId="17" fillId="0" borderId="37" xfId="12" applyFont="1" applyBorder="1"/>
    <xf numFmtId="16" fontId="17" fillId="0" borderId="37" xfId="12" applyNumberFormat="1" applyFont="1" applyBorder="1"/>
    <xf numFmtId="0" fontId="17" fillId="0" borderId="16" xfId="12" applyFont="1" applyBorder="1"/>
    <xf numFmtId="16" fontId="16" fillId="0" borderId="84" xfId="12" applyNumberFormat="1" applyFont="1" applyBorder="1" applyAlignment="1">
      <alignment wrapText="1"/>
    </xf>
    <xf numFmtId="0" fontId="16" fillId="0" borderId="85" xfId="12" applyFont="1" applyBorder="1"/>
    <xf numFmtId="0" fontId="17" fillId="0" borderId="85" xfId="12" applyFont="1" applyBorder="1"/>
    <xf numFmtId="0" fontId="18" fillId="0" borderId="86" xfId="12" applyFont="1" applyBorder="1"/>
    <xf numFmtId="171" fontId="19" fillId="0" borderId="87" xfId="12" applyNumberFormat="1" applyFont="1" applyBorder="1"/>
    <xf numFmtId="0" fontId="18" fillId="0" borderId="88" xfId="12" applyFont="1" applyBorder="1"/>
    <xf numFmtId="16" fontId="16" fillId="0" borderId="36" xfId="12" applyNumberFormat="1" applyFont="1" applyBorder="1" applyAlignment="1">
      <alignment wrapText="1"/>
    </xf>
    <xf numFmtId="0" fontId="16" fillId="0" borderId="65" xfId="12" applyFont="1" applyBorder="1"/>
    <xf numFmtId="0" fontId="17" fillId="0" borderId="65" xfId="12" applyFont="1" applyBorder="1"/>
    <xf numFmtId="0" fontId="18" fillId="0" borderId="2" xfId="12" applyFont="1" applyBorder="1"/>
    <xf numFmtId="171" fontId="19" fillId="0" borderId="89" xfId="12" applyNumberFormat="1" applyFont="1" applyBorder="1"/>
    <xf numFmtId="0" fontId="18" fillId="0" borderId="20" xfId="12" applyFont="1" applyBorder="1"/>
    <xf numFmtId="16" fontId="16" fillId="0" borderId="90" xfId="12" applyNumberFormat="1" applyFont="1" applyBorder="1" applyAlignment="1">
      <alignment wrapText="1"/>
    </xf>
    <xf numFmtId="0" fontId="16" fillId="0" borderId="91" xfId="12" applyFont="1" applyBorder="1"/>
    <xf numFmtId="0" fontId="17" fillId="0" borderId="91" xfId="12" applyFont="1" applyBorder="1"/>
    <xf numFmtId="0" fontId="18" fillId="0" borderId="92" xfId="12" applyFont="1" applyBorder="1"/>
    <xf numFmtId="171" fontId="19" fillId="0" borderId="93" xfId="12" applyNumberFormat="1" applyFont="1" applyBorder="1"/>
    <xf numFmtId="0" fontId="18" fillId="0" borderId="94" xfId="12" applyFont="1" applyBorder="1"/>
    <xf numFmtId="171" fontId="19" fillId="0" borderId="95" xfId="12" applyNumberFormat="1" applyFont="1" applyBorder="1"/>
    <xf numFmtId="0" fontId="17" fillId="0" borderId="92" xfId="12" applyFont="1" applyBorder="1"/>
    <xf numFmtId="16" fontId="17" fillId="0" borderId="96" xfId="12" applyNumberFormat="1" applyFont="1" applyBorder="1"/>
    <xf numFmtId="0" fontId="17" fillId="0" borderId="94" xfId="12" applyFont="1" applyBorder="1"/>
    <xf numFmtId="0" fontId="16" fillId="0" borderId="90" xfId="12" applyFont="1" applyBorder="1" applyAlignment="1">
      <alignment wrapText="1"/>
    </xf>
    <xf numFmtId="0" fontId="16" fillId="0" borderId="36" xfId="12" applyFont="1" applyBorder="1" applyAlignment="1">
      <alignment wrapText="1"/>
    </xf>
    <xf numFmtId="0" fontId="17" fillId="0" borderId="2" xfId="12" applyFont="1" applyBorder="1"/>
    <xf numFmtId="16" fontId="17" fillId="0" borderId="93" xfId="12" applyNumberFormat="1" applyFont="1" applyBorder="1"/>
    <xf numFmtId="0" fontId="17" fillId="0" borderId="20" xfId="12" applyFont="1" applyBorder="1"/>
    <xf numFmtId="0" fontId="16" fillId="0" borderId="84" xfId="12" applyFont="1" applyBorder="1" applyAlignment="1">
      <alignment wrapText="1"/>
    </xf>
    <xf numFmtId="171" fontId="20" fillId="0" borderId="87" xfId="12" applyNumberFormat="1" applyFont="1" applyBorder="1"/>
    <xf numFmtId="171" fontId="20" fillId="0" borderId="89" xfId="12" applyNumberFormat="1" applyFont="1" applyBorder="1"/>
    <xf numFmtId="16" fontId="17" fillId="0" borderId="97" xfId="12" applyNumberFormat="1" applyFont="1" applyBorder="1"/>
    <xf numFmtId="16" fontId="17" fillId="0" borderId="89" xfId="12" applyNumberFormat="1" applyFont="1" applyBorder="1"/>
    <xf numFmtId="171" fontId="20" fillId="0" borderId="98" xfId="12" applyNumberFormat="1" applyFont="1" applyBorder="1"/>
    <xf numFmtId="171" fontId="20" fillId="0" borderId="99" xfId="12" applyNumberFormat="1" applyFont="1" applyBorder="1"/>
    <xf numFmtId="0" fontId="16" fillId="0" borderId="32" xfId="12" applyFont="1" applyBorder="1" applyAlignment="1">
      <alignment wrapText="1"/>
    </xf>
    <xf numFmtId="0" fontId="16" fillId="0" borderId="100" xfId="12" applyFont="1" applyBorder="1" applyAlignment="1">
      <alignment wrapText="1"/>
    </xf>
    <xf numFmtId="0" fontId="16" fillId="0" borderId="101" xfId="12" applyFont="1" applyBorder="1"/>
    <xf numFmtId="0" fontId="17" fillId="0" borderId="101" xfId="12" applyFont="1" applyBorder="1"/>
    <xf numFmtId="0" fontId="18" fillId="0" borderId="26" xfId="12" applyFont="1" applyBorder="1"/>
    <xf numFmtId="16" fontId="17" fillId="0" borderId="102" xfId="12" applyNumberFormat="1" applyFont="1" applyBorder="1"/>
    <xf numFmtId="0" fontId="18" fillId="0" borderId="27" xfId="12" applyFont="1" applyBorder="1"/>
    <xf numFmtId="164" fontId="0" fillId="0" borderId="0" xfId="2" applyFont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top" shrinkToFit="1"/>
    </xf>
    <xf numFmtId="0" fontId="6" fillId="3" borderId="3" xfId="0" applyFont="1" applyFill="1" applyBorder="1" applyAlignment="1">
      <alignment horizontal="center" vertical="top" shrinkToFit="1"/>
    </xf>
    <xf numFmtId="165" fontId="6" fillId="4" borderId="17" xfId="0" applyNumberFormat="1" applyFont="1" applyFill="1" applyBorder="1" applyAlignment="1">
      <alignment horizontal="center" vertical="center" shrinkToFit="1"/>
    </xf>
    <xf numFmtId="165" fontId="6" fillId="4" borderId="1" xfId="0" applyNumberFormat="1" applyFont="1" applyFill="1" applyBorder="1" applyAlignment="1">
      <alignment horizontal="center" vertical="center" shrinkToFit="1"/>
    </xf>
    <xf numFmtId="165" fontId="6" fillId="2" borderId="1" xfId="0" applyNumberFormat="1" applyFont="1" applyFill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65" fontId="10" fillId="4" borderId="12" xfId="0" applyNumberFormat="1" applyFont="1" applyFill="1" applyBorder="1" applyAlignment="1">
      <alignment horizontal="center" vertical="center"/>
    </xf>
    <xf numFmtId="165" fontId="10" fillId="4" borderId="13" xfId="0" applyNumberFormat="1" applyFont="1" applyFill="1" applyBorder="1" applyAlignment="1">
      <alignment horizontal="center" vertical="center"/>
    </xf>
    <xf numFmtId="165" fontId="10" fillId="4" borderId="14" xfId="0" applyNumberFormat="1" applyFont="1" applyFill="1" applyBorder="1" applyAlignment="1">
      <alignment horizontal="center" vertical="center"/>
    </xf>
    <xf numFmtId="165" fontId="10" fillId="4" borderId="9" xfId="0" applyNumberFormat="1" applyFont="1" applyFill="1" applyBorder="1" applyAlignment="1">
      <alignment horizontal="center" vertical="center"/>
    </xf>
    <xf numFmtId="165" fontId="10" fillId="4" borderId="10" xfId="0" applyNumberFormat="1" applyFont="1" applyFill="1" applyBorder="1" applyAlignment="1">
      <alignment horizontal="center" vertical="center"/>
    </xf>
    <xf numFmtId="165" fontId="10" fillId="4" borderId="11" xfId="0" applyNumberFormat="1" applyFont="1" applyFill="1" applyBorder="1" applyAlignment="1">
      <alignment horizontal="center" vertical="center"/>
    </xf>
    <xf numFmtId="165" fontId="11" fillId="4" borderId="12" xfId="0" applyNumberFormat="1" applyFont="1" applyFill="1" applyBorder="1" applyAlignment="1">
      <alignment horizontal="center" vertical="center"/>
    </xf>
    <xf numFmtId="165" fontId="11" fillId="4" borderId="13" xfId="0" applyNumberFormat="1" applyFont="1" applyFill="1" applyBorder="1" applyAlignment="1">
      <alignment horizontal="center" vertical="center"/>
    </xf>
    <xf numFmtId="165" fontId="11" fillId="4" borderId="14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 shrinkToFit="1"/>
    </xf>
    <xf numFmtId="165" fontId="6" fillId="3" borderId="3" xfId="0" applyNumberFormat="1" applyFont="1" applyFill="1" applyBorder="1" applyAlignment="1">
      <alignment horizontal="center" vertical="center" shrinkToFit="1"/>
    </xf>
    <xf numFmtId="165" fontId="6" fillId="3" borderId="18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</cellXfs>
  <cellStyles count="13">
    <cellStyle name="Normal 2 3" xfId="12" xr:uid="{EDAC45B2-1EBB-43F4-BB60-31C94B6F985F}"/>
    <cellStyle name="パーセント 2" xfId="3" xr:uid="{AA9A7285-38D5-4AD0-BA14-554FD9AF3591}"/>
    <cellStyle name="桁区切り" xfId="1" builtinId="6"/>
    <cellStyle name="桁区切り 2" xfId="6" xr:uid="{93CAE14C-5DBB-482B-9089-5B54033EAD8F}"/>
    <cellStyle name="桁区切り 2 2" xfId="11" xr:uid="{A5DC9D62-BCFC-4615-827E-41A92092A8A9}"/>
    <cellStyle name="桁区切り 3" xfId="8" xr:uid="{9B1802A6-96F4-444A-962A-15B90F280F90}"/>
    <cellStyle name="通貨" xfId="2" builtinId="7"/>
    <cellStyle name="通貨 2" xfId="5" xr:uid="{D4D4EE97-9227-419E-9AC0-E5505A3E5054}"/>
    <cellStyle name="通貨 2 2" xfId="10" xr:uid="{FE9A0A95-020C-48D3-9CA5-35B821B5736B}"/>
    <cellStyle name="標準" xfId="0" builtinId="0"/>
    <cellStyle name="標準 2" xfId="4" xr:uid="{71D55E34-9FFE-45D6-BB43-D96F909053E7}"/>
    <cellStyle name="標準 2 2" xfId="9" xr:uid="{D9BACD8B-CC02-4FDD-9AD7-EBD02E1858CA}"/>
    <cellStyle name="標準 3" xfId="7" xr:uid="{90E34B90-1D2B-453C-8B4D-CF41E70BCAD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40</xdr:row>
      <xdr:rowOff>220980</xdr:rowOff>
    </xdr:from>
    <xdr:to>
      <xdr:col>15</xdr:col>
      <xdr:colOff>400661</xdr:colOff>
      <xdr:row>82</xdr:row>
      <xdr:rowOff>130257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C1D468-A86B-457A-BAB8-616C5572E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363075"/>
          <a:ext cx="10302851" cy="95085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516837</xdr:colOff>
      <xdr:row>40</xdr:row>
      <xdr:rowOff>135999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EFCAD4A-FDE1-478B-8FF4-E37557C75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521897" cy="9283809"/>
        </a:xfrm>
        <a:prstGeom prst="rect">
          <a:avLst/>
        </a:prstGeom>
      </xdr:spPr>
    </xdr:pic>
    <xdr:clientData/>
  </xdr:twoCellAnchor>
  <xdr:twoCellAnchor>
    <xdr:from>
      <xdr:col>0</xdr:col>
      <xdr:colOff>510540</xdr:colOff>
      <xdr:row>0</xdr:row>
      <xdr:rowOff>205740</xdr:rowOff>
    </xdr:from>
    <xdr:to>
      <xdr:col>4</xdr:col>
      <xdr:colOff>662940</xdr:colOff>
      <xdr:row>2</xdr:row>
      <xdr:rowOff>220980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4BD4F63-B8FC-4E36-AA6F-3E1E107EC787}"/>
            </a:ext>
          </a:extLst>
        </xdr:cNvPr>
        <xdr:cNvSpPr txBox="1"/>
      </xdr:nvSpPr>
      <xdr:spPr>
        <a:xfrm>
          <a:off x="514350" y="209550"/>
          <a:ext cx="28194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rgbClr val="FF0000"/>
              </a:solidFill>
            </a:rPr>
            <a:t>APIC</a:t>
          </a:r>
          <a:r>
            <a:rPr kumimoji="1" lang="ja-JP" altLang="en-US" sz="1600">
              <a:solidFill>
                <a:srgbClr val="FF0000"/>
              </a:solidFill>
            </a:rPr>
            <a:t>：包括評価申告 受理書</a:t>
          </a:r>
        </a:p>
      </xdr:txBody>
    </xdr:sp>
    <xdr:clientData/>
  </xdr:twoCellAnchor>
  <xdr:twoCellAnchor>
    <xdr:from>
      <xdr:col>0</xdr:col>
      <xdr:colOff>99060</xdr:colOff>
      <xdr:row>40</xdr:row>
      <xdr:rowOff>137850</xdr:rowOff>
    </xdr:from>
    <xdr:to>
      <xdr:col>4</xdr:col>
      <xdr:colOff>251460</xdr:colOff>
      <xdr:row>42</xdr:row>
      <xdr:rowOff>160018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FB5E291-D3AF-4E8A-90FF-6FCB0B383935}"/>
            </a:ext>
          </a:extLst>
        </xdr:cNvPr>
        <xdr:cNvSpPr txBox="1"/>
      </xdr:nvSpPr>
      <xdr:spPr>
        <a:xfrm>
          <a:off x="95250" y="9278040"/>
          <a:ext cx="2819400" cy="485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rgbClr val="FF0000"/>
              </a:solidFill>
            </a:rPr>
            <a:t>BTNB</a:t>
          </a:r>
          <a:r>
            <a:rPr kumimoji="1" lang="ja-JP" altLang="en-US" sz="1600">
              <a:solidFill>
                <a:srgbClr val="FF0000"/>
              </a:solidFill>
            </a:rPr>
            <a:t>：包括評価申告 受理書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C2BB-A3DF-490D-AB18-96F7454FA9E1}">
  <sheetPr>
    <pageSetUpPr fitToPage="1"/>
  </sheetPr>
  <dimension ref="A1:L24"/>
  <sheetViews>
    <sheetView workbookViewId="0">
      <selection activeCell="H19" sqref="H19"/>
    </sheetView>
  </sheetViews>
  <sheetFormatPr defaultRowHeight="14.4"/>
  <cols>
    <col min="1" max="1" width="6.44140625" customWidth="1"/>
    <col min="3" max="3" width="19.88671875" bestFit="1" customWidth="1"/>
    <col min="4" max="4" width="10.6640625" bestFit="1" customWidth="1"/>
    <col min="5" max="6" width="9.21875" customWidth="1"/>
    <col min="12" max="12" width="11.44140625" customWidth="1"/>
  </cols>
  <sheetData>
    <row r="1" spans="1:12">
      <c r="A1" t="s">
        <v>0</v>
      </c>
    </row>
    <row r="3" spans="1:12">
      <c r="A3" s="2" t="s">
        <v>1</v>
      </c>
      <c r="B3" s="218" t="s">
        <v>2</v>
      </c>
      <c r="C3" s="2" t="s">
        <v>3</v>
      </c>
      <c r="D3" s="2" t="s">
        <v>4</v>
      </c>
      <c r="E3" s="218" t="s">
        <v>5</v>
      </c>
      <c r="F3" s="217" t="s">
        <v>6</v>
      </c>
      <c r="G3" s="218"/>
      <c r="H3" s="218"/>
      <c r="I3" s="218"/>
      <c r="J3" s="218"/>
      <c r="K3" s="218"/>
      <c r="L3" s="219"/>
    </row>
    <row r="4" spans="1:12">
      <c r="A4" s="220">
        <v>1</v>
      </c>
      <c r="B4" s="221" t="s">
        <v>7</v>
      </c>
      <c r="C4" s="220" t="s">
        <v>8</v>
      </c>
      <c r="D4" s="237" t="s">
        <v>8</v>
      </c>
      <c r="E4" s="240">
        <v>1208</v>
      </c>
      <c r="F4" s="223" t="s">
        <v>9</v>
      </c>
      <c r="G4" s="224" t="s">
        <v>10</v>
      </c>
      <c r="H4" s="222"/>
      <c r="I4" s="222"/>
      <c r="J4" s="222"/>
      <c r="K4" s="222"/>
      <c r="L4" s="225"/>
    </row>
    <row r="5" spans="1:12">
      <c r="A5" s="226">
        <v>2</v>
      </c>
      <c r="B5" s="227" t="s">
        <v>7</v>
      </c>
      <c r="C5" s="226" t="s">
        <v>11</v>
      </c>
      <c r="D5" s="238" t="s">
        <v>12</v>
      </c>
      <c r="E5" s="241">
        <v>914</v>
      </c>
      <c r="F5" s="229" t="s">
        <v>9</v>
      </c>
      <c r="G5" s="228" t="s">
        <v>13</v>
      </c>
      <c r="H5" s="228"/>
      <c r="I5" s="228"/>
      <c r="J5" s="228"/>
      <c r="K5" s="228"/>
      <c r="L5" s="230"/>
    </row>
    <row r="6" spans="1:12">
      <c r="A6" s="226">
        <v>3</v>
      </c>
      <c r="B6" s="227" t="s">
        <v>7</v>
      </c>
      <c r="C6" s="226" t="s">
        <v>14</v>
      </c>
      <c r="D6" s="238" t="s">
        <v>15</v>
      </c>
      <c r="E6" s="241">
        <v>252</v>
      </c>
      <c r="F6" s="229" t="s">
        <v>16</v>
      </c>
      <c r="G6" s="228"/>
      <c r="H6" s="228"/>
      <c r="I6" s="228"/>
      <c r="J6" s="228"/>
      <c r="K6" s="228"/>
      <c r="L6" s="230"/>
    </row>
    <row r="7" spans="1:12">
      <c r="A7" s="226">
        <v>4</v>
      </c>
      <c r="B7" s="227" t="s">
        <v>7</v>
      </c>
      <c r="C7" s="226" t="s">
        <v>17</v>
      </c>
      <c r="D7" s="238" t="s">
        <v>18</v>
      </c>
      <c r="E7" s="241">
        <v>4483</v>
      </c>
      <c r="F7" s="229" t="s">
        <v>19</v>
      </c>
      <c r="G7" s="228"/>
      <c r="H7" s="228"/>
      <c r="I7" s="228"/>
      <c r="J7" s="228"/>
      <c r="K7" s="228"/>
      <c r="L7" s="230"/>
    </row>
    <row r="8" spans="1:12">
      <c r="A8" s="226">
        <v>5</v>
      </c>
      <c r="B8" s="227" t="s">
        <v>7</v>
      </c>
      <c r="C8" s="226" t="s">
        <v>20</v>
      </c>
      <c r="D8" s="238" t="s">
        <v>21</v>
      </c>
      <c r="E8" s="241">
        <v>2484</v>
      </c>
      <c r="F8" s="229" t="s">
        <v>19</v>
      </c>
      <c r="G8" s="228"/>
      <c r="H8" s="228"/>
      <c r="I8" s="228"/>
      <c r="J8" s="228"/>
      <c r="K8" s="228"/>
      <c r="L8" s="230"/>
    </row>
    <row r="9" spans="1:12">
      <c r="A9" s="226">
        <v>6</v>
      </c>
      <c r="B9" s="227" t="s">
        <v>7</v>
      </c>
      <c r="C9" s="226" t="s">
        <v>22</v>
      </c>
      <c r="D9" s="238" t="s">
        <v>23</v>
      </c>
      <c r="E9" s="241">
        <v>17414</v>
      </c>
      <c r="F9" s="229" t="s">
        <v>19</v>
      </c>
      <c r="G9" s="228"/>
      <c r="H9" s="228"/>
      <c r="I9" s="228"/>
      <c r="J9" s="228"/>
      <c r="K9" s="228"/>
      <c r="L9" s="230"/>
    </row>
    <row r="10" spans="1:12">
      <c r="A10" s="226">
        <v>7</v>
      </c>
      <c r="B10" s="227" t="s">
        <v>7</v>
      </c>
      <c r="C10" s="226" t="s">
        <v>24</v>
      </c>
      <c r="D10" s="238" t="s">
        <v>25</v>
      </c>
      <c r="E10" s="241">
        <v>12261</v>
      </c>
      <c r="F10" s="229" t="s">
        <v>19</v>
      </c>
      <c r="G10" s="228"/>
      <c r="H10" s="228"/>
      <c r="I10" s="228"/>
      <c r="J10" s="228"/>
      <c r="K10" s="228"/>
      <c r="L10" s="230"/>
    </row>
    <row r="11" spans="1:12">
      <c r="A11" s="231">
        <v>8</v>
      </c>
      <c r="B11" s="232" t="s">
        <v>7</v>
      </c>
      <c r="C11" s="231" t="s">
        <v>26</v>
      </c>
      <c r="D11" s="239" t="s">
        <v>27</v>
      </c>
      <c r="E11" s="242">
        <v>2403</v>
      </c>
      <c r="F11" s="234" t="s">
        <v>19</v>
      </c>
      <c r="G11" s="233"/>
      <c r="H11" s="233"/>
      <c r="I11" s="233"/>
      <c r="J11" s="233"/>
      <c r="K11" s="233"/>
      <c r="L11" s="235"/>
    </row>
    <row r="12" spans="1:12">
      <c r="A12" s="218"/>
      <c r="B12" s="218"/>
      <c r="C12" s="218"/>
      <c r="D12" s="243" t="s">
        <v>28</v>
      </c>
      <c r="E12" s="244">
        <f>SUM(E4:E11)</f>
        <v>41419</v>
      </c>
      <c r="F12" s="218"/>
      <c r="G12" s="218"/>
      <c r="H12" s="218"/>
      <c r="I12" s="218"/>
      <c r="J12" s="218"/>
      <c r="K12" s="218"/>
      <c r="L12" s="218"/>
    </row>
    <row r="13" spans="1:12">
      <c r="A13" s="220">
        <v>1</v>
      </c>
      <c r="B13" s="222" t="s">
        <v>29</v>
      </c>
      <c r="C13" s="220" t="s">
        <v>30</v>
      </c>
      <c r="D13" s="220" t="s">
        <v>31</v>
      </c>
      <c r="E13" s="222"/>
      <c r="F13" s="236"/>
      <c r="G13" s="222"/>
      <c r="H13" s="222"/>
      <c r="I13" s="222"/>
      <c r="J13" s="222"/>
      <c r="K13" s="222"/>
      <c r="L13" s="225"/>
    </row>
    <row r="14" spans="1:12">
      <c r="A14" s="226">
        <v>2</v>
      </c>
      <c r="B14" s="228" t="s">
        <v>29</v>
      </c>
      <c r="C14" s="226" t="s">
        <v>32</v>
      </c>
      <c r="D14" s="226" t="s">
        <v>33</v>
      </c>
      <c r="E14" s="228"/>
      <c r="F14" s="229"/>
      <c r="G14" s="228"/>
      <c r="H14" s="228"/>
      <c r="I14" s="228"/>
      <c r="J14" s="228"/>
      <c r="K14" s="228"/>
      <c r="L14" s="230"/>
    </row>
    <row r="15" spans="1:12">
      <c r="A15" s="226">
        <v>3</v>
      </c>
      <c r="B15" s="228" t="s">
        <v>29</v>
      </c>
      <c r="C15" s="226" t="s">
        <v>34</v>
      </c>
      <c r="D15" s="226" t="s">
        <v>35</v>
      </c>
      <c r="E15" s="228"/>
      <c r="F15" s="229"/>
      <c r="G15" s="228"/>
      <c r="H15" s="228"/>
      <c r="I15" s="228"/>
      <c r="J15" s="228"/>
      <c r="K15" s="228"/>
      <c r="L15" s="230"/>
    </row>
    <row r="16" spans="1:12">
      <c r="A16" s="226">
        <v>4</v>
      </c>
      <c r="B16" s="228" t="s">
        <v>29</v>
      </c>
      <c r="C16" s="226" t="s">
        <v>36</v>
      </c>
      <c r="D16" s="226" t="s">
        <v>37</v>
      </c>
      <c r="E16" s="228"/>
      <c r="F16" s="229"/>
      <c r="G16" s="228"/>
      <c r="H16" s="228"/>
      <c r="I16" s="228"/>
      <c r="J16" s="228"/>
      <c r="K16" s="228"/>
      <c r="L16" s="230"/>
    </row>
    <row r="17" spans="1:12">
      <c r="A17" s="226">
        <v>5</v>
      </c>
      <c r="B17" s="228" t="s">
        <v>29</v>
      </c>
      <c r="C17" s="226" t="s">
        <v>38</v>
      </c>
      <c r="D17" s="226" t="s">
        <v>38</v>
      </c>
      <c r="E17" s="228"/>
      <c r="F17" s="229"/>
      <c r="G17" s="228"/>
      <c r="H17" s="228"/>
      <c r="I17" s="228"/>
      <c r="J17" s="228"/>
      <c r="K17" s="228"/>
      <c r="L17" s="230"/>
    </row>
    <row r="18" spans="1:12">
      <c r="A18" s="226">
        <v>6</v>
      </c>
      <c r="B18" s="228" t="s">
        <v>29</v>
      </c>
      <c r="C18" s="226" t="s">
        <v>39</v>
      </c>
      <c r="D18" s="226" t="s">
        <v>40</v>
      </c>
      <c r="E18" s="228"/>
      <c r="F18" s="229"/>
      <c r="G18" s="228"/>
      <c r="H18" s="228"/>
      <c r="I18" s="228"/>
      <c r="J18" s="228"/>
      <c r="K18" s="228"/>
      <c r="L18" s="230"/>
    </row>
    <row r="19" spans="1:12">
      <c r="A19" s="226">
        <v>7</v>
      </c>
      <c r="B19" s="228" t="s">
        <v>29</v>
      </c>
      <c r="C19" s="226" t="s">
        <v>41</v>
      </c>
      <c r="D19" s="226" t="s">
        <v>42</v>
      </c>
      <c r="E19" s="228"/>
      <c r="F19" s="229"/>
      <c r="G19" s="228"/>
      <c r="H19" s="228"/>
      <c r="I19" s="228"/>
      <c r="J19" s="228"/>
      <c r="K19" s="228"/>
      <c r="L19" s="230"/>
    </row>
    <row r="20" spans="1:12">
      <c r="A20" s="226">
        <v>8</v>
      </c>
      <c r="B20" s="228" t="s">
        <v>29</v>
      </c>
      <c r="C20" s="226" t="s">
        <v>43</v>
      </c>
      <c r="D20" s="226" t="s">
        <v>42</v>
      </c>
      <c r="E20" s="228"/>
      <c r="F20" s="229"/>
      <c r="G20" s="228"/>
      <c r="H20" s="228"/>
      <c r="I20" s="228"/>
      <c r="J20" s="228"/>
      <c r="K20" s="228"/>
      <c r="L20" s="230"/>
    </row>
    <row r="21" spans="1:12">
      <c r="A21" s="226">
        <v>9</v>
      </c>
      <c r="B21" s="228" t="s">
        <v>29</v>
      </c>
      <c r="C21" s="226" t="s">
        <v>44</v>
      </c>
      <c r="D21" s="226" t="s">
        <v>42</v>
      </c>
      <c r="E21" s="228"/>
      <c r="F21" s="229"/>
      <c r="G21" s="228"/>
      <c r="H21" s="228"/>
      <c r="I21" s="228"/>
      <c r="J21" s="228"/>
      <c r="K21" s="228"/>
      <c r="L21" s="230"/>
    </row>
    <row r="22" spans="1:12">
      <c r="A22" s="226">
        <v>10</v>
      </c>
      <c r="B22" s="228" t="s">
        <v>29</v>
      </c>
      <c r="C22" s="226" t="s">
        <v>45</v>
      </c>
      <c r="D22" s="226" t="s">
        <v>42</v>
      </c>
      <c r="E22" s="228"/>
      <c r="F22" s="229"/>
      <c r="G22" s="228"/>
      <c r="H22" s="228"/>
      <c r="I22" s="228"/>
      <c r="J22" s="228"/>
      <c r="K22" s="228"/>
      <c r="L22" s="230"/>
    </row>
    <row r="23" spans="1:12">
      <c r="A23" s="226">
        <v>11</v>
      </c>
      <c r="B23" s="228" t="s">
        <v>29</v>
      </c>
      <c r="C23" s="226" t="s">
        <v>8</v>
      </c>
      <c r="D23" s="226" t="s">
        <v>8</v>
      </c>
      <c r="E23" s="228"/>
      <c r="F23" s="229"/>
      <c r="G23" s="228"/>
      <c r="H23" s="228"/>
      <c r="I23" s="228"/>
      <c r="J23" s="228"/>
      <c r="K23" s="228"/>
      <c r="L23" s="230"/>
    </row>
    <row r="24" spans="1:12">
      <c r="A24" s="231">
        <v>12</v>
      </c>
      <c r="B24" s="233" t="s">
        <v>29</v>
      </c>
      <c r="C24" s="231"/>
      <c r="D24" s="231" t="s">
        <v>46</v>
      </c>
      <c r="E24" s="233"/>
      <c r="F24" s="234"/>
      <c r="G24" s="233"/>
      <c r="H24" s="233"/>
      <c r="I24" s="233"/>
      <c r="J24" s="233"/>
      <c r="K24" s="233"/>
      <c r="L24" s="235"/>
    </row>
  </sheetData>
  <phoneticPr fontId="2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8E36-2A4A-4AAF-A940-9338AD7F5F7D}">
  <dimension ref="A1:K39"/>
  <sheetViews>
    <sheetView zoomScaleNormal="100" workbookViewId="0">
      <selection activeCell="N20" sqref="N20"/>
    </sheetView>
  </sheetViews>
  <sheetFormatPr defaultColWidth="8.6640625" defaultRowHeight="14.4"/>
  <cols>
    <col min="1" max="1" width="5" style="246" bestFit="1" customWidth="1"/>
    <col min="2" max="2" width="15.21875" style="246" customWidth="1"/>
    <col min="3" max="4" width="8.6640625" style="246"/>
    <col min="5" max="5" width="10.5546875" style="246" bestFit="1" customWidth="1"/>
    <col min="6" max="6" width="13.88671875" style="246" customWidth="1"/>
    <col min="7" max="7" width="8.6640625" style="247"/>
    <col min="8" max="9" width="8.6640625" style="246"/>
    <col min="10" max="10" width="8.6640625" style="247"/>
    <col min="11" max="11" width="13.109375" style="247" bestFit="1" customWidth="1"/>
    <col min="12" max="16384" width="8.6640625" style="246"/>
  </cols>
  <sheetData>
    <row r="1" spans="1:11" ht="15" thickBot="1">
      <c r="A1" s="249"/>
      <c r="B1" s="249" t="s">
        <v>66</v>
      </c>
      <c r="C1" s="249"/>
      <c r="D1" s="249"/>
      <c r="E1" s="249"/>
      <c r="F1" s="249"/>
      <c r="G1" s="249"/>
      <c r="H1" s="249"/>
      <c r="I1" s="249"/>
      <c r="J1" s="249"/>
      <c r="K1" s="247" t="s">
        <v>341</v>
      </c>
    </row>
    <row r="2" spans="1:11" ht="15" thickBot="1">
      <c r="A2" s="250"/>
      <c r="B2" s="251" t="s">
        <v>67</v>
      </c>
      <c r="C2" s="252" t="s">
        <v>2</v>
      </c>
      <c r="D2" s="252" t="s">
        <v>68</v>
      </c>
      <c r="E2" s="251" t="s">
        <v>4</v>
      </c>
      <c r="F2" s="251" t="s">
        <v>69</v>
      </c>
      <c r="G2" s="253" t="s">
        <v>70</v>
      </c>
      <c r="H2" s="254" t="s">
        <v>71</v>
      </c>
      <c r="I2" s="252" t="s">
        <v>72</v>
      </c>
      <c r="J2" s="252" t="s">
        <v>73</v>
      </c>
      <c r="K2" s="255" t="s">
        <v>74</v>
      </c>
    </row>
    <row r="3" spans="1:11" ht="15" thickTop="1">
      <c r="A3" s="256" t="s">
        <v>343</v>
      </c>
      <c r="B3" s="257" t="s">
        <v>344</v>
      </c>
      <c r="C3" s="258" t="s">
        <v>334</v>
      </c>
      <c r="D3" s="258" t="s">
        <v>75</v>
      </c>
      <c r="E3" s="258" t="s">
        <v>339</v>
      </c>
      <c r="F3" s="258" t="s">
        <v>345</v>
      </c>
      <c r="G3" s="258">
        <v>460</v>
      </c>
      <c r="H3" s="258" t="s">
        <v>346</v>
      </c>
      <c r="I3" s="259">
        <v>46051</v>
      </c>
      <c r="J3" s="258">
        <v>460</v>
      </c>
      <c r="K3" s="260">
        <f>G3-J3</f>
        <v>0</v>
      </c>
    </row>
    <row r="4" spans="1:11">
      <c r="A4" s="261" t="s">
        <v>347</v>
      </c>
      <c r="B4" s="262" t="s">
        <v>344</v>
      </c>
      <c r="C4" s="263" t="s">
        <v>334</v>
      </c>
      <c r="D4" s="263" t="s">
        <v>75</v>
      </c>
      <c r="E4" s="263" t="s">
        <v>337</v>
      </c>
      <c r="F4" s="263" t="s">
        <v>345</v>
      </c>
      <c r="G4" s="263">
        <v>105</v>
      </c>
      <c r="H4" s="264" t="s">
        <v>346</v>
      </c>
      <c r="I4" s="265">
        <v>46063</v>
      </c>
      <c r="J4" s="263">
        <v>105</v>
      </c>
      <c r="K4" s="266">
        <f t="shared" ref="K4:K39" si="0">G4-J4</f>
        <v>0</v>
      </c>
    </row>
    <row r="5" spans="1:11">
      <c r="A5" s="267" t="s">
        <v>348</v>
      </c>
      <c r="B5" s="268" t="s">
        <v>344</v>
      </c>
      <c r="C5" s="269" t="s">
        <v>334</v>
      </c>
      <c r="D5" s="269" t="s">
        <v>75</v>
      </c>
      <c r="E5" s="269" t="s">
        <v>337</v>
      </c>
      <c r="F5" s="269" t="s">
        <v>345</v>
      </c>
      <c r="G5" s="269">
        <v>402</v>
      </c>
      <c r="H5" s="270" t="s">
        <v>346</v>
      </c>
      <c r="I5" s="271">
        <v>46063</v>
      </c>
      <c r="J5" s="269">
        <v>402</v>
      </c>
      <c r="K5" s="272">
        <f t="shared" si="0"/>
        <v>0</v>
      </c>
    </row>
    <row r="6" spans="1:11">
      <c r="A6" s="273" t="s">
        <v>349</v>
      </c>
      <c r="B6" s="274" t="s">
        <v>344</v>
      </c>
      <c r="C6" s="275" t="s">
        <v>334</v>
      </c>
      <c r="D6" s="275" t="s">
        <v>75</v>
      </c>
      <c r="E6" s="275" t="s">
        <v>338</v>
      </c>
      <c r="F6" s="275" t="s">
        <v>345</v>
      </c>
      <c r="G6" s="275">
        <v>38</v>
      </c>
      <c r="H6" s="276" t="s">
        <v>346</v>
      </c>
      <c r="I6" s="277">
        <v>46057</v>
      </c>
      <c r="J6" s="275">
        <v>38</v>
      </c>
      <c r="K6" s="278">
        <f t="shared" si="0"/>
        <v>0</v>
      </c>
    </row>
    <row r="7" spans="1:11">
      <c r="A7" s="267" t="s">
        <v>350</v>
      </c>
      <c r="B7" s="268" t="s">
        <v>344</v>
      </c>
      <c r="C7" s="269" t="s">
        <v>334</v>
      </c>
      <c r="D7" s="269" t="s">
        <v>75</v>
      </c>
      <c r="E7" s="269" t="s">
        <v>338</v>
      </c>
      <c r="F7" s="269" t="s">
        <v>345</v>
      </c>
      <c r="G7" s="269">
        <v>648</v>
      </c>
      <c r="H7" s="270" t="s">
        <v>346</v>
      </c>
      <c r="I7" s="279">
        <v>46057</v>
      </c>
      <c r="J7" s="269">
        <v>648</v>
      </c>
      <c r="K7" s="272">
        <f t="shared" si="0"/>
        <v>0</v>
      </c>
    </row>
    <row r="8" spans="1:11">
      <c r="A8" s="273" t="s">
        <v>351</v>
      </c>
      <c r="B8" s="274" t="s">
        <v>352</v>
      </c>
      <c r="C8" s="275" t="s">
        <v>334</v>
      </c>
      <c r="D8" s="275" t="s">
        <v>353</v>
      </c>
      <c r="E8" s="275" t="s">
        <v>336</v>
      </c>
      <c r="F8" s="275" t="s">
        <v>354</v>
      </c>
      <c r="G8" s="275">
        <v>393</v>
      </c>
      <c r="H8" s="280" t="s">
        <v>346</v>
      </c>
      <c r="I8" s="281">
        <v>46092</v>
      </c>
      <c r="J8" s="275">
        <v>393</v>
      </c>
      <c r="K8" s="282">
        <f t="shared" si="0"/>
        <v>0</v>
      </c>
    </row>
    <row r="9" spans="1:11">
      <c r="A9" s="283" t="s">
        <v>355</v>
      </c>
      <c r="B9" s="274" t="s">
        <v>352</v>
      </c>
      <c r="C9" s="275" t="s">
        <v>334</v>
      </c>
      <c r="D9" s="275" t="s">
        <v>353</v>
      </c>
      <c r="E9" s="275" t="s">
        <v>336</v>
      </c>
      <c r="F9" s="275" t="s">
        <v>354</v>
      </c>
      <c r="G9" s="275">
        <v>3</v>
      </c>
      <c r="H9" s="280" t="s">
        <v>346</v>
      </c>
      <c r="I9" s="281">
        <v>46092</v>
      </c>
      <c r="J9" s="275">
        <v>3</v>
      </c>
      <c r="K9" s="282">
        <f t="shared" si="0"/>
        <v>0</v>
      </c>
    </row>
    <row r="10" spans="1:11">
      <c r="A10" s="283" t="s">
        <v>356</v>
      </c>
      <c r="B10" s="274" t="s">
        <v>352</v>
      </c>
      <c r="C10" s="275" t="s">
        <v>334</v>
      </c>
      <c r="D10" s="275" t="s">
        <v>353</v>
      </c>
      <c r="E10" s="275" t="s">
        <v>336</v>
      </c>
      <c r="F10" s="275" t="s">
        <v>354</v>
      </c>
      <c r="G10" s="275">
        <v>1</v>
      </c>
      <c r="H10" s="280" t="s">
        <v>357</v>
      </c>
      <c r="I10" s="281">
        <v>46086</v>
      </c>
      <c r="J10" s="275">
        <v>1</v>
      </c>
      <c r="K10" s="282">
        <f t="shared" si="0"/>
        <v>0</v>
      </c>
    </row>
    <row r="11" spans="1:11">
      <c r="A11" s="283" t="s">
        <v>358</v>
      </c>
      <c r="B11" s="274" t="s">
        <v>352</v>
      </c>
      <c r="C11" s="275" t="s">
        <v>334</v>
      </c>
      <c r="D11" s="275" t="s">
        <v>353</v>
      </c>
      <c r="E11" s="275" t="s">
        <v>336</v>
      </c>
      <c r="F11" s="275" t="s">
        <v>354</v>
      </c>
      <c r="G11" s="275">
        <v>25</v>
      </c>
      <c r="H11" s="280" t="s">
        <v>346</v>
      </c>
      <c r="I11" s="281">
        <v>46092</v>
      </c>
      <c r="J11" s="275">
        <v>25</v>
      </c>
      <c r="K11" s="282">
        <f t="shared" si="0"/>
        <v>0</v>
      </c>
    </row>
    <row r="12" spans="1:11">
      <c r="A12" s="283" t="s">
        <v>359</v>
      </c>
      <c r="B12" s="274" t="s">
        <v>352</v>
      </c>
      <c r="C12" s="275" t="s">
        <v>334</v>
      </c>
      <c r="D12" s="275" t="s">
        <v>353</v>
      </c>
      <c r="E12" s="275" t="s">
        <v>336</v>
      </c>
      <c r="F12" s="275" t="s">
        <v>354</v>
      </c>
      <c r="G12" s="275">
        <v>53</v>
      </c>
      <c r="H12" s="280" t="s">
        <v>360</v>
      </c>
      <c r="I12" s="281">
        <v>46089</v>
      </c>
      <c r="J12" s="275">
        <v>53</v>
      </c>
      <c r="K12" s="282">
        <f t="shared" si="0"/>
        <v>0</v>
      </c>
    </row>
    <row r="13" spans="1:11">
      <c r="A13" s="284" t="s">
        <v>361</v>
      </c>
      <c r="B13" s="268" t="s">
        <v>352</v>
      </c>
      <c r="C13" s="269" t="s">
        <v>334</v>
      </c>
      <c r="D13" s="269" t="s">
        <v>353</v>
      </c>
      <c r="E13" s="269" t="s">
        <v>336</v>
      </c>
      <c r="F13" s="269" t="s">
        <v>354</v>
      </c>
      <c r="G13" s="269">
        <v>961</v>
      </c>
      <c r="H13" s="285" t="s">
        <v>362</v>
      </c>
      <c r="I13" s="286">
        <v>46089</v>
      </c>
      <c r="J13" s="269">
        <v>961</v>
      </c>
      <c r="K13" s="287">
        <f t="shared" si="0"/>
        <v>0</v>
      </c>
    </row>
    <row r="14" spans="1:11">
      <c r="A14" s="288" t="s">
        <v>363</v>
      </c>
      <c r="B14" s="274" t="s">
        <v>364</v>
      </c>
      <c r="C14" s="275" t="s">
        <v>334</v>
      </c>
      <c r="D14" s="275" t="s">
        <v>75</v>
      </c>
      <c r="E14" s="275" t="s">
        <v>33</v>
      </c>
      <c r="F14" s="275" t="s">
        <v>365</v>
      </c>
      <c r="G14" s="275">
        <v>916</v>
      </c>
      <c r="H14" s="276" t="s">
        <v>346</v>
      </c>
      <c r="I14" s="289">
        <v>46011</v>
      </c>
      <c r="J14" s="275">
        <v>916</v>
      </c>
      <c r="K14" s="278">
        <f t="shared" si="0"/>
        <v>0</v>
      </c>
    </row>
    <row r="15" spans="1:11">
      <c r="A15" s="284" t="s">
        <v>366</v>
      </c>
      <c r="B15" s="268" t="s">
        <v>364</v>
      </c>
      <c r="C15" s="269" t="s">
        <v>334</v>
      </c>
      <c r="D15" s="269" t="s">
        <v>75</v>
      </c>
      <c r="E15" s="269" t="s">
        <v>33</v>
      </c>
      <c r="F15" s="269" t="s">
        <v>365</v>
      </c>
      <c r="G15" s="269">
        <v>182</v>
      </c>
      <c r="H15" s="270" t="s">
        <v>346</v>
      </c>
      <c r="I15" s="290">
        <v>46011</v>
      </c>
      <c r="J15" s="269">
        <v>182</v>
      </c>
      <c r="K15" s="272">
        <f t="shared" si="0"/>
        <v>0</v>
      </c>
    </row>
    <row r="16" spans="1:11">
      <c r="A16" s="283" t="s">
        <v>367</v>
      </c>
      <c r="B16" s="274" t="s">
        <v>364</v>
      </c>
      <c r="C16" s="275" t="s">
        <v>334</v>
      </c>
      <c r="D16" s="275" t="s">
        <v>75</v>
      </c>
      <c r="E16" s="275" t="s">
        <v>37</v>
      </c>
      <c r="F16" s="275" t="s">
        <v>368</v>
      </c>
      <c r="G16" s="275">
        <v>359</v>
      </c>
      <c r="H16" s="276" t="s">
        <v>346</v>
      </c>
      <c r="I16" s="281">
        <v>45981</v>
      </c>
      <c r="J16" s="275">
        <v>359</v>
      </c>
      <c r="K16" s="278">
        <f t="shared" si="0"/>
        <v>0</v>
      </c>
    </row>
    <row r="17" spans="1:11">
      <c r="A17" s="283" t="s">
        <v>369</v>
      </c>
      <c r="B17" s="274" t="s">
        <v>364</v>
      </c>
      <c r="C17" s="275" t="s">
        <v>334</v>
      </c>
      <c r="D17" s="275" t="s">
        <v>75</v>
      </c>
      <c r="E17" s="275" t="s">
        <v>37</v>
      </c>
      <c r="F17" s="275" t="s">
        <v>368</v>
      </c>
      <c r="G17" s="275">
        <v>17</v>
      </c>
      <c r="H17" s="276" t="s">
        <v>346</v>
      </c>
      <c r="I17" s="281">
        <v>45981</v>
      </c>
      <c r="J17" s="275">
        <v>17</v>
      </c>
      <c r="K17" s="278">
        <f t="shared" si="0"/>
        <v>0</v>
      </c>
    </row>
    <row r="18" spans="1:11">
      <c r="A18" s="283" t="s">
        <v>370</v>
      </c>
      <c r="B18" s="274" t="s">
        <v>364</v>
      </c>
      <c r="C18" s="275" t="s">
        <v>334</v>
      </c>
      <c r="D18" s="275" t="s">
        <v>75</v>
      </c>
      <c r="E18" s="275" t="s">
        <v>37</v>
      </c>
      <c r="F18" s="275" t="s">
        <v>365</v>
      </c>
      <c r="G18" s="275">
        <v>621</v>
      </c>
      <c r="H18" s="276" t="s">
        <v>346</v>
      </c>
      <c r="I18" s="281">
        <v>45981</v>
      </c>
      <c r="J18" s="275">
        <v>621</v>
      </c>
      <c r="K18" s="278">
        <f t="shared" si="0"/>
        <v>0</v>
      </c>
    </row>
    <row r="19" spans="1:11">
      <c r="A19" s="284" t="s">
        <v>371</v>
      </c>
      <c r="B19" s="268" t="s">
        <v>364</v>
      </c>
      <c r="C19" s="269" t="s">
        <v>334</v>
      </c>
      <c r="D19" s="269" t="s">
        <v>75</v>
      </c>
      <c r="E19" s="269" t="s">
        <v>37</v>
      </c>
      <c r="F19" s="269" t="s">
        <v>365</v>
      </c>
      <c r="G19" s="269">
        <v>229</v>
      </c>
      <c r="H19" s="270" t="s">
        <v>346</v>
      </c>
      <c r="I19" s="286">
        <v>45981</v>
      </c>
      <c r="J19" s="269">
        <v>229</v>
      </c>
      <c r="K19" s="272">
        <f t="shared" si="0"/>
        <v>0</v>
      </c>
    </row>
    <row r="20" spans="1:11">
      <c r="A20" s="283" t="s">
        <v>372</v>
      </c>
      <c r="B20" s="274" t="s">
        <v>364</v>
      </c>
      <c r="C20" s="275" t="s">
        <v>334</v>
      </c>
      <c r="D20" s="275" t="s">
        <v>75</v>
      </c>
      <c r="E20" s="275" t="s">
        <v>35</v>
      </c>
      <c r="F20" s="275" t="s">
        <v>368</v>
      </c>
      <c r="G20" s="275">
        <v>176</v>
      </c>
      <c r="H20" s="276" t="s">
        <v>346</v>
      </c>
      <c r="I20" s="291">
        <v>45982</v>
      </c>
      <c r="J20" s="275">
        <v>176</v>
      </c>
      <c r="K20" s="278">
        <f t="shared" si="0"/>
        <v>0</v>
      </c>
    </row>
    <row r="21" spans="1:11">
      <c r="A21" s="283" t="s">
        <v>373</v>
      </c>
      <c r="B21" s="274" t="s">
        <v>364</v>
      </c>
      <c r="C21" s="275" t="s">
        <v>334</v>
      </c>
      <c r="D21" s="275" t="s">
        <v>75</v>
      </c>
      <c r="E21" s="275" t="s">
        <v>35</v>
      </c>
      <c r="F21" s="275" t="s">
        <v>365</v>
      </c>
      <c r="G21" s="275">
        <v>347</v>
      </c>
      <c r="H21" s="276" t="s">
        <v>346</v>
      </c>
      <c r="I21" s="281">
        <v>45982</v>
      </c>
      <c r="J21" s="275">
        <v>347</v>
      </c>
      <c r="K21" s="278">
        <f t="shared" si="0"/>
        <v>0</v>
      </c>
    </row>
    <row r="22" spans="1:11">
      <c r="A22" s="284" t="s">
        <v>374</v>
      </c>
      <c r="B22" s="268" t="s">
        <v>364</v>
      </c>
      <c r="C22" s="269" t="s">
        <v>334</v>
      </c>
      <c r="D22" s="269" t="s">
        <v>75</v>
      </c>
      <c r="E22" s="269" t="s">
        <v>35</v>
      </c>
      <c r="F22" s="269" t="s">
        <v>365</v>
      </c>
      <c r="G22" s="269">
        <v>166</v>
      </c>
      <c r="H22" s="270" t="s">
        <v>346</v>
      </c>
      <c r="I22" s="292">
        <v>45982</v>
      </c>
      <c r="J22" s="269">
        <v>166</v>
      </c>
      <c r="K22" s="272">
        <f t="shared" si="0"/>
        <v>0</v>
      </c>
    </row>
    <row r="23" spans="1:11">
      <c r="A23" s="283" t="s">
        <v>375</v>
      </c>
      <c r="B23" s="274" t="s">
        <v>364</v>
      </c>
      <c r="C23" s="275" t="s">
        <v>334</v>
      </c>
      <c r="D23" s="275" t="s">
        <v>75</v>
      </c>
      <c r="E23" s="275" t="s">
        <v>31</v>
      </c>
      <c r="F23" s="275" t="s">
        <v>368</v>
      </c>
      <c r="G23" s="275">
        <v>501</v>
      </c>
      <c r="H23" s="276" t="s">
        <v>346</v>
      </c>
      <c r="I23" s="281">
        <v>45994</v>
      </c>
      <c r="J23" s="275">
        <v>501</v>
      </c>
      <c r="K23" s="278">
        <f t="shared" si="0"/>
        <v>0</v>
      </c>
    </row>
    <row r="24" spans="1:11">
      <c r="A24" s="283" t="s">
        <v>376</v>
      </c>
      <c r="B24" s="274" t="s">
        <v>364</v>
      </c>
      <c r="C24" s="275" t="s">
        <v>334</v>
      </c>
      <c r="D24" s="275" t="s">
        <v>75</v>
      </c>
      <c r="E24" s="275" t="s">
        <v>31</v>
      </c>
      <c r="F24" s="275" t="s">
        <v>365</v>
      </c>
      <c r="G24" s="275">
        <v>601</v>
      </c>
      <c r="H24" s="276" t="s">
        <v>346</v>
      </c>
      <c r="I24" s="281">
        <v>45994</v>
      </c>
      <c r="J24" s="275">
        <v>601</v>
      </c>
      <c r="K24" s="278">
        <f t="shared" si="0"/>
        <v>0</v>
      </c>
    </row>
    <row r="25" spans="1:11">
      <c r="A25" s="284" t="s">
        <v>377</v>
      </c>
      <c r="B25" s="268" t="s">
        <v>364</v>
      </c>
      <c r="C25" s="269" t="s">
        <v>334</v>
      </c>
      <c r="D25" s="269" t="s">
        <v>75</v>
      </c>
      <c r="E25" s="269" t="s">
        <v>31</v>
      </c>
      <c r="F25" s="269" t="s">
        <v>365</v>
      </c>
      <c r="G25" s="269">
        <v>289</v>
      </c>
      <c r="H25" s="270" t="s">
        <v>346</v>
      </c>
      <c r="I25" s="292">
        <v>45994</v>
      </c>
      <c r="J25" s="269">
        <v>289</v>
      </c>
      <c r="K25" s="272">
        <f t="shared" si="0"/>
        <v>0</v>
      </c>
    </row>
    <row r="26" spans="1:11">
      <c r="A26" s="283" t="s">
        <v>378</v>
      </c>
      <c r="B26" s="274" t="s">
        <v>364</v>
      </c>
      <c r="C26" s="275" t="s">
        <v>334</v>
      </c>
      <c r="D26" s="275" t="s">
        <v>75</v>
      </c>
      <c r="E26" s="275" t="s">
        <v>25</v>
      </c>
      <c r="F26" s="275" t="s">
        <v>379</v>
      </c>
      <c r="G26" s="275">
        <v>4647</v>
      </c>
      <c r="H26" s="276" t="s">
        <v>346</v>
      </c>
      <c r="I26" s="281">
        <v>46036</v>
      </c>
      <c r="J26" s="275">
        <v>4647</v>
      </c>
      <c r="K26" s="278">
        <f t="shared" si="0"/>
        <v>0</v>
      </c>
    </row>
    <row r="27" spans="1:11">
      <c r="A27" s="283" t="s">
        <v>380</v>
      </c>
      <c r="B27" s="274" t="s">
        <v>364</v>
      </c>
      <c r="C27" s="275" t="s">
        <v>334</v>
      </c>
      <c r="D27" s="275" t="s">
        <v>75</v>
      </c>
      <c r="E27" s="275" t="s">
        <v>25</v>
      </c>
      <c r="F27" s="275" t="s">
        <v>379</v>
      </c>
      <c r="G27" s="275">
        <v>429</v>
      </c>
      <c r="H27" s="276" t="s">
        <v>346</v>
      </c>
      <c r="I27" s="281">
        <v>46036</v>
      </c>
      <c r="J27" s="275">
        <v>429</v>
      </c>
      <c r="K27" s="278">
        <f t="shared" si="0"/>
        <v>0</v>
      </c>
    </row>
    <row r="28" spans="1:11">
      <c r="A28" s="283" t="s">
        <v>381</v>
      </c>
      <c r="B28" s="274" t="s">
        <v>364</v>
      </c>
      <c r="C28" s="275" t="s">
        <v>334</v>
      </c>
      <c r="D28" s="275" t="s">
        <v>75</v>
      </c>
      <c r="E28" s="275" t="s">
        <v>25</v>
      </c>
      <c r="F28" s="275" t="s">
        <v>382</v>
      </c>
      <c r="G28" s="275">
        <v>2248</v>
      </c>
      <c r="H28" s="276" t="s">
        <v>346</v>
      </c>
      <c r="I28" s="281">
        <v>46036</v>
      </c>
      <c r="J28" s="275">
        <v>2248</v>
      </c>
      <c r="K28" s="278">
        <f t="shared" si="0"/>
        <v>0</v>
      </c>
    </row>
    <row r="29" spans="1:11">
      <c r="A29" s="284" t="s">
        <v>383</v>
      </c>
      <c r="B29" s="268" t="s">
        <v>364</v>
      </c>
      <c r="C29" s="269" t="s">
        <v>334</v>
      </c>
      <c r="D29" s="269" t="s">
        <v>75</v>
      </c>
      <c r="E29" s="269" t="s">
        <v>25</v>
      </c>
      <c r="F29" s="269" t="s">
        <v>382</v>
      </c>
      <c r="G29" s="269">
        <v>3216</v>
      </c>
      <c r="H29" s="270" t="s">
        <v>346</v>
      </c>
      <c r="I29" s="292">
        <v>46036</v>
      </c>
      <c r="J29" s="269">
        <v>3216</v>
      </c>
      <c r="K29" s="272">
        <f t="shared" si="0"/>
        <v>0</v>
      </c>
    </row>
    <row r="30" spans="1:11">
      <c r="A30" s="283" t="s">
        <v>384</v>
      </c>
      <c r="B30" s="274" t="s">
        <v>364</v>
      </c>
      <c r="C30" s="275" t="s">
        <v>334</v>
      </c>
      <c r="D30" s="275" t="s">
        <v>75</v>
      </c>
      <c r="E30" s="275" t="s">
        <v>23</v>
      </c>
      <c r="F30" s="275" t="s">
        <v>379</v>
      </c>
      <c r="G30" s="275">
        <v>4926</v>
      </c>
      <c r="H30" s="276" t="s">
        <v>346</v>
      </c>
      <c r="I30" s="281">
        <v>46051</v>
      </c>
      <c r="J30" s="275">
        <v>4926</v>
      </c>
      <c r="K30" s="278">
        <f t="shared" si="0"/>
        <v>0</v>
      </c>
    </row>
    <row r="31" spans="1:11">
      <c r="A31" s="283" t="s">
        <v>385</v>
      </c>
      <c r="B31" s="274" t="s">
        <v>364</v>
      </c>
      <c r="C31" s="275" t="s">
        <v>334</v>
      </c>
      <c r="D31" s="275" t="s">
        <v>75</v>
      </c>
      <c r="E31" s="275" t="s">
        <v>23</v>
      </c>
      <c r="F31" s="275" t="s">
        <v>379</v>
      </c>
      <c r="G31" s="275">
        <v>2824</v>
      </c>
      <c r="H31" s="276" t="s">
        <v>346</v>
      </c>
      <c r="I31" s="281">
        <v>46051</v>
      </c>
      <c r="J31" s="275">
        <v>2824</v>
      </c>
      <c r="K31" s="278">
        <f t="shared" si="0"/>
        <v>0</v>
      </c>
    </row>
    <row r="32" spans="1:11">
      <c r="A32" s="283" t="s">
        <v>386</v>
      </c>
      <c r="B32" s="274" t="s">
        <v>364</v>
      </c>
      <c r="C32" s="275" t="s">
        <v>334</v>
      </c>
      <c r="D32" s="275" t="s">
        <v>75</v>
      </c>
      <c r="E32" s="275" t="s">
        <v>23</v>
      </c>
      <c r="F32" s="275" t="s">
        <v>382</v>
      </c>
      <c r="G32" s="275">
        <v>2717</v>
      </c>
      <c r="H32" s="276" t="s">
        <v>346</v>
      </c>
      <c r="I32" s="281">
        <v>46051</v>
      </c>
      <c r="J32" s="275">
        <v>2717</v>
      </c>
      <c r="K32" s="278">
        <f t="shared" si="0"/>
        <v>0</v>
      </c>
    </row>
    <row r="33" spans="1:11">
      <c r="A33" s="284" t="s">
        <v>387</v>
      </c>
      <c r="B33" s="268" t="s">
        <v>364</v>
      </c>
      <c r="C33" s="269" t="s">
        <v>334</v>
      </c>
      <c r="D33" s="269" t="s">
        <v>75</v>
      </c>
      <c r="E33" s="269" t="s">
        <v>23</v>
      </c>
      <c r="F33" s="269" t="s">
        <v>382</v>
      </c>
      <c r="G33" s="269">
        <v>3133</v>
      </c>
      <c r="H33" s="270" t="s">
        <v>346</v>
      </c>
      <c r="I33" s="292">
        <v>46051</v>
      </c>
      <c r="J33" s="269">
        <v>3133</v>
      </c>
      <c r="K33" s="272">
        <f t="shared" si="0"/>
        <v>0</v>
      </c>
    </row>
    <row r="34" spans="1:11">
      <c r="A34" s="283" t="s">
        <v>388</v>
      </c>
      <c r="B34" s="274" t="s">
        <v>364</v>
      </c>
      <c r="C34" s="275" t="s">
        <v>334</v>
      </c>
      <c r="D34" s="275" t="s">
        <v>75</v>
      </c>
      <c r="E34" s="275" t="s">
        <v>27</v>
      </c>
      <c r="F34" s="275" t="s">
        <v>389</v>
      </c>
      <c r="G34" s="275">
        <v>1784</v>
      </c>
      <c r="H34" s="276" t="s">
        <v>346</v>
      </c>
      <c r="I34" s="293">
        <v>46036</v>
      </c>
      <c r="J34" s="275">
        <v>1784</v>
      </c>
      <c r="K34" s="278">
        <f t="shared" si="0"/>
        <v>0</v>
      </c>
    </row>
    <row r="35" spans="1:11">
      <c r="A35" s="284" t="s">
        <v>390</v>
      </c>
      <c r="B35" s="268" t="s">
        <v>364</v>
      </c>
      <c r="C35" s="269" t="s">
        <v>334</v>
      </c>
      <c r="D35" s="269" t="s">
        <v>75</v>
      </c>
      <c r="E35" s="269" t="s">
        <v>27</v>
      </c>
      <c r="F35" s="269" t="s">
        <v>389</v>
      </c>
      <c r="G35" s="269">
        <v>1156</v>
      </c>
      <c r="H35" s="270" t="s">
        <v>346</v>
      </c>
      <c r="I35" s="294">
        <v>46036</v>
      </c>
      <c r="J35" s="269">
        <v>1156</v>
      </c>
      <c r="K35" s="272">
        <f t="shared" si="0"/>
        <v>0</v>
      </c>
    </row>
    <row r="36" spans="1:11">
      <c r="A36" s="283" t="s">
        <v>391</v>
      </c>
      <c r="B36" s="274" t="s">
        <v>364</v>
      </c>
      <c r="C36" s="275" t="s">
        <v>334</v>
      </c>
      <c r="D36" s="275" t="s">
        <v>75</v>
      </c>
      <c r="E36" s="275" t="s">
        <v>18</v>
      </c>
      <c r="F36" s="275" t="s">
        <v>379</v>
      </c>
      <c r="G36" s="275">
        <v>1407</v>
      </c>
      <c r="H36" s="276" t="s">
        <v>346</v>
      </c>
      <c r="I36" s="281">
        <v>46051</v>
      </c>
      <c r="J36" s="275">
        <v>1407</v>
      </c>
      <c r="K36" s="278">
        <f t="shared" si="0"/>
        <v>0</v>
      </c>
    </row>
    <row r="37" spans="1:11">
      <c r="A37" s="283" t="s">
        <v>392</v>
      </c>
      <c r="B37" s="274" t="s">
        <v>364</v>
      </c>
      <c r="C37" s="275" t="s">
        <v>334</v>
      </c>
      <c r="D37" s="275" t="s">
        <v>75</v>
      </c>
      <c r="E37" s="275" t="s">
        <v>18</v>
      </c>
      <c r="F37" s="275" t="s">
        <v>379</v>
      </c>
      <c r="G37" s="275">
        <v>421</v>
      </c>
      <c r="H37" s="276" t="s">
        <v>346</v>
      </c>
      <c r="I37" s="281">
        <v>46051</v>
      </c>
      <c r="J37" s="275">
        <v>421</v>
      </c>
      <c r="K37" s="278">
        <f t="shared" si="0"/>
        <v>0</v>
      </c>
    </row>
    <row r="38" spans="1:11">
      <c r="A38" s="295" t="s">
        <v>393</v>
      </c>
      <c r="B38" s="274" t="s">
        <v>364</v>
      </c>
      <c r="C38" s="275" t="s">
        <v>334</v>
      </c>
      <c r="D38" s="275" t="s">
        <v>75</v>
      </c>
      <c r="E38" s="275" t="s">
        <v>18</v>
      </c>
      <c r="F38" s="275" t="s">
        <v>382</v>
      </c>
      <c r="G38" s="275">
        <v>1891</v>
      </c>
      <c r="H38" s="276" t="s">
        <v>346</v>
      </c>
      <c r="I38" s="281">
        <v>46051</v>
      </c>
      <c r="J38" s="275">
        <v>1891</v>
      </c>
      <c r="K38" s="278">
        <f t="shared" si="0"/>
        <v>0</v>
      </c>
    </row>
    <row r="39" spans="1:11" ht="15" thickBot="1">
      <c r="A39" s="296" t="s">
        <v>394</v>
      </c>
      <c r="B39" s="297" t="s">
        <v>364</v>
      </c>
      <c r="C39" s="298" t="s">
        <v>334</v>
      </c>
      <c r="D39" s="298" t="s">
        <v>75</v>
      </c>
      <c r="E39" s="298" t="s">
        <v>18</v>
      </c>
      <c r="F39" s="298" t="s">
        <v>382</v>
      </c>
      <c r="G39" s="298">
        <v>1121</v>
      </c>
      <c r="H39" s="299" t="s">
        <v>346</v>
      </c>
      <c r="I39" s="300">
        <v>46051</v>
      </c>
      <c r="J39" s="298">
        <v>1121</v>
      </c>
      <c r="K39" s="301">
        <f t="shared" si="0"/>
        <v>0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2990-7B9F-4B6B-9963-CEBAED7BDFCA}">
  <sheetPr>
    <pageSetUpPr fitToPage="1"/>
  </sheetPr>
  <dimension ref="A1:BI119"/>
  <sheetViews>
    <sheetView tabSelected="1" zoomScaleNormal="100" workbookViewId="0">
      <pane xSplit="6" ySplit="13" topLeftCell="G14" activePane="bottomRight" state="frozen"/>
      <selection pane="topRight" activeCell="J16" sqref="J16"/>
      <selection pane="bottomLeft" activeCell="J16" sqref="J16"/>
      <selection pane="bottomRight" activeCell="Q6" sqref="Q6"/>
    </sheetView>
  </sheetViews>
  <sheetFormatPr defaultRowHeight="14.4"/>
  <cols>
    <col min="1" max="1" width="7.6640625" customWidth="1"/>
    <col min="2" max="2" width="7.109375" customWidth="1"/>
    <col min="3" max="3" width="2.6640625" customWidth="1"/>
    <col min="4" max="4" width="15.6640625" customWidth="1"/>
    <col min="5" max="5" width="36.6640625" customWidth="1"/>
    <col min="6" max="6" width="13" customWidth="1"/>
    <col min="7" max="7" width="5.21875" customWidth="1"/>
    <col min="8" max="8" width="6.6640625" bestFit="1" customWidth="1"/>
    <col min="9" max="9" width="5.109375" bestFit="1" customWidth="1"/>
    <col min="10" max="10" width="6.6640625" customWidth="1"/>
    <col min="11" max="12" width="6.6640625" bestFit="1" customWidth="1"/>
    <col min="13" max="13" width="4.88671875" customWidth="1"/>
    <col min="14" max="14" width="6.44140625" customWidth="1"/>
    <col min="15" max="15" width="5.109375" bestFit="1" customWidth="1"/>
    <col min="16" max="16" width="6.6640625" bestFit="1" customWidth="1"/>
    <col min="17" max="17" width="5.109375" bestFit="1" customWidth="1"/>
    <col min="18" max="18" width="8.21875" customWidth="1"/>
    <col min="19" max="19" width="5.109375" bestFit="1" customWidth="1"/>
    <col min="20" max="20" width="6.6640625" bestFit="1" customWidth="1"/>
    <col min="21" max="21" width="5.109375" bestFit="1" customWidth="1"/>
    <col min="22" max="22" width="12.6640625" bestFit="1" customWidth="1"/>
    <col min="23" max="23" width="5.109375" bestFit="1" customWidth="1"/>
    <col min="24" max="24" width="6.6640625" customWidth="1"/>
    <col min="25" max="25" width="4.88671875" bestFit="1" customWidth="1"/>
    <col min="26" max="26" width="6.6640625" bestFit="1" customWidth="1"/>
    <col min="27" max="27" width="4.88671875" bestFit="1" customWidth="1"/>
    <col min="28" max="28" width="6.6640625" bestFit="1" customWidth="1"/>
    <col min="29" max="29" width="4.88671875" bestFit="1" customWidth="1"/>
    <col min="30" max="30" width="6.6640625" bestFit="1" customWidth="1"/>
    <col min="31" max="31" width="4.88671875" bestFit="1" customWidth="1"/>
    <col min="32" max="32" width="6.6640625" bestFit="1" customWidth="1"/>
    <col min="33" max="33" width="5.88671875" bestFit="1" customWidth="1"/>
    <col min="34" max="34" width="7.44140625" bestFit="1" customWidth="1"/>
    <col min="35" max="35" width="5.109375" bestFit="1" customWidth="1"/>
    <col min="36" max="36" width="6.6640625" bestFit="1" customWidth="1"/>
    <col min="37" max="37" width="5.109375" bestFit="1" customWidth="1"/>
    <col min="38" max="38" width="6.6640625" bestFit="1" customWidth="1"/>
    <col min="39" max="40" width="7.6640625" bestFit="1" customWidth="1"/>
    <col min="41" max="41" width="4.6640625" customWidth="1"/>
    <col min="42" max="42" width="6" bestFit="1" customWidth="1"/>
    <col min="43" max="43" width="5.44140625" bestFit="1" customWidth="1"/>
    <col min="44" max="44" width="6.109375" bestFit="1" customWidth="1"/>
    <col min="45" max="45" width="5.44140625" bestFit="1" customWidth="1"/>
    <col min="46" max="46" width="8" bestFit="1" customWidth="1"/>
    <col min="47" max="47" width="5.44140625" bestFit="1" customWidth="1"/>
    <col min="48" max="48" width="7" bestFit="1" customWidth="1"/>
    <col min="49" max="49" width="5.44140625" bestFit="1" customWidth="1"/>
    <col min="50" max="50" width="8.21875" bestFit="1" customWidth="1"/>
    <col min="51" max="51" width="8.21875" customWidth="1"/>
    <col min="52" max="52" width="8.88671875" bestFit="1" customWidth="1"/>
    <col min="53" max="53" width="6.6640625" customWidth="1"/>
    <col min="54" max="54" width="11.44140625" customWidth="1"/>
    <col min="55" max="55" width="6.21875" customWidth="1"/>
    <col min="56" max="56" width="7.21875" customWidth="1"/>
    <col min="57" max="57" width="6.6640625" style="3" customWidth="1"/>
    <col min="58" max="58" width="16.21875" style="3" bestFit="1" customWidth="1"/>
    <col min="60" max="60" width="17.21875" bestFit="1" customWidth="1"/>
  </cols>
  <sheetData>
    <row r="1" spans="1:60"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BB1" s="216">
        <v>46113</v>
      </c>
      <c r="BH1" s="216"/>
    </row>
    <row r="2" spans="1:60" ht="13.95" customHeight="1">
      <c r="A2" s="4"/>
      <c r="B2" s="5"/>
      <c r="C2" s="6"/>
      <c r="D2" s="5"/>
      <c r="E2" s="5"/>
      <c r="F2" s="7"/>
      <c r="G2" s="8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BB2" s="9" t="s">
        <v>76</v>
      </c>
      <c r="BE2" s="9"/>
      <c r="BG2" s="10"/>
    </row>
    <row r="3" spans="1:60" ht="13.95" customHeight="1">
      <c r="A3" s="4"/>
      <c r="B3" s="5"/>
      <c r="C3" s="6"/>
      <c r="D3" s="5"/>
      <c r="E3" s="5"/>
      <c r="F3" s="7"/>
      <c r="G3" s="8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BE3" s="9"/>
    </row>
    <row r="4" spans="1:60" ht="13.95" customHeight="1">
      <c r="A4" s="4"/>
      <c r="B4" s="5"/>
      <c r="C4" s="6"/>
      <c r="D4" s="5"/>
      <c r="E4" s="5"/>
      <c r="F4" s="7"/>
      <c r="G4" s="8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BE4" s="9"/>
    </row>
    <row r="5" spans="1:60" ht="13.95" customHeight="1">
      <c r="A5" s="4"/>
      <c r="B5" s="5"/>
      <c r="C5" s="6"/>
      <c r="D5" s="5"/>
      <c r="E5" s="5"/>
      <c r="F5" s="7"/>
      <c r="G5" s="8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BE5" s="9"/>
    </row>
    <row r="6" spans="1:60" ht="19.2">
      <c r="A6" s="11" t="s">
        <v>340</v>
      </c>
      <c r="B6" s="11"/>
      <c r="C6" s="11"/>
      <c r="D6" s="11"/>
      <c r="E6" s="11"/>
      <c r="F6" s="11"/>
      <c r="G6" s="8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BE6" s="9"/>
    </row>
    <row r="7" spans="1:60" ht="13.95" customHeight="1">
      <c r="A7" s="11"/>
      <c r="B7" s="11"/>
      <c r="C7" s="11"/>
      <c r="D7" s="11"/>
      <c r="E7" s="11"/>
      <c r="F7" s="11"/>
      <c r="G7" s="8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</row>
    <row r="8" spans="1:60" ht="13.95" customHeight="1">
      <c r="A8" s="12"/>
      <c r="B8" s="13"/>
      <c r="C8" s="14"/>
      <c r="D8" s="15"/>
      <c r="E8" s="15"/>
      <c r="F8" s="7"/>
      <c r="G8" s="8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Y8" s="302"/>
      <c r="Z8" s="302"/>
      <c r="AA8" s="302"/>
      <c r="AB8" s="302"/>
      <c r="AC8" s="302"/>
      <c r="AD8" s="302"/>
      <c r="AE8" s="302"/>
      <c r="AF8" s="302"/>
    </row>
    <row r="9" spans="1:60" ht="15" thickBo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16"/>
      <c r="V9" s="16"/>
      <c r="W9" s="16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206"/>
      <c r="AJ9" s="206"/>
      <c r="AK9" s="206"/>
      <c r="AL9" s="206"/>
      <c r="BB9" t="s">
        <v>78</v>
      </c>
    </row>
    <row r="10" spans="1:60">
      <c r="A10" s="18"/>
      <c r="B10" s="19"/>
      <c r="C10" s="20"/>
      <c r="D10" s="19"/>
      <c r="E10" s="19"/>
      <c r="F10" s="21"/>
      <c r="G10" s="314" t="s">
        <v>310</v>
      </c>
      <c r="H10" s="315"/>
      <c r="I10" s="315"/>
      <c r="J10" s="316"/>
      <c r="K10" s="317" t="s">
        <v>311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9"/>
      <c r="AI10" s="320" t="s">
        <v>312</v>
      </c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2"/>
      <c r="AU10" s="323" t="s">
        <v>313</v>
      </c>
      <c r="AV10" s="324"/>
      <c r="AW10" s="324"/>
      <c r="AX10" s="325"/>
      <c r="AY10" s="303" t="s">
        <v>79</v>
      </c>
      <c r="AZ10" s="304"/>
      <c r="BE10"/>
      <c r="BF10"/>
    </row>
    <row r="11" spans="1:60">
      <c r="A11" s="22"/>
      <c r="B11" s="5"/>
      <c r="C11" s="6"/>
      <c r="D11" s="5"/>
      <c r="E11" s="5"/>
      <c r="F11" s="23"/>
      <c r="G11" s="307" t="s">
        <v>314</v>
      </c>
      <c r="H11" s="308"/>
      <c r="I11" s="309" t="s">
        <v>315</v>
      </c>
      <c r="J11" s="310"/>
      <c r="K11" s="311" t="s">
        <v>316</v>
      </c>
      <c r="L11" s="312"/>
      <c r="M11" s="312" t="s">
        <v>317</v>
      </c>
      <c r="N11" s="312"/>
      <c r="O11" s="312" t="s">
        <v>318</v>
      </c>
      <c r="P11" s="312"/>
      <c r="Q11" s="312" t="s">
        <v>319</v>
      </c>
      <c r="R11" s="312"/>
      <c r="S11" s="312" t="s">
        <v>320</v>
      </c>
      <c r="T11" s="312"/>
      <c r="U11" s="312" t="s">
        <v>321</v>
      </c>
      <c r="V11" s="312"/>
      <c r="W11" s="312" t="s">
        <v>322</v>
      </c>
      <c r="X11" s="312"/>
      <c r="Y11" s="313" t="s">
        <v>342</v>
      </c>
      <c r="Z11" s="313"/>
      <c r="AA11" s="312" t="s">
        <v>323</v>
      </c>
      <c r="AB11" s="312"/>
      <c r="AC11" s="313" t="s">
        <v>80</v>
      </c>
      <c r="AD11" s="313"/>
      <c r="AE11" s="313" t="s">
        <v>335</v>
      </c>
      <c r="AF11" s="313"/>
      <c r="AG11" s="326" t="s">
        <v>324</v>
      </c>
      <c r="AH11" s="328"/>
      <c r="AI11" s="311" t="s">
        <v>325</v>
      </c>
      <c r="AJ11" s="312"/>
      <c r="AK11" s="312" t="s">
        <v>326</v>
      </c>
      <c r="AL11" s="312"/>
      <c r="AM11" s="312" t="s">
        <v>327</v>
      </c>
      <c r="AN11" s="312"/>
      <c r="AO11" s="312" t="s">
        <v>328</v>
      </c>
      <c r="AP11" s="312"/>
      <c r="AQ11" s="312" t="s">
        <v>329</v>
      </c>
      <c r="AR11" s="312"/>
      <c r="AS11" s="326" t="s">
        <v>324</v>
      </c>
      <c r="AT11" s="327"/>
      <c r="AU11" s="311" t="s">
        <v>330</v>
      </c>
      <c r="AV11" s="312"/>
      <c r="AW11" s="326" t="s">
        <v>324</v>
      </c>
      <c r="AX11" s="328"/>
      <c r="AY11" s="305"/>
      <c r="AZ11" s="306"/>
      <c r="BE11"/>
      <c r="BF11"/>
    </row>
    <row r="12" spans="1:60">
      <c r="A12" s="22"/>
      <c r="B12" s="5"/>
      <c r="C12" s="6"/>
      <c r="D12" s="5"/>
      <c r="E12" s="5"/>
      <c r="F12" s="23"/>
      <c r="G12" s="24" t="s">
        <v>47</v>
      </c>
      <c r="H12" s="25" t="s">
        <v>48</v>
      </c>
      <c r="I12" s="26" t="s">
        <v>47</v>
      </c>
      <c r="J12" s="27" t="s">
        <v>48</v>
      </c>
      <c r="K12" s="28" t="s">
        <v>47</v>
      </c>
      <c r="L12" s="29" t="s">
        <v>48</v>
      </c>
      <c r="M12" s="29" t="s">
        <v>47</v>
      </c>
      <c r="N12" s="29" t="s">
        <v>48</v>
      </c>
      <c r="O12" s="29" t="s">
        <v>47</v>
      </c>
      <c r="P12" s="29" t="s">
        <v>48</v>
      </c>
      <c r="Q12" s="29" t="s">
        <v>47</v>
      </c>
      <c r="R12" s="29" t="s">
        <v>48</v>
      </c>
      <c r="S12" s="29" t="s">
        <v>47</v>
      </c>
      <c r="T12" s="29" t="s">
        <v>48</v>
      </c>
      <c r="U12" s="29" t="s">
        <v>47</v>
      </c>
      <c r="V12" s="29" t="s">
        <v>48</v>
      </c>
      <c r="W12" s="29" t="s">
        <v>47</v>
      </c>
      <c r="X12" s="29" t="s">
        <v>48</v>
      </c>
      <c r="Y12" s="29" t="s">
        <v>47</v>
      </c>
      <c r="Z12" s="29" t="s">
        <v>48</v>
      </c>
      <c r="AA12" s="29" t="s">
        <v>47</v>
      </c>
      <c r="AB12" s="29" t="s">
        <v>48</v>
      </c>
      <c r="AC12" s="29" t="s">
        <v>47</v>
      </c>
      <c r="AD12" s="29" t="s">
        <v>48</v>
      </c>
      <c r="AE12" s="29" t="s">
        <v>47</v>
      </c>
      <c r="AF12" s="29" t="s">
        <v>48</v>
      </c>
      <c r="AG12" s="30" t="s">
        <v>47</v>
      </c>
      <c r="AH12" s="31" t="s">
        <v>48</v>
      </c>
      <c r="AI12" s="28" t="s">
        <v>47</v>
      </c>
      <c r="AJ12" s="29" t="s">
        <v>48</v>
      </c>
      <c r="AK12" s="29" t="s">
        <v>47</v>
      </c>
      <c r="AL12" s="29" t="s">
        <v>48</v>
      </c>
      <c r="AM12" s="29" t="s">
        <v>47</v>
      </c>
      <c r="AN12" s="29" t="s">
        <v>48</v>
      </c>
      <c r="AO12" s="29" t="s">
        <v>47</v>
      </c>
      <c r="AP12" s="29" t="s">
        <v>48</v>
      </c>
      <c r="AQ12" s="29" t="s">
        <v>47</v>
      </c>
      <c r="AR12" s="29" t="s">
        <v>48</v>
      </c>
      <c r="AS12" s="30" t="s">
        <v>47</v>
      </c>
      <c r="AT12" s="32" t="s">
        <v>48</v>
      </c>
      <c r="AU12" s="28" t="s">
        <v>47</v>
      </c>
      <c r="AV12" s="29" t="s">
        <v>48</v>
      </c>
      <c r="AW12" s="30" t="s">
        <v>47</v>
      </c>
      <c r="AX12" s="31" t="s">
        <v>48</v>
      </c>
      <c r="AY12" s="33" t="s">
        <v>47</v>
      </c>
      <c r="AZ12" s="34" t="s">
        <v>48</v>
      </c>
      <c r="BA12" s="2" t="s">
        <v>81</v>
      </c>
      <c r="BB12" s="2" t="s">
        <v>82</v>
      </c>
      <c r="BE12"/>
      <c r="BF12"/>
    </row>
    <row r="13" spans="1:60" ht="15" thickBot="1">
      <c r="A13" s="35" t="s">
        <v>83</v>
      </c>
      <c r="B13" s="36" t="s">
        <v>84</v>
      </c>
      <c r="C13" s="37"/>
      <c r="D13" s="36" t="s">
        <v>64</v>
      </c>
      <c r="E13" s="36" t="s">
        <v>65</v>
      </c>
      <c r="F13" s="38" t="s">
        <v>85</v>
      </c>
      <c r="G13" s="39">
        <v>1</v>
      </c>
      <c r="H13" s="40">
        <f>O3</f>
        <v>0</v>
      </c>
      <c r="I13" s="41">
        <f>G13</f>
        <v>1</v>
      </c>
      <c r="J13" s="42">
        <f>H13</f>
        <v>0</v>
      </c>
      <c r="K13" s="43">
        <v>1</v>
      </c>
      <c r="L13" s="44">
        <f>O5</f>
        <v>0</v>
      </c>
      <c r="M13" s="44">
        <v>1</v>
      </c>
      <c r="N13" s="44">
        <f>O5</f>
        <v>0</v>
      </c>
      <c r="O13" s="44">
        <v>1</v>
      </c>
      <c r="P13" s="44">
        <f>O5</f>
        <v>0</v>
      </c>
      <c r="Q13" s="44">
        <v>1</v>
      </c>
      <c r="R13" s="44">
        <f>O5</f>
        <v>0</v>
      </c>
      <c r="S13" s="44">
        <v>1</v>
      </c>
      <c r="T13" s="44">
        <f>O5</f>
        <v>0</v>
      </c>
      <c r="U13" s="44">
        <v>1</v>
      </c>
      <c r="V13" s="44">
        <f>O5</f>
        <v>0</v>
      </c>
      <c r="W13" s="44">
        <v>1</v>
      </c>
      <c r="X13" s="44">
        <f>O5</f>
        <v>0</v>
      </c>
      <c r="Y13" s="44">
        <v>1</v>
      </c>
      <c r="Z13" s="44">
        <f>O5</f>
        <v>0</v>
      </c>
      <c r="AA13" s="44">
        <v>1</v>
      </c>
      <c r="AB13" s="44">
        <f>O5</f>
        <v>0</v>
      </c>
      <c r="AC13" s="44">
        <v>1</v>
      </c>
      <c r="AD13" s="44">
        <f>O5</f>
        <v>0</v>
      </c>
      <c r="AE13" s="44">
        <v>1</v>
      </c>
      <c r="AF13" s="44">
        <f>O5</f>
        <v>0</v>
      </c>
      <c r="AG13" s="45">
        <f>K13+M13+O13+Q13+S13+U13+W13+AA13+Y13+AC13+AE13</f>
        <v>11</v>
      </c>
      <c r="AH13" s="207">
        <f>L13+N13+P13+R13+T13+V13+X13+AB13+Z13+AD13+AF13</f>
        <v>0</v>
      </c>
      <c r="AI13" s="43">
        <v>1</v>
      </c>
      <c r="AJ13" s="44">
        <f>O6</f>
        <v>0</v>
      </c>
      <c r="AK13" s="44">
        <v>1</v>
      </c>
      <c r="AL13" s="44">
        <f>O6</f>
        <v>0</v>
      </c>
      <c r="AM13" s="44">
        <v>1</v>
      </c>
      <c r="AN13" s="44">
        <f>O6</f>
        <v>0</v>
      </c>
      <c r="AO13" s="44">
        <v>1</v>
      </c>
      <c r="AP13" s="44">
        <f>O6</f>
        <v>0</v>
      </c>
      <c r="AQ13" s="44">
        <v>1</v>
      </c>
      <c r="AR13" s="44">
        <f>O6</f>
        <v>0</v>
      </c>
      <c r="AS13" s="45">
        <f>AI13+AK13+AO13+AQ13+AM13</f>
        <v>5</v>
      </c>
      <c r="AT13" s="46">
        <f t="shared" ref="AS13:AT44" si="0">AJ13+AL13+AP13+AR13+AN13</f>
        <v>0</v>
      </c>
      <c r="AU13" s="43">
        <v>1</v>
      </c>
      <c r="AV13" s="44">
        <f>O7</f>
        <v>0</v>
      </c>
      <c r="AW13" s="45">
        <f>AU13</f>
        <v>1</v>
      </c>
      <c r="AX13" s="47">
        <f>AV13</f>
        <v>0</v>
      </c>
      <c r="AY13" s="48">
        <f t="shared" ref="AY13:AY44" si="1">I13+AG13+AS13+AW13</f>
        <v>18</v>
      </c>
      <c r="AZ13" s="49">
        <f t="shared" ref="AZ13:AZ44" si="2">J13+AH13+AT13+AX13</f>
        <v>0</v>
      </c>
      <c r="BA13" s="2"/>
      <c r="BB13" s="2"/>
      <c r="BE13"/>
      <c r="BF13"/>
    </row>
    <row r="14" spans="1:60" ht="15" customHeight="1">
      <c r="A14" s="50" t="s">
        <v>86</v>
      </c>
      <c r="B14" s="51" t="s">
        <v>87</v>
      </c>
      <c r="C14" s="52">
        <v>1</v>
      </c>
      <c r="D14" s="51" t="s">
        <v>88</v>
      </c>
      <c r="E14" s="53" t="s">
        <v>89</v>
      </c>
      <c r="F14" s="54" t="s">
        <v>90</v>
      </c>
      <c r="G14" s="203"/>
      <c r="H14" s="55">
        <f>$H$13/$G$13*G14</f>
        <v>0</v>
      </c>
      <c r="I14" s="56">
        <f>G14</f>
        <v>0</v>
      </c>
      <c r="J14" s="57">
        <f>H14</f>
        <v>0</v>
      </c>
      <c r="K14" s="58">
        <v>0.01</v>
      </c>
      <c r="L14" s="59">
        <f>L$13/K$13*K14</f>
        <v>0</v>
      </c>
      <c r="M14" s="59"/>
      <c r="N14" s="59">
        <f>N$13/M$13*M14</f>
        <v>0</v>
      </c>
      <c r="O14" s="59"/>
      <c r="P14" s="59">
        <f>P$13/O$13*O14</f>
        <v>0</v>
      </c>
      <c r="Q14" s="59"/>
      <c r="R14" s="59">
        <f>R$13/Q$13*Q14</f>
        <v>0</v>
      </c>
      <c r="S14" s="59"/>
      <c r="T14" s="59">
        <f>T$13/S$13*S14</f>
        <v>0</v>
      </c>
      <c r="U14" s="59"/>
      <c r="V14" s="59">
        <f>V$13/U$13*U14</f>
        <v>0</v>
      </c>
      <c r="W14" s="59">
        <v>0.01</v>
      </c>
      <c r="X14" s="59">
        <f>X$13/W$13*W14</f>
        <v>0</v>
      </c>
      <c r="Y14" s="59"/>
      <c r="Z14" s="59">
        <f>Z$13/Y$13*Y14</f>
        <v>0</v>
      </c>
      <c r="AA14" s="59"/>
      <c r="AB14" s="59">
        <f>AB$13/AA$13*AA14</f>
        <v>0</v>
      </c>
      <c r="AC14" s="59"/>
      <c r="AD14" s="59">
        <f>AD$13/AC$13*AC14</f>
        <v>0</v>
      </c>
      <c r="AE14" s="59"/>
      <c r="AF14" s="59">
        <f>AF$13/AE$13*AE14</f>
        <v>0</v>
      </c>
      <c r="AG14" s="60">
        <f t="shared" ref="AG14:AG77" si="3">K14+M14+O14+Q14+S14+U14+W14+AA14+Y14+AC14+AE14</f>
        <v>0.02</v>
      </c>
      <c r="AH14" s="208">
        <f t="shared" ref="AH14:AH77" si="4">L14+N14+P14+R14+T14+V14+X14+AB14+Z14+AD14+AF14</f>
        <v>0</v>
      </c>
      <c r="AI14" s="58"/>
      <c r="AJ14" s="59">
        <f>AJ$13/AI$13*AI14</f>
        <v>0</v>
      </c>
      <c r="AK14" s="59"/>
      <c r="AL14" s="59">
        <f>AL$13/AK$13*AK14</f>
        <v>0</v>
      </c>
      <c r="AM14" s="59"/>
      <c r="AN14" s="59">
        <f>AN$13/AM$13*AM14</f>
        <v>0</v>
      </c>
      <c r="AO14" s="59"/>
      <c r="AP14" s="59">
        <f>AP$13/AO$13*AO14</f>
        <v>0</v>
      </c>
      <c r="AQ14" s="59"/>
      <c r="AR14" s="59">
        <f>AR$13/AQ$13*AQ14</f>
        <v>0</v>
      </c>
      <c r="AS14" s="60">
        <f t="shared" si="0"/>
        <v>0</v>
      </c>
      <c r="AT14" s="61">
        <f t="shared" si="0"/>
        <v>0</v>
      </c>
      <c r="AU14" s="58"/>
      <c r="AV14" s="59"/>
      <c r="AW14" s="60">
        <f>AU14</f>
        <v>0</v>
      </c>
      <c r="AX14" s="62">
        <f>AV14</f>
        <v>0</v>
      </c>
      <c r="AY14" s="63">
        <f t="shared" si="1"/>
        <v>0.02</v>
      </c>
      <c r="AZ14" s="64">
        <f t="shared" si="2"/>
        <v>0</v>
      </c>
      <c r="BA14" s="2" t="s">
        <v>91</v>
      </c>
      <c r="BB14" s="2">
        <f>IF(BA14="●",AZ14,0)</f>
        <v>0</v>
      </c>
      <c r="BD14" s="2" t="s">
        <v>92</v>
      </c>
      <c r="BE14"/>
      <c r="BF14"/>
    </row>
    <row r="15" spans="1:60" ht="15" customHeight="1">
      <c r="A15" s="50"/>
      <c r="B15" s="65" t="s">
        <v>93</v>
      </c>
      <c r="C15" s="66">
        <v>2</v>
      </c>
      <c r="D15" s="51" t="s">
        <v>94</v>
      </c>
      <c r="E15" s="53" t="s">
        <v>95</v>
      </c>
      <c r="F15" s="67" t="s">
        <v>90</v>
      </c>
      <c r="G15" s="68"/>
      <c r="H15" s="69">
        <f t="shared" ref="H15:H80" si="5">$H$13/$G$13*G15</f>
        <v>0</v>
      </c>
      <c r="I15" s="70">
        <f t="shared" ref="I15:J75" si="6">G15</f>
        <v>0</v>
      </c>
      <c r="J15" s="71">
        <f t="shared" si="6"/>
        <v>0</v>
      </c>
      <c r="K15" s="72"/>
      <c r="L15" s="73">
        <f t="shared" ref="L15:L80" si="7">L$13/K$13*K15</f>
        <v>0</v>
      </c>
      <c r="M15" s="73"/>
      <c r="N15" s="73">
        <f t="shared" ref="N15:P30" si="8">N$13/M$13*M15</f>
        <v>0</v>
      </c>
      <c r="O15" s="73"/>
      <c r="P15" s="73">
        <f t="shared" si="8"/>
        <v>0</v>
      </c>
      <c r="Q15" s="73"/>
      <c r="R15" s="73">
        <f t="shared" ref="R15:T30" si="9">R$13/Q$13*Q15</f>
        <v>0</v>
      </c>
      <c r="S15" s="73"/>
      <c r="T15" s="73">
        <f t="shared" si="9"/>
        <v>0</v>
      </c>
      <c r="U15" s="73"/>
      <c r="V15" s="73">
        <f t="shared" ref="V15:X30" si="10">V$13/U$13*U15</f>
        <v>0</v>
      </c>
      <c r="W15" s="73"/>
      <c r="X15" s="73">
        <f t="shared" si="10"/>
        <v>0</v>
      </c>
      <c r="Y15" s="73"/>
      <c r="Z15" s="73">
        <f t="shared" ref="Z15:Z80" si="11">Z$13/Y$13*Y15</f>
        <v>0</v>
      </c>
      <c r="AA15" s="73"/>
      <c r="AB15" s="73">
        <f t="shared" ref="AB15:AB80" si="12">AB$13/AA$13*AA15</f>
        <v>0</v>
      </c>
      <c r="AC15" s="73"/>
      <c r="AD15" s="73">
        <f t="shared" ref="AD15:AD80" si="13">AD$13/AC$13*AC15</f>
        <v>0</v>
      </c>
      <c r="AE15" s="73"/>
      <c r="AF15" s="73">
        <f t="shared" ref="AF15:AF80" si="14">AF$13/AE$13*AE15</f>
        <v>0</v>
      </c>
      <c r="AG15" s="74">
        <f t="shared" si="3"/>
        <v>0</v>
      </c>
      <c r="AH15" s="209">
        <f t="shared" si="4"/>
        <v>0</v>
      </c>
      <c r="AI15" s="72"/>
      <c r="AJ15" s="73">
        <f t="shared" ref="AJ15:AJ80" si="15">AJ$13/AI$13*AI15</f>
        <v>0</v>
      </c>
      <c r="AK15" s="73"/>
      <c r="AL15" s="73">
        <f t="shared" ref="AL15:AL80" si="16">AL$13/AK$13*AK15</f>
        <v>0</v>
      </c>
      <c r="AM15" s="73"/>
      <c r="AN15" s="73">
        <f t="shared" ref="AN15:AN80" si="17">AN$13/AM$13*AM15</f>
        <v>0</v>
      </c>
      <c r="AO15" s="73"/>
      <c r="AP15" s="73">
        <f t="shared" ref="AP15:AP80" si="18">AP$13/AO$13*AO15</f>
        <v>0</v>
      </c>
      <c r="AQ15" s="73"/>
      <c r="AR15" s="73">
        <f t="shared" ref="AR15:AR80" si="19">AR$13/AQ$13*AQ15</f>
        <v>0</v>
      </c>
      <c r="AS15" s="74">
        <f t="shared" si="0"/>
        <v>0</v>
      </c>
      <c r="AT15" s="75">
        <f t="shared" si="0"/>
        <v>0</v>
      </c>
      <c r="AU15" s="72"/>
      <c r="AV15" s="73"/>
      <c r="AW15" s="74">
        <f t="shared" ref="AW15:AX80" si="20">AU15</f>
        <v>0</v>
      </c>
      <c r="AX15" s="76">
        <f t="shared" si="20"/>
        <v>0</v>
      </c>
      <c r="AY15" s="77">
        <f t="shared" si="1"/>
        <v>0</v>
      </c>
      <c r="AZ15" s="78">
        <f t="shared" si="2"/>
        <v>0</v>
      </c>
      <c r="BA15" s="2" t="s">
        <v>91</v>
      </c>
      <c r="BB15" s="2">
        <f t="shared" ref="BB15:BB80" si="21">IF(BA15="●",AZ15,0)</f>
        <v>0</v>
      </c>
      <c r="BD15" t="s">
        <v>77</v>
      </c>
      <c r="BE15"/>
      <c r="BF15"/>
    </row>
    <row r="16" spans="1:60" ht="15" customHeight="1">
      <c r="A16" s="50"/>
      <c r="B16" s="65"/>
      <c r="C16" s="66">
        <v>3</v>
      </c>
      <c r="D16" s="51" t="s">
        <v>96</v>
      </c>
      <c r="E16" s="53" t="s">
        <v>97</v>
      </c>
      <c r="F16" s="54" t="s">
        <v>98</v>
      </c>
      <c r="G16" s="68">
        <v>0.01</v>
      </c>
      <c r="H16" s="69">
        <f t="shared" si="5"/>
        <v>0</v>
      </c>
      <c r="I16" s="70">
        <f t="shared" si="6"/>
        <v>0.01</v>
      </c>
      <c r="J16" s="71">
        <f t="shared" si="6"/>
        <v>0</v>
      </c>
      <c r="K16" s="72">
        <v>0.01</v>
      </c>
      <c r="L16" s="73">
        <f t="shared" si="7"/>
        <v>0</v>
      </c>
      <c r="M16" s="73"/>
      <c r="N16" s="73">
        <f t="shared" si="8"/>
        <v>0</v>
      </c>
      <c r="O16" s="73"/>
      <c r="P16" s="73">
        <f t="shared" si="8"/>
        <v>0</v>
      </c>
      <c r="Q16" s="73"/>
      <c r="R16" s="73">
        <f t="shared" si="9"/>
        <v>0</v>
      </c>
      <c r="S16" s="73"/>
      <c r="T16" s="73">
        <f t="shared" si="9"/>
        <v>0</v>
      </c>
      <c r="U16" s="73"/>
      <c r="V16" s="73">
        <f t="shared" si="10"/>
        <v>0</v>
      </c>
      <c r="W16" s="73"/>
      <c r="X16" s="73">
        <f t="shared" si="10"/>
        <v>0</v>
      </c>
      <c r="Y16" s="73"/>
      <c r="Z16" s="73">
        <f t="shared" si="11"/>
        <v>0</v>
      </c>
      <c r="AA16" s="73"/>
      <c r="AB16" s="73">
        <f t="shared" si="12"/>
        <v>0</v>
      </c>
      <c r="AC16" s="73"/>
      <c r="AD16" s="73">
        <f t="shared" si="13"/>
        <v>0</v>
      </c>
      <c r="AE16" s="73"/>
      <c r="AF16" s="73">
        <f t="shared" si="14"/>
        <v>0</v>
      </c>
      <c r="AG16" s="74">
        <f t="shared" si="3"/>
        <v>0.01</v>
      </c>
      <c r="AH16" s="209">
        <f t="shared" si="4"/>
        <v>0</v>
      </c>
      <c r="AI16" s="72"/>
      <c r="AJ16" s="73">
        <f t="shared" si="15"/>
        <v>0</v>
      </c>
      <c r="AK16" s="73"/>
      <c r="AL16" s="73">
        <f t="shared" si="16"/>
        <v>0</v>
      </c>
      <c r="AM16" s="73"/>
      <c r="AN16" s="73">
        <f t="shared" si="17"/>
        <v>0</v>
      </c>
      <c r="AO16" s="73"/>
      <c r="AP16" s="73">
        <f t="shared" si="18"/>
        <v>0</v>
      </c>
      <c r="AQ16" s="73"/>
      <c r="AR16" s="73">
        <f t="shared" si="19"/>
        <v>0</v>
      </c>
      <c r="AS16" s="74">
        <f t="shared" si="0"/>
        <v>0</v>
      </c>
      <c r="AT16" s="75">
        <f t="shared" si="0"/>
        <v>0</v>
      </c>
      <c r="AU16" s="72"/>
      <c r="AV16" s="73"/>
      <c r="AW16" s="74">
        <f t="shared" si="20"/>
        <v>0</v>
      </c>
      <c r="AX16" s="76">
        <f t="shared" si="20"/>
        <v>0</v>
      </c>
      <c r="AY16" s="77">
        <f t="shared" si="1"/>
        <v>0.02</v>
      </c>
      <c r="AZ16" s="78">
        <f t="shared" si="2"/>
        <v>0</v>
      </c>
      <c r="BA16" s="2" t="s">
        <v>91</v>
      </c>
      <c r="BB16" s="2">
        <f t="shared" si="21"/>
        <v>0</v>
      </c>
      <c r="BE16"/>
      <c r="BF16"/>
    </row>
    <row r="17" spans="1:58" ht="15" customHeight="1">
      <c r="A17" s="50"/>
      <c r="B17" s="65"/>
      <c r="C17" s="79">
        <v>4</v>
      </c>
      <c r="D17" s="51" t="s">
        <v>99</v>
      </c>
      <c r="E17" s="53" t="s">
        <v>100</v>
      </c>
      <c r="F17" s="54" t="s">
        <v>101</v>
      </c>
      <c r="G17" s="68">
        <v>7.0000000000000007E-2</v>
      </c>
      <c r="H17" s="69">
        <f t="shared" si="5"/>
        <v>0</v>
      </c>
      <c r="I17" s="70">
        <f t="shared" si="6"/>
        <v>7.0000000000000007E-2</v>
      </c>
      <c r="J17" s="71">
        <f t="shared" si="6"/>
        <v>0</v>
      </c>
      <c r="K17" s="72">
        <v>0.01</v>
      </c>
      <c r="L17" s="73">
        <f t="shared" si="7"/>
        <v>0</v>
      </c>
      <c r="M17" s="73"/>
      <c r="N17" s="73">
        <f t="shared" si="8"/>
        <v>0</v>
      </c>
      <c r="O17" s="73"/>
      <c r="P17" s="73">
        <f t="shared" si="8"/>
        <v>0</v>
      </c>
      <c r="Q17" s="80"/>
      <c r="R17" s="80">
        <f t="shared" si="9"/>
        <v>0</v>
      </c>
      <c r="S17" s="80"/>
      <c r="T17" s="80">
        <f t="shared" si="9"/>
        <v>0</v>
      </c>
      <c r="U17" s="80"/>
      <c r="V17" s="80">
        <f t="shared" si="10"/>
        <v>0</v>
      </c>
      <c r="W17" s="80"/>
      <c r="X17" s="80">
        <f t="shared" si="10"/>
        <v>0</v>
      </c>
      <c r="Y17" s="80"/>
      <c r="Z17" s="80">
        <f t="shared" si="11"/>
        <v>0</v>
      </c>
      <c r="AA17" s="80"/>
      <c r="AB17" s="80">
        <f t="shared" si="12"/>
        <v>0</v>
      </c>
      <c r="AC17" s="80"/>
      <c r="AD17" s="80">
        <f t="shared" si="13"/>
        <v>0</v>
      </c>
      <c r="AE17" s="80"/>
      <c r="AF17" s="80">
        <f t="shared" si="14"/>
        <v>0</v>
      </c>
      <c r="AG17" s="74">
        <f t="shared" si="3"/>
        <v>0.01</v>
      </c>
      <c r="AH17" s="209">
        <f t="shared" si="4"/>
        <v>0</v>
      </c>
      <c r="AI17" s="81"/>
      <c r="AJ17" s="80">
        <f t="shared" si="15"/>
        <v>0</v>
      </c>
      <c r="AK17" s="80"/>
      <c r="AL17" s="80">
        <f t="shared" si="16"/>
        <v>0</v>
      </c>
      <c r="AM17" s="80"/>
      <c r="AN17" s="80">
        <f t="shared" si="17"/>
        <v>0</v>
      </c>
      <c r="AO17" s="73"/>
      <c r="AP17" s="73">
        <f t="shared" si="18"/>
        <v>0</v>
      </c>
      <c r="AQ17" s="73"/>
      <c r="AR17" s="73">
        <f t="shared" si="19"/>
        <v>0</v>
      </c>
      <c r="AS17" s="74">
        <f t="shared" si="0"/>
        <v>0</v>
      </c>
      <c r="AT17" s="75">
        <f t="shared" si="0"/>
        <v>0</v>
      </c>
      <c r="AU17" s="72"/>
      <c r="AV17" s="73"/>
      <c r="AW17" s="74">
        <f t="shared" si="20"/>
        <v>0</v>
      </c>
      <c r="AX17" s="76">
        <f t="shared" si="20"/>
        <v>0</v>
      </c>
      <c r="AY17" s="77">
        <f t="shared" si="1"/>
        <v>0.08</v>
      </c>
      <c r="AZ17" s="78">
        <f t="shared" si="2"/>
        <v>0</v>
      </c>
      <c r="BA17" s="2" t="s">
        <v>91</v>
      </c>
      <c r="BB17" s="2">
        <f t="shared" si="21"/>
        <v>0</v>
      </c>
      <c r="BE17"/>
      <c r="BF17"/>
    </row>
    <row r="18" spans="1:58" ht="15" customHeight="1">
      <c r="A18" s="50"/>
      <c r="B18" s="65"/>
      <c r="C18" s="79">
        <v>5</v>
      </c>
      <c r="D18" s="51" t="s">
        <v>102</v>
      </c>
      <c r="E18" s="53"/>
      <c r="F18" s="54" t="s">
        <v>98</v>
      </c>
      <c r="G18" s="68">
        <v>0.02</v>
      </c>
      <c r="H18" s="69">
        <f t="shared" si="5"/>
        <v>0</v>
      </c>
      <c r="I18" s="70">
        <f t="shared" si="6"/>
        <v>0.02</v>
      </c>
      <c r="J18" s="71">
        <f t="shared" si="6"/>
        <v>0</v>
      </c>
      <c r="K18" s="72">
        <v>0.01</v>
      </c>
      <c r="L18" s="73">
        <f t="shared" si="7"/>
        <v>0</v>
      </c>
      <c r="M18" s="73"/>
      <c r="N18" s="73">
        <f t="shared" si="8"/>
        <v>0</v>
      </c>
      <c r="O18" s="73"/>
      <c r="P18" s="73">
        <f t="shared" si="8"/>
        <v>0</v>
      </c>
      <c r="Q18" s="80"/>
      <c r="R18" s="80">
        <f t="shared" si="9"/>
        <v>0</v>
      </c>
      <c r="S18" s="80"/>
      <c r="T18" s="80">
        <f t="shared" si="9"/>
        <v>0</v>
      </c>
      <c r="U18" s="80"/>
      <c r="V18" s="80">
        <f t="shared" si="10"/>
        <v>0</v>
      </c>
      <c r="W18" s="80"/>
      <c r="X18" s="80">
        <f t="shared" si="10"/>
        <v>0</v>
      </c>
      <c r="Y18" s="80"/>
      <c r="Z18" s="80">
        <f t="shared" si="11"/>
        <v>0</v>
      </c>
      <c r="AA18" s="80"/>
      <c r="AB18" s="80">
        <f t="shared" si="12"/>
        <v>0</v>
      </c>
      <c r="AC18" s="80"/>
      <c r="AD18" s="80">
        <f t="shared" si="13"/>
        <v>0</v>
      </c>
      <c r="AE18" s="80"/>
      <c r="AF18" s="80">
        <f t="shared" si="14"/>
        <v>0</v>
      </c>
      <c r="AG18" s="74">
        <f t="shared" si="3"/>
        <v>0.01</v>
      </c>
      <c r="AH18" s="209">
        <f t="shared" si="4"/>
        <v>0</v>
      </c>
      <c r="AI18" s="81"/>
      <c r="AJ18" s="80">
        <f t="shared" si="15"/>
        <v>0</v>
      </c>
      <c r="AK18" s="80"/>
      <c r="AL18" s="80">
        <f t="shared" si="16"/>
        <v>0</v>
      </c>
      <c r="AM18" s="80"/>
      <c r="AN18" s="80">
        <f t="shared" si="17"/>
        <v>0</v>
      </c>
      <c r="AO18" s="73"/>
      <c r="AP18" s="73">
        <f t="shared" si="18"/>
        <v>0</v>
      </c>
      <c r="AQ18" s="73"/>
      <c r="AR18" s="73">
        <f t="shared" si="19"/>
        <v>0</v>
      </c>
      <c r="AS18" s="74">
        <f t="shared" si="0"/>
        <v>0</v>
      </c>
      <c r="AT18" s="75">
        <f t="shared" si="0"/>
        <v>0</v>
      </c>
      <c r="AU18" s="72"/>
      <c r="AV18" s="73"/>
      <c r="AW18" s="74">
        <f t="shared" si="20"/>
        <v>0</v>
      </c>
      <c r="AX18" s="76">
        <f t="shared" si="20"/>
        <v>0</v>
      </c>
      <c r="AY18" s="77">
        <f t="shared" si="1"/>
        <v>0.03</v>
      </c>
      <c r="AZ18" s="78">
        <f t="shared" si="2"/>
        <v>0</v>
      </c>
      <c r="BA18" s="2" t="s">
        <v>91</v>
      </c>
      <c r="BB18" s="2">
        <f t="shared" si="21"/>
        <v>0</v>
      </c>
      <c r="BE18"/>
      <c r="BF18"/>
    </row>
    <row r="19" spans="1:58" ht="15" customHeight="1">
      <c r="A19" s="50"/>
      <c r="B19" s="65"/>
      <c r="C19" s="66">
        <v>6</v>
      </c>
      <c r="D19" s="51" t="s">
        <v>103</v>
      </c>
      <c r="E19" s="53"/>
      <c r="F19" s="54" t="s">
        <v>98</v>
      </c>
      <c r="G19" s="68">
        <v>0.02</v>
      </c>
      <c r="H19" s="69">
        <f t="shared" si="5"/>
        <v>0</v>
      </c>
      <c r="I19" s="70">
        <f t="shared" si="6"/>
        <v>0.02</v>
      </c>
      <c r="J19" s="71">
        <f t="shared" si="6"/>
        <v>0</v>
      </c>
      <c r="K19" s="72">
        <v>0.01</v>
      </c>
      <c r="L19" s="73">
        <f t="shared" si="7"/>
        <v>0</v>
      </c>
      <c r="M19" s="73"/>
      <c r="N19" s="73">
        <f t="shared" si="8"/>
        <v>0</v>
      </c>
      <c r="O19" s="73"/>
      <c r="P19" s="73">
        <f t="shared" si="8"/>
        <v>0</v>
      </c>
      <c r="Q19" s="80"/>
      <c r="R19" s="80">
        <f t="shared" si="9"/>
        <v>0</v>
      </c>
      <c r="S19" s="80"/>
      <c r="T19" s="80">
        <f t="shared" si="9"/>
        <v>0</v>
      </c>
      <c r="U19" s="80"/>
      <c r="V19" s="80">
        <f t="shared" si="10"/>
        <v>0</v>
      </c>
      <c r="W19" s="80"/>
      <c r="X19" s="80">
        <f t="shared" si="10"/>
        <v>0</v>
      </c>
      <c r="Y19" s="80"/>
      <c r="Z19" s="80">
        <f t="shared" si="11"/>
        <v>0</v>
      </c>
      <c r="AA19" s="80"/>
      <c r="AB19" s="80">
        <f t="shared" si="12"/>
        <v>0</v>
      </c>
      <c r="AC19" s="80"/>
      <c r="AD19" s="80">
        <f t="shared" si="13"/>
        <v>0</v>
      </c>
      <c r="AE19" s="80"/>
      <c r="AF19" s="80">
        <f t="shared" si="14"/>
        <v>0</v>
      </c>
      <c r="AG19" s="74">
        <f t="shared" si="3"/>
        <v>0.01</v>
      </c>
      <c r="AH19" s="209">
        <f t="shared" si="4"/>
        <v>0</v>
      </c>
      <c r="AI19" s="81"/>
      <c r="AJ19" s="80">
        <f t="shared" si="15"/>
        <v>0</v>
      </c>
      <c r="AK19" s="80"/>
      <c r="AL19" s="80">
        <f t="shared" si="16"/>
        <v>0</v>
      </c>
      <c r="AM19" s="80"/>
      <c r="AN19" s="80">
        <f t="shared" si="17"/>
        <v>0</v>
      </c>
      <c r="AO19" s="73"/>
      <c r="AP19" s="73">
        <f t="shared" si="18"/>
        <v>0</v>
      </c>
      <c r="AQ19" s="73"/>
      <c r="AR19" s="73">
        <f t="shared" si="19"/>
        <v>0</v>
      </c>
      <c r="AS19" s="74">
        <f t="shared" si="0"/>
        <v>0</v>
      </c>
      <c r="AT19" s="75">
        <f t="shared" si="0"/>
        <v>0</v>
      </c>
      <c r="AU19" s="72"/>
      <c r="AV19" s="73"/>
      <c r="AW19" s="74">
        <f t="shared" si="20"/>
        <v>0</v>
      </c>
      <c r="AX19" s="76">
        <f t="shared" si="20"/>
        <v>0</v>
      </c>
      <c r="AY19" s="77">
        <f t="shared" si="1"/>
        <v>0.03</v>
      </c>
      <c r="AZ19" s="78">
        <f t="shared" si="2"/>
        <v>0</v>
      </c>
      <c r="BA19" s="2" t="s">
        <v>91</v>
      </c>
      <c r="BB19" s="2">
        <f t="shared" si="21"/>
        <v>0</v>
      </c>
      <c r="BE19"/>
      <c r="BF19"/>
    </row>
    <row r="20" spans="1:58" ht="15" customHeight="1">
      <c r="A20" s="50"/>
      <c r="B20" s="65"/>
      <c r="C20" s="52">
        <v>7</v>
      </c>
      <c r="D20" s="51" t="s">
        <v>104</v>
      </c>
      <c r="E20" s="53"/>
      <c r="F20" s="54" t="s">
        <v>98</v>
      </c>
      <c r="G20" s="68">
        <v>0.02</v>
      </c>
      <c r="H20" s="69">
        <f t="shared" si="5"/>
        <v>0</v>
      </c>
      <c r="I20" s="70">
        <f t="shared" si="6"/>
        <v>0.02</v>
      </c>
      <c r="J20" s="71">
        <f t="shared" si="6"/>
        <v>0</v>
      </c>
      <c r="K20" s="72">
        <v>0.01</v>
      </c>
      <c r="L20" s="73">
        <f t="shared" si="7"/>
        <v>0</v>
      </c>
      <c r="M20" s="73"/>
      <c r="N20" s="73">
        <f t="shared" si="8"/>
        <v>0</v>
      </c>
      <c r="O20" s="73"/>
      <c r="P20" s="73">
        <f t="shared" si="8"/>
        <v>0</v>
      </c>
      <c r="Q20" s="80"/>
      <c r="R20" s="80">
        <f t="shared" si="9"/>
        <v>0</v>
      </c>
      <c r="S20" s="80"/>
      <c r="T20" s="80">
        <f t="shared" si="9"/>
        <v>0</v>
      </c>
      <c r="U20" s="80"/>
      <c r="V20" s="80">
        <f t="shared" si="10"/>
        <v>0</v>
      </c>
      <c r="W20" s="80"/>
      <c r="X20" s="80">
        <f t="shared" si="10"/>
        <v>0</v>
      </c>
      <c r="Y20" s="80"/>
      <c r="Z20" s="80">
        <f t="shared" si="11"/>
        <v>0</v>
      </c>
      <c r="AA20" s="80"/>
      <c r="AB20" s="80">
        <f t="shared" si="12"/>
        <v>0</v>
      </c>
      <c r="AC20" s="80"/>
      <c r="AD20" s="80">
        <f t="shared" si="13"/>
        <v>0</v>
      </c>
      <c r="AE20" s="80"/>
      <c r="AF20" s="80">
        <f t="shared" si="14"/>
        <v>0</v>
      </c>
      <c r="AG20" s="74">
        <f t="shared" si="3"/>
        <v>0.01</v>
      </c>
      <c r="AH20" s="209">
        <f t="shared" si="4"/>
        <v>0</v>
      </c>
      <c r="AI20" s="81"/>
      <c r="AJ20" s="80">
        <f t="shared" si="15"/>
        <v>0</v>
      </c>
      <c r="AK20" s="80"/>
      <c r="AL20" s="80">
        <f t="shared" si="16"/>
        <v>0</v>
      </c>
      <c r="AM20" s="80"/>
      <c r="AN20" s="80">
        <f t="shared" si="17"/>
        <v>0</v>
      </c>
      <c r="AO20" s="73"/>
      <c r="AP20" s="73">
        <f t="shared" si="18"/>
        <v>0</v>
      </c>
      <c r="AQ20" s="73"/>
      <c r="AR20" s="73">
        <f t="shared" si="19"/>
        <v>0</v>
      </c>
      <c r="AS20" s="74">
        <f t="shared" si="0"/>
        <v>0</v>
      </c>
      <c r="AT20" s="75">
        <f t="shared" si="0"/>
        <v>0</v>
      </c>
      <c r="AU20" s="72"/>
      <c r="AV20" s="73"/>
      <c r="AW20" s="74">
        <f t="shared" si="20"/>
        <v>0</v>
      </c>
      <c r="AX20" s="76">
        <f t="shared" si="20"/>
        <v>0</v>
      </c>
      <c r="AY20" s="77">
        <f t="shared" si="1"/>
        <v>0.03</v>
      </c>
      <c r="AZ20" s="78">
        <f t="shared" si="2"/>
        <v>0</v>
      </c>
      <c r="BA20" s="2" t="s">
        <v>91</v>
      </c>
      <c r="BB20" s="2">
        <f t="shared" si="21"/>
        <v>0</v>
      </c>
      <c r="BE20"/>
      <c r="BF20"/>
    </row>
    <row r="21" spans="1:58" ht="15" customHeight="1">
      <c r="A21" s="50"/>
      <c r="B21" s="82" t="s">
        <v>105</v>
      </c>
      <c r="C21" s="83">
        <v>8</v>
      </c>
      <c r="D21" s="84" t="s">
        <v>106</v>
      </c>
      <c r="E21" s="85" t="s">
        <v>107</v>
      </c>
      <c r="F21" s="86" t="s">
        <v>98</v>
      </c>
      <c r="G21" s="68"/>
      <c r="H21" s="69">
        <f t="shared" si="5"/>
        <v>0</v>
      </c>
      <c r="I21" s="70">
        <f t="shared" si="6"/>
        <v>0</v>
      </c>
      <c r="J21" s="71">
        <f t="shared" si="6"/>
        <v>0</v>
      </c>
      <c r="K21" s="81">
        <v>0.01</v>
      </c>
      <c r="L21" s="80">
        <f t="shared" si="7"/>
        <v>0</v>
      </c>
      <c r="M21" s="80"/>
      <c r="N21" s="80">
        <f t="shared" si="8"/>
        <v>0</v>
      </c>
      <c r="O21" s="80"/>
      <c r="P21" s="80">
        <f t="shared" si="8"/>
        <v>0</v>
      </c>
      <c r="Q21" s="80"/>
      <c r="R21" s="80">
        <f t="shared" si="9"/>
        <v>0</v>
      </c>
      <c r="S21" s="80"/>
      <c r="T21" s="80">
        <f t="shared" si="9"/>
        <v>0</v>
      </c>
      <c r="U21" s="80"/>
      <c r="V21" s="80">
        <f t="shared" si="10"/>
        <v>0</v>
      </c>
      <c r="W21" s="80">
        <v>0.01</v>
      </c>
      <c r="X21" s="80">
        <f t="shared" si="10"/>
        <v>0</v>
      </c>
      <c r="Y21" s="80"/>
      <c r="Z21" s="80">
        <f t="shared" si="11"/>
        <v>0</v>
      </c>
      <c r="AA21" s="80"/>
      <c r="AB21" s="80">
        <f t="shared" si="12"/>
        <v>0</v>
      </c>
      <c r="AC21" s="80"/>
      <c r="AD21" s="80">
        <f t="shared" si="13"/>
        <v>0</v>
      </c>
      <c r="AE21" s="80"/>
      <c r="AF21" s="80">
        <f t="shared" si="14"/>
        <v>0</v>
      </c>
      <c r="AG21" s="74">
        <f t="shared" si="3"/>
        <v>0.02</v>
      </c>
      <c r="AH21" s="209">
        <f t="shared" si="4"/>
        <v>0</v>
      </c>
      <c r="AI21" s="81"/>
      <c r="AJ21" s="80">
        <f t="shared" si="15"/>
        <v>0</v>
      </c>
      <c r="AK21" s="80"/>
      <c r="AL21" s="80">
        <f t="shared" si="16"/>
        <v>0</v>
      </c>
      <c r="AM21" s="80"/>
      <c r="AN21" s="80">
        <f t="shared" si="17"/>
        <v>0</v>
      </c>
      <c r="AO21" s="80"/>
      <c r="AP21" s="80">
        <f t="shared" si="18"/>
        <v>0</v>
      </c>
      <c r="AQ21" s="80"/>
      <c r="AR21" s="80">
        <f t="shared" si="19"/>
        <v>0</v>
      </c>
      <c r="AS21" s="74">
        <f t="shared" si="0"/>
        <v>0</v>
      </c>
      <c r="AT21" s="75">
        <f t="shared" si="0"/>
        <v>0</v>
      </c>
      <c r="AU21" s="81"/>
      <c r="AV21" s="80"/>
      <c r="AW21" s="74">
        <f t="shared" si="20"/>
        <v>0</v>
      </c>
      <c r="AX21" s="76">
        <f t="shared" si="20"/>
        <v>0</v>
      </c>
      <c r="AY21" s="77">
        <f t="shared" si="1"/>
        <v>0.02</v>
      </c>
      <c r="AZ21" s="78">
        <f t="shared" si="2"/>
        <v>0</v>
      </c>
      <c r="BA21" s="2" t="s">
        <v>91</v>
      </c>
      <c r="BB21" s="2">
        <f t="shared" si="21"/>
        <v>0</v>
      </c>
      <c r="BE21"/>
      <c r="BF21"/>
    </row>
    <row r="22" spans="1:58" ht="15" customHeight="1">
      <c r="A22" s="50"/>
      <c r="B22" s="65" t="s">
        <v>108</v>
      </c>
      <c r="C22" s="83">
        <v>9</v>
      </c>
      <c r="D22" s="84" t="s">
        <v>109</v>
      </c>
      <c r="E22" s="85"/>
      <c r="F22" s="86" t="s">
        <v>98</v>
      </c>
      <c r="G22" s="68">
        <v>0.01</v>
      </c>
      <c r="H22" s="69">
        <f t="shared" si="5"/>
        <v>0</v>
      </c>
      <c r="I22" s="70">
        <f t="shared" si="6"/>
        <v>0.01</v>
      </c>
      <c r="J22" s="71">
        <f t="shared" si="6"/>
        <v>0</v>
      </c>
      <c r="K22" s="81">
        <v>0.01</v>
      </c>
      <c r="L22" s="80">
        <f t="shared" si="7"/>
        <v>0</v>
      </c>
      <c r="M22" s="80"/>
      <c r="N22" s="80">
        <f t="shared" si="8"/>
        <v>0</v>
      </c>
      <c r="O22" s="80"/>
      <c r="P22" s="80">
        <f t="shared" si="8"/>
        <v>0</v>
      </c>
      <c r="Q22" s="80"/>
      <c r="R22" s="80">
        <f t="shared" si="9"/>
        <v>0</v>
      </c>
      <c r="S22" s="80"/>
      <c r="T22" s="80">
        <f t="shared" si="9"/>
        <v>0</v>
      </c>
      <c r="U22" s="80"/>
      <c r="V22" s="80">
        <f t="shared" si="10"/>
        <v>0</v>
      </c>
      <c r="W22" s="80">
        <v>0.01</v>
      </c>
      <c r="X22" s="80">
        <f t="shared" si="10"/>
        <v>0</v>
      </c>
      <c r="Y22" s="80"/>
      <c r="Z22" s="80">
        <f t="shared" si="11"/>
        <v>0</v>
      </c>
      <c r="AA22" s="80"/>
      <c r="AB22" s="80">
        <f t="shared" si="12"/>
        <v>0</v>
      </c>
      <c r="AC22" s="80"/>
      <c r="AD22" s="80">
        <f t="shared" si="13"/>
        <v>0</v>
      </c>
      <c r="AE22" s="80"/>
      <c r="AF22" s="80">
        <f t="shared" si="14"/>
        <v>0</v>
      </c>
      <c r="AG22" s="74">
        <f t="shared" si="3"/>
        <v>0.02</v>
      </c>
      <c r="AH22" s="209">
        <f t="shared" si="4"/>
        <v>0</v>
      </c>
      <c r="AI22" s="81"/>
      <c r="AJ22" s="80">
        <f t="shared" si="15"/>
        <v>0</v>
      </c>
      <c r="AK22" s="80"/>
      <c r="AL22" s="80">
        <f t="shared" si="16"/>
        <v>0</v>
      </c>
      <c r="AM22" s="80"/>
      <c r="AN22" s="80">
        <f t="shared" si="17"/>
        <v>0</v>
      </c>
      <c r="AO22" s="80"/>
      <c r="AP22" s="80">
        <f t="shared" si="18"/>
        <v>0</v>
      </c>
      <c r="AQ22" s="80"/>
      <c r="AR22" s="80">
        <f t="shared" si="19"/>
        <v>0</v>
      </c>
      <c r="AS22" s="74">
        <f t="shared" si="0"/>
        <v>0</v>
      </c>
      <c r="AT22" s="75">
        <f t="shared" si="0"/>
        <v>0</v>
      </c>
      <c r="AU22" s="81"/>
      <c r="AV22" s="80"/>
      <c r="AW22" s="74">
        <f t="shared" si="20"/>
        <v>0</v>
      </c>
      <c r="AX22" s="76">
        <f t="shared" si="20"/>
        <v>0</v>
      </c>
      <c r="AY22" s="77">
        <f t="shared" si="1"/>
        <v>0.03</v>
      </c>
      <c r="AZ22" s="78">
        <f t="shared" si="2"/>
        <v>0</v>
      </c>
      <c r="BA22" s="2" t="s">
        <v>91</v>
      </c>
      <c r="BB22" s="2">
        <f t="shared" si="21"/>
        <v>0</v>
      </c>
      <c r="BE22"/>
      <c r="BF22"/>
    </row>
    <row r="23" spans="1:58" ht="15" customHeight="1">
      <c r="A23" s="50"/>
      <c r="B23" s="87" t="s">
        <v>110</v>
      </c>
      <c r="C23" s="88">
        <v>10</v>
      </c>
      <c r="D23" s="84" t="s">
        <v>111</v>
      </c>
      <c r="E23" s="85" t="s">
        <v>112</v>
      </c>
      <c r="F23" s="86" t="s">
        <v>113</v>
      </c>
      <c r="G23" s="68">
        <v>0.02</v>
      </c>
      <c r="H23" s="69">
        <f t="shared" si="5"/>
        <v>0</v>
      </c>
      <c r="I23" s="70">
        <f t="shared" si="6"/>
        <v>0.02</v>
      </c>
      <c r="J23" s="71">
        <f t="shared" si="6"/>
        <v>0</v>
      </c>
      <c r="K23" s="81">
        <v>0.01</v>
      </c>
      <c r="L23" s="80">
        <f t="shared" si="7"/>
        <v>0</v>
      </c>
      <c r="M23" s="80"/>
      <c r="N23" s="80">
        <f t="shared" si="8"/>
        <v>0</v>
      </c>
      <c r="O23" s="80"/>
      <c r="P23" s="80">
        <f t="shared" si="8"/>
        <v>0</v>
      </c>
      <c r="Q23" s="80"/>
      <c r="R23" s="80">
        <f t="shared" si="9"/>
        <v>0</v>
      </c>
      <c r="S23" s="80"/>
      <c r="T23" s="80">
        <f t="shared" si="9"/>
        <v>0</v>
      </c>
      <c r="U23" s="80"/>
      <c r="V23" s="80">
        <f t="shared" si="10"/>
        <v>0</v>
      </c>
      <c r="W23" s="80"/>
      <c r="X23" s="80">
        <f t="shared" si="10"/>
        <v>0</v>
      </c>
      <c r="Y23" s="80"/>
      <c r="Z23" s="80">
        <f t="shared" si="11"/>
        <v>0</v>
      </c>
      <c r="AA23" s="80">
        <v>0.01</v>
      </c>
      <c r="AB23" s="80">
        <f t="shared" si="12"/>
        <v>0</v>
      </c>
      <c r="AC23" s="80"/>
      <c r="AD23" s="80">
        <f t="shared" si="13"/>
        <v>0</v>
      </c>
      <c r="AE23" s="80"/>
      <c r="AF23" s="80">
        <f t="shared" si="14"/>
        <v>0</v>
      </c>
      <c r="AG23" s="74">
        <f t="shared" si="3"/>
        <v>0.02</v>
      </c>
      <c r="AH23" s="209">
        <f t="shared" si="4"/>
        <v>0</v>
      </c>
      <c r="AI23" s="81"/>
      <c r="AJ23" s="80">
        <f t="shared" si="15"/>
        <v>0</v>
      </c>
      <c r="AK23" s="80"/>
      <c r="AL23" s="80">
        <f t="shared" si="16"/>
        <v>0</v>
      </c>
      <c r="AM23" s="80"/>
      <c r="AN23" s="80">
        <f t="shared" si="17"/>
        <v>0</v>
      </c>
      <c r="AO23" s="80"/>
      <c r="AP23" s="80">
        <f t="shared" si="18"/>
        <v>0</v>
      </c>
      <c r="AQ23" s="80"/>
      <c r="AR23" s="80">
        <f t="shared" si="19"/>
        <v>0</v>
      </c>
      <c r="AS23" s="74">
        <f t="shared" si="0"/>
        <v>0</v>
      </c>
      <c r="AT23" s="75">
        <f t="shared" si="0"/>
        <v>0</v>
      </c>
      <c r="AU23" s="81">
        <v>0.5</v>
      </c>
      <c r="AV23" s="80">
        <f>$AV$13/$AU$13*AU23</f>
        <v>0</v>
      </c>
      <c r="AW23" s="74">
        <f t="shared" si="20"/>
        <v>0.5</v>
      </c>
      <c r="AX23" s="76">
        <f t="shared" si="20"/>
        <v>0</v>
      </c>
      <c r="AY23" s="77">
        <f t="shared" si="1"/>
        <v>0.54</v>
      </c>
      <c r="AZ23" s="78">
        <f t="shared" si="2"/>
        <v>0</v>
      </c>
      <c r="BA23" s="2" t="s">
        <v>91</v>
      </c>
      <c r="BB23" s="2">
        <f t="shared" si="21"/>
        <v>0</v>
      </c>
      <c r="BE23"/>
      <c r="BF23"/>
    </row>
    <row r="24" spans="1:58" ht="15" customHeight="1">
      <c r="A24" s="50"/>
      <c r="B24" s="65" t="s">
        <v>114</v>
      </c>
      <c r="C24" s="83">
        <v>11</v>
      </c>
      <c r="D24" s="84" t="s">
        <v>115</v>
      </c>
      <c r="E24" s="85" t="s">
        <v>116</v>
      </c>
      <c r="F24" s="86" t="s">
        <v>98</v>
      </c>
      <c r="G24" s="68">
        <v>0.05</v>
      </c>
      <c r="H24" s="69">
        <f t="shared" si="5"/>
        <v>0</v>
      </c>
      <c r="I24" s="70">
        <f t="shared" si="6"/>
        <v>0.05</v>
      </c>
      <c r="J24" s="71">
        <f t="shared" si="6"/>
        <v>0</v>
      </c>
      <c r="K24" s="81">
        <v>0.01</v>
      </c>
      <c r="L24" s="80">
        <f t="shared" si="7"/>
        <v>0</v>
      </c>
      <c r="M24" s="80"/>
      <c r="N24" s="80">
        <f t="shared" si="8"/>
        <v>0</v>
      </c>
      <c r="O24" s="80"/>
      <c r="P24" s="80">
        <f t="shared" si="8"/>
        <v>0</v>
      </c>
      <c r="Q24" s="80"/>
      <c r="R24" s="80">
        <f t="shared" si="9"/>
        <v>0</v>
      </c>
      <c r="S24" s="80"/>
      <c r="T24" s="80">
        <f t="shared" si="9"/>
        <v>0</v>
      </c>
      <c r="U24" s="80"/>
      <c r="V24" s="80">
        <f t="shared" si="10"/>
        <v>0</v>
      </c>
      <c r="W24" s="80"/>
      <c r="X24" s="80">
        <f t="shared" si="10"/>
        <v>0</v>
      </c>
      <c r="Y24" s="80"/>
      <c r="Z24" s="80">
        <f t="shared" si="11"/>
        <v>0</v>
      </c>
      <c r="AA24" s="80"/>
      <c r="AB24" s="80">
        <f t="shared" si="12"/>
        <v>0</v>
      </c>
      <c r="AC24" s="80"/>
      <c r="AD24" s="80">
        <f t="shared" si="13"/>
        <v>0</v>
      </c>
      <c r="AE24" s="80"/>
      <c r="AF24" s="80">
        <f t="shared" si="14"/>
        <v>0</v>
      </c>
      <c r="AG24" s="74">
        <f t="shared" si="3"/>
        <v>0.01</v>
      </c>
      <c r="AH24" s="209">
        <f t="shared" si="4"/>
        <v>0</v>
      </c>
      <c r="AI24" s="81"/>
      <c r="AJ24" s="80">
        <f t="shared" si="15"/>
        <v>0</v>
      </c>
      <c r="AK24" s="80">
        <v>0.05</v>
      </c>
      <c r="AL24" s="80">
        <f t="shared" si="16"/>
        <v>0</v>
      </c>
      <c r="AM24" s="80">
        <v>0.02</v>
      </c>
      <c r="AN24" s="80">
        <f t="shared" si="17"/>
        <v>0</v>
      </c>
      <c r="AO24" s="80">
        <v>0.03</v>
      </c>
      <c r="AP24" s="80">
        <f t="shared" si="18"/>
        <v>0</v>
      </c>
      <c r="AQ24" s="80">
        <v>0.02</v>
      </c>
      <c r="AR24" s="80">
        <f t="shared" si="19"/>
        <v>0</v>
      </c>
      <c r="AS24" s="74">
        <f t="shared" si="0"/>
        <v>0.12000000000000001</v>
      </c>
      <c r="AT24" s="75">
        <f t="shared" si="0"/>
        <v>0</v>
      </c>
      <c r="AU24" s="81">
        <v>0.5</v>
      </c>
      <c r="AV24" s="80">
        <f>$AV$13/$AU$13*AU24</f>
        <v>0</v>
      </c>
      <c r="AW24" s="74">
        <f t="shared" si="20"/>
        <v>0.5</v>
      </c>
      <c r="AX24" s="76">
        <f t="shared" si="20"/>
        <v>0</v>
      </c>
      <c r="AY24" s="77">
        <f t="shared" si="1"/>
        <v>0.68</v>
      </c>
      <c r="AZ24" s="78">
        <f t="shared" si="2"/>
        <v>0</v>
      </c>
      <c r="BA24" s="2" t="s">
        <v>91</v>
      </c>
      <c r="BB24" s="2">
        <f t="shared" si="21"/>
        <v>0</v>
      </c>
      <c r="BE24"/>
      <c r="BF24"/>
    </row>
    <row r="25" spans="1:58" ht="15" customHeight="1" thickBot="1">
      <c r="A25" s="50"/>
      <c r="B25" s="65"/>
      <c r="C25" s="83">
        <v>12</v>
      </c>
      <c r="D25" s="89" t="s">
        <v>117</v>
      </c>
      <c r="E25" s="90" t="s">
        <v>118</v>
      </c>
      <c r="F25" s="91" t="s">
        <v>113</v>
      </c>
      <c r="G25" s="92">
        <v>0.05</v>
      </c>
      <c r="H25" s="93">
        <f t="shared" si="5"/>
        <v>0</v>
      </c>
      <c r="I25" s="94">
        <f t="shared" si="6"/>
        <v>0.05</v>
      </c>
      <c r="J25" s="95">
        <f t="shared" si="6"/>
        <v>0</v>
      </c>
      <c r="K25" s="96">
        <v>0.01</v>
      </c>
      <c r="L25" s="97">
        <f t="shared" si="7"/>
        <v>0</v>
      </c>
      <c r="M25" s="97"/>
      <c r="N25" s="97">
        <f t="shared" si="8"/>
        <v>0</v>
      </c>
      <c r="O25" s="97"/>
      <c r="P25" s="97">
        <f t="shared" si="8"/>
        <v>0</v>
      </c>
      <c r="Q25" s="97"/>
      <c r="R25" s="97">
        <f t="shared" si="9"/>
        <v>0</v>
      </c>
      <c r="S25" s="97"/>
      <c r="T25" s="97">
        <f t="shared" si="9"/>
        <v>0</v>
      </c>
      <c r="U25" s="97"/>
      <c r="V25" s="97">
        <f t="shared" si="10"/>
        <v>0</v>
      </c>
      <c r="W25" s="97"/>
      <c r="X25" s="97">
        <f t="shared" si="10"/>
        <v>0</v>
      </c>
      <c r="Y25" s="97"/>
      <c r="Z25" s="97">
        <f t="shared" si="11"/>
        <v>0</v>
      </c>
      <c r="AA25" s="97"/>
      <c r="AB25" s="97">
        <f t="shared" si="12"/>
        <v>0</v>
      </c>
      <c r="AC25" s="97"/>
      <c r="AD25" s="97">
        <f t="shared" si="13"/>
        <v>0</v>
      </c>
      <c r="AE25" s="97"/>
      <c r="AF25" s="97">
        <f t="shared" si="14"/>
        <v>0</v>
      </c>
      <c r="AG25" s="98">
        <f t="shared" si="3"/>
        <v>0.01</v>
      </c>
      <c r="AH25" s="210">
        <f t="shared" si="4"/>
        <v>0</v>
      </c>
      <c r="AI25" s="96"/>
      <c r="AJ25" s="97">
        <f t="shared" si="15"/>
        <v>0</v>
      </c>
      <c r="AK25" s="97"/>
      <c r="AL25" s="97">
        <f t="shared" si="16"/>
        <v>0</v>
      </c>
      <c r="AM25" s="97"/>
      <c r="AN25" s="97">
        <f t="shared" si="17"/>
        <v>0</v>
      </c>
      <c r="AO25" s="97"/>
      <c r="AP25" s="97">
        <f t="shared" si="18"/>
        <v>0</v>
      </c>
      <c r="AQ25" s="97"/>
      <c r="AR25" s="97">
        <f t="shared" si="19"/>
        <v>0</v>
      </c>
      <c r="AS25" s="98">
        <f t="shared" si="0"/>
        <v>0</v>
      </c>
      <c r="AT25" s="99">
        <f t="shared" si="0"/>
        <v>0</v>
      </c>
      <c r="AU25" s="96"/>
      <c r="AV25" s="97"/>
      <c r="AW25" s="98">
        <f t="shared" si="20"/>
        <v>0</v>
      </c>
      <c r="AX25" s="100">
        <f t="shared" si="20"/>
        <v>0</v>
      </c>
      <c r="AY25" s="101">
        <f t="shared" si="1"/>
        <v>6.0000000000000005E-2</v>
      </c>
      <c r="AZ25" s="102">
        <f t="shared" si="2"/>
        <v>0</v>
      </c>
      <c r="BA25" s="103" t="s">
        <v>91</v>
      </c>
      <c r="BB25" s="2">
        <f t="shared" si="21"/>
        <v>0</v>
      </c>
      <c r="BE25"/>
      <c r="BF25"/>
    </row>
    <row r="26" spans="1:58" ht="15" customHeight="1" thickTop="1">
      <c r="A26" s="104" t="s">
        <v>119</v>
      </c>
      <c r="B26" s="105" t="s">
        <v>120</v>
      </c>
      <c r="C26" s="106">
        <v>13</v>
      </c>
      <c r="D26" s="107" t="s">
        <v>52</v>
      </c>
      <c r="E26" s="108" t="s">
        <v>53</v>
      </c>
      <c r="F26" s="109" t="s">
        <v>121</v>
      </c>
      <c r="G26" s="204"/>
      <c r="H26" s="110">
        <f t="shared" si="5"/>
        <v>0</v>
      </c>
      <c r="I26" s="111">
        <f t="shared" si="6"/>
        <v>0</v>
      </c>
      <c r="J26" s="112">
        <f t="shared" si="6"/>
        <v>0</v>
      </c>
      <c r="K26" s="113"/>
      <c r="L26" s="114">
        <f t="shared" si="7"/>
        <v>0</v>
      </c>
      <c r="M26" s="114"/>
      <c r="N26" s="114">
        <f t="shared" si="8"/>
        <v>0</v>
      </c>
      <c r="O26" s="114"/>
      <c r="P26" s="114">
        <f t="shared" si="8"/>
        <v>0</v>
      </c>
      <c r="Q26" s="114"/>
      <c r="R26" s="114">
        <f t="shared" si="9"/>
        <v>0</v>
      </c>
      <c r="S26" s="114"/>
      <c r="T26" s="114">
        <f t="shared" si="9"/>
        <v>0</v>
      </c>
      <c r="U26" s="114"/>
      <c r="V26" s="114">
        <f t="shared" si="10"/>
        <v>0</v>
      </c>
      <c r="W26" s="114"/>
      <c r="X26" s="114">
        <f t="shared" si="10"/>
        <v>0</v>
      </c>
      <c r="Y26" s="114"/>
      <c r="Z26" s="114">
        <f t="shared" si="11"/>
        <v>0</v>
      </c>
      <c r="AA26" s="114">
        <v>0.02</v>
      </c>
      <c r="AB26" s="114">
        <f t="shared" si="12"/>
        <v>0</v>
      </c>
      <c r="AC26" s="114"/>
      <c r="AD26" s="114">
        <f t="shared" si="13"/>
        <v>0</v>
      </c>
      <c r="AE26" s="114"/>
      <c r="AF26" s="114">
        <f t="shared" si="14"/>
        <v>0</v>
      </c>
      <c r="AG26" s="115">
        <f t="shared" si="3"/>
        <v>0.02</v>
      </c>
      <c r="AH26" s="211">
        <f t="shared" si="4"/>
        <v>0</v>
      </c>
      <c r="AI26" s="113"/>
      <c r="AJ26" s="114">
        <f t="shared" si="15"/>
        <v>0</v>
      </c>
      <c r="AK26" s="114"/>
      <c r="AL26" s="114">
        <f t="shared" si="16"/>
        <v>0</v>
      </c>
      <c r="AM26" s="114"/>
      <c r="AN26" s="114">
        <f t="shared" si="17"/>
        <v>0</v>
      </c>
      <c r="AO26" s="114"/>
      <c r="AP26" s="114">
        <f t="shared" si="18"/>
        <v>0</v>
      </c>
      <c r="AQ26" s="114"/>
      <c r="AR26" s="114">
        <f t="shared" si="19"/>
        <v>0</v>
      </c>
      <c r="AS26" s="115">
        <f t="shared" si="0"/>
        <v>0</v>
      </c>
      <c r="AT26" s="116">
        <f t="shared" si="0"/>
        <v>0</v>
      </c>
      <c r="AU26" s="113"/>
      <c r="AV26" s="114"/>
      <c r="AW26" s="115">
        <f t="shared" si="20"/>
        <v>0</v>
      </c>
      <c r="AX26" s="117">
        <f t="shared" si="20"/>
        <v>0</v>
      </c>
      <c r="AY26" s="118">
        <f t="shared" si="1"/>
        <v>0.02</v>
      </c>
      <c r="AZ26" s="119">
        <f t="shared" si="2"/>
        <v>0</v>
      </c>
      <c r="BA26" s="120" t="s">
        <v>92</v>
      </c>
      <c r="BB26" s="2">
        <f t="shared" si="21"/>
        <v>0</v>
      </c>
      <c r="BE26"/>
      <c r="BF26"/>
    </row>
    <row r="27" spans="1:58" ht="15" customHeight="1">
      <c r="A27" s="50"/>
      <c r="B27" s="65"/>
      <c r="C27" s="88">
        <v>14</v>
      </c>
      <c r="D27" s="84" t="s">
        <v>54</v>
      </c>
      <c r="E27" s="85" t="s">
        <v>55</v>
      </c>
      <c r="F27" s="86" t="s">
        <v>121</v>
      </c>
      <c r="G27" s="68"/>
      <c r="H27" s="69">
        <f t="shared" si="5"/>
        <v>0</v>
      </c>
      <c r="I27" s="70">
        <f t="shared" si="6"/>
        <v>0</v>
      </c>
      <c r="J27" s="71">
        <f t="shared" si="6"/>
        <v>0</v>
      </c>
      <c r="K27" s="81"/>
      <c r="L27" s="80">
        <f t="shared" si="7"/>
        <v>0</v>
      </c>
      <c r="M27" s="80"/>
      <c r="N27" s="80">
        <f t="shared" si="8"/>
        <v>0</v>
      </c>
      <c r="O27" s="80"/>
      <c r="P27" s="80">
        <f t="shared" si="8"/>
        <v>0</v>
      </c>
      <c r="Q27" s="80"/>
      <c r="R27" s="80">
        <f t="shared" si="9"/>
        <v>0</v>
      </c>
      <c r="S27" s="80"/>
      <c r="T27" s="80">
        <f t="shared" si="9"/>
        <v>0</v>
      </c>
      <c r="U27" s="80"/>
      <c r="V27" s="80">
        <f t="shared" si="10"/>
        <v>0</v>
      </c>
      <c r="W27" s="80"/>
      <c r="X27" s="80">
        <f t="shared" si="10"/>
        <v>0</v>
      </c>
      <c r="Y27" s="80"/>
      <c r="Z27" s="80">
        <f t="shared" si="11"/>
        <v>0</v>
      </c>
      <c r="AA27" s="80">
        <v>0.01</v>
      </c>
      <c r="AB27" s="80">
        <f t="shared" si="12"/>
        <v>0</v>
      </c>
      <c r="AC27" s="80"/>
      <c r="AD27" s="80">
        <f t="shared" si="13"/>
        <v>0</v>
      </c>
      <c r="AE27" s="80"/>
      <c r="AF27" s="80">
        <f t="shared" si="14"/>
        <v>0</v>
      </c>
      <c r="AG27" s="74">
        <f t="shared" si="3"/>
        <v>0.01</v>
      </c>
      <c r="AH27" s="209">
        <f t="shared" si="4"/>
        <v>0</v>
      </c>
      <c r="AI27" s="81"/>
      <c r="AJ27" s="80">
        <f t="shared" si="15"/>
        <v>0</v>
      </c>
      <c r="AK27" s="80"/>
      <c r="AL27" s="80">
        <f t="shared" si="16"/>
        <v>0</v>
      </c>
      <c r="AM27" s="80"/>
      <c r="AN27" s="80">
        <f t="shared" si="17"/>
        <v>0</v>
      </c>
      <c r="AO27" s="80"/>
      <c r="AP27" s="80">
        <f t="shared" si="18"/>
        <v>0</v>
      </c>
      <c r="AQ27" s="80"/>
      <c r="AR27" s="80">
        <f t="shared" si="19"/>
        <v>0</v>
      </c>
      <c r="AS27" s="74">
        <f t="shared" si="0"/>
        <v>0</v>
      </c>
      <c r="AT27" s="75">
        <f t="shared" si="0"/>
        <v>0</v>
      </c>
      <c r="AU27" s="81"/>
      <c r="AV27" s="80"/>
      <c r="AW27" s="74">
        <f t="shared" si="20"/>
        <v>0</v>
      </c>
      <c r="AX27" s="76">
        <f t="shared" si="20"/>
        <v>0</v>
      </c>
      <c r="AY27" s="77">
        <f t="shared" si="1"/>
        <v>0.01</v>
      </c>
      <c r="AZ27" s="78">
        <f t="shared" si="2"/>
        <v>0</v>
      </c>
      <c r="BA27" s="2" t="s">
        <v>122</v>
      </c>
      <c r="BB27" s="2">
        <f t="shared" si="21"/>
        <v>0</v>
      </c>
      <c r="BE27"/>
      <c r="BF27"/>
    </row>
    <row r="28" spans="1:58" ht="15" customHeight="1">
      <c r="A28" s="50"/>
      <c r="B28" s="65"/>
      <c r="C28" s="83">
        <v>15</v>
      </c>
      <c r="D28" s="84" t="s">
        <v>56</v>
      </c>
      <c r="E28" s="85" t="s">
        <v>57</v>
      </c>
      <c r="F28" s="86" t="s">
        <v>98</v>
      </c>
      <c r="G28" s="68"/>
      <c r="H28" s="69">
        <f t="shared" si="5"/>
        <v>0</v>
      </c>
      <c r="I28" s="70">
        <f t="shared" si="6"/>
        <v>0</v>
      </c>
      <c r="J28" s="71">
        <f t="shared" si="6"/>
        <v>0</v>
      </c>
      <c r="K28" s="81"/>
      <c r="L28" s="80">
        <f t="shared" si="7"/>
        <v>0</v>
      </c>
      <c r="M28" s="80"/>
      <c r="N28" s="80">
        <f t="shared" si="8"/>
        <v>0</v>
      </c>
      <c r="O28" s="80"/>
      <c r="P28" s="80">
        <f t="shared" si="8"/>
        <v>0</v>
      </c>
      <c r="Q28" s="80"/>
      <c r="R28" s="80">
        <f t="shared" si="9"/>
        <v>0</v>
      </c>
      <c r="S28" s="80"/>
      <c r="T28" s="80">
        <f t="shared" si="9"/>
        <v>0</v>
      </c>
      <c r="U28" s="80"/>
      <c r="V28" s="80">
        <f t="shared" si="10"/>
        <v>0</v>
      </c>
      <c r="W28" s="80"/>
      <c r="X28" s="80">
        <f t="shared" si="10"/>
        <v>0</v>
      </c>
      <c r="Y28" s="80"/>
      <c r="Z28" s="80">
        <f t="shared" si="11"/>
        <v>0</v>
      </c>
      <c r="AA28" s="80">
        <v>0.01</v>
      </c>
      <c r="AB28" s="80">
        <f t="shared" si="12"/>
        <v>0</v>
      </c>
      <c r="AC28" s="80"/>
      <c r="AD28" s="80">
        <f t="shared" si="13"/>
        <v>0</v>
      </c>
      <c r="AE28" s="80"/>
      <c r="AF28" s="80">
        <f t="shared" si="14"/>
        <v>0</v>
      </c>
      <c r="AG28" s="74">
        <f t="shared" si="3"/>
        <v>0.01</v>
      </c>
      <c r="AH28" s="209">
        <f t="shared" si="4"/>
        <v>0</v>
      </c>
      <c r="AI28" s="81"/>
      <c r="AJ28" s="80">
        <f t="shared" si="15"/>
        <v>0</v>
      </c>
      <c r="AK28" s="80"/>
      <c r="AL28" s="80">
        <f t="shared" si="16"/>
        <v>0</v>
      </c>
      <c r="AM28" s="80"/>
      <c r="AN28" s="80">
        <f t="shared" si="17"/>
        <v>0</v>
      </c>
      <c r="AO28" s="80"/>
      <c r="AP28" s="80">
        <f t="shared" si="18"/>
        <v>0</v>
      </c>
      <c r="AQ28" s="80"/>
      <c r="AR28" s="80">
        <f t="shared" si="19"/>
        <v>0</v>
      </c>
      <c r="AS28" s="74">
        <f t="shared" si="0"/>
        <v>0</v>
      </c>
      <c r="AT28" s="75">
        <f t="shared" si="0"/>
        <v>0</v>
      </c>
      <c r="AU28" s="81"/>
      <c r="AV28" s="80"/>
      <c r="AW28" s="74">
        <f t="shared" si="20"/>
        <v>0</v>
      </c>
      <c r="AX28" s="76">
        <f t="shared" si="20"/>
        <v>0</v>
      </c>
      <c r="AY28" s="77">
        <f t="shared" si="1"/>
        <v>0.01</v>
      </c>
      <c r="AZ28" s="78">
        <f t="shared" si="2"/>
        <v>0</v>
      </c>
      <c r="BA28" s="2" t="s">
        <v>122</v>
      </c>
      <c r="BB28" s="2">
        <f t="shared" si="21"/>
        <v>0</v>
      </c>
      <c r="BE28"/>
      <c r="BF28"/>
    </row>
    <row r="29" spans="1:58" ht="15" customHeight="1">
      <c r="A29" s="50"/>
      <c r="B29" s="65"/>
      <c r="C29" s="88">
        <v>16</v>
      </c>
      <c r="D29" s="84" t="s">
        <v>123</v>
      </c>
      <c r="E29" s="85" t="s">
        <v>124</v>
      </c>
      <c r="F29" s="86" t="s">
        <v>121</v>
      </c>
      <c r="G29" s="68"/>
      <c r="H29" s="69">
        <f t="shared" si="5"/>
        <v>0</v>
      </c>
      <c r="I29" s="70">
        <f t="shared" si="6"/>
        <v>0</v>
      </c>
      <c r="J29" s="71">
        <f t="shared" si="6"/>
        <v>0</v>
      </c>
      <c r="K29" s="81"/>
      <c r="L29" s="80">
        <f t="shared" si="7"/>
        <v>0</v>
      </c>
      <c r="M29" s="80"/>
      <c r="N29" s="80">
        <f t="shared" si="8"/>
        <v>0</v>
      </c>
      <c r="O29" s="80"/>
      <c r="P29" s="80">
        <f t="shared" si="8"/>
        <v>0</v>
      </c>
      <c r="Q29" s="80"/>
      <c r="R29" s="80">
        <f t="shared" si="9"/>
        <v>0</v>
      </c>
      <c r="S29" s="80"/>
      <c r="T29" s="80">
        <f t="shared" si="9"/>
        <v>0</v>
      </c>
      <c r="U29" s="80"/>
      <c r="V29" s="80">
        <f t="shared" si="10"/>
        <v>0</v>
      </c>
      <c r="W29" s="80"/>
      <c r="X29" s="80">
        <f t="shared" si="10"/>
        <v>0</v>
      </c>
      <c r="Y29" s="80"/>
      <c r="Z29" s="80">
        <f t="shared" si="11"/>
        <v>0</v>
      </c>
      <c r="AA29" s="80">
        <v>0.02</v>
      </c>
      <c r="AB29" s="80">
        <f t="shared" si="12"/>
        <v>0</v>
      </c>
      <c r="AC29" s="80"/>
      <c r="AD29" s="80">
        <f t="shared" si="13"/>
        <v>0</v>
      </c>
      <c r="AE29" s="80"/>
      <c r="AF29" s="80">
        <f t="shared" si="14"/>
        <v>0</v>
      </c>
      <c r="AG29" s="74">
        <f t="shared" si="3"/>
        <v>0.02</v>
      </c>
      <c r="AH29" s="209">
        <f t="shared" si="4"/>
        <v>0</v>
      </c>
      <c r="AI29" s="81"/>
      <c r="AJ29" s="80">
        <f t="shared" si="15"/>
        <v>0</v>
      </c>
      <c r="AK29" s="80"/>
      <c r="AL29" s="80">
        <f t="shared" si="16"/>
        <v>0</v>
      </c>
      <c r="AM29" s="80"/>
      <c r="AN29" s="80">
        <f t="shared" si="17"/>
        <v>0</v>
      </c>
      <c r="AO29" s="80"/>
      <c r="AP29" s="80">
        <f t="shared" si="18"/>
        <v>0</v>
      </c>
      <c r="AQ29" s="80"/>
      <c r="AR29" s="80">
        <f t="shared" si="19"/>
        <v>0</v>
      </c>
      <c r="AS29" s="74">
        <f t="shared" si="0"/>
        <v>0</v>
      </c>
      <c r="AT29" s="75">
        <f t="shared" si="0"/>
        <v>0</v>
      </c>
      <c r="AU29" s="81"/>
      <c r="AV29" s="80"/>
      <c r="AW29" s="74">
        <f t="shared" si="20"/>
        <v>0</v>
      </c>
      <c r="AX29" s="76">
        <f t="shared" si="20"/>
        <v>0</v>
      </c>
      <c r="AY29" s="77">
        <f t="shared" si="1"/>
        <v>0.02</v>
      </c>
      <c r="AZ29" s="78">
        <f t="shared" si="2"/>
        <v>0</v>
      </c>
      <c r="BA29" s="2" t="s">
        <v>91</v>
      </c>
      <c r="BB29" s="2">
        <f t="shared" si="21"/>
        <v>0</v>
      </c>
      <c r="BE29"/>
      <c r="BF29"/>
    </row>
    <row r="30" spans="1:58" ht="15" customHeight="1" thickBot="1">
      <c r="A30" s="121"/>
      <c r="B30" s="122"/>
      <c r="C30" s="123">
        <v>17</v>
      </c>
      <c r="D30" s="124" t="s">
        <v>58</v>
      </c>
      <c r="E30" s="125" t="s">
        <v>59</v>
      </c>
      <c r="F30" s="126" t="s">
        <v>121</v>
      </c>
      <c r="G30" s="205"/>
      <c r="H30" s="127">
        <f t="shared" si="5"/>
        <v>0</v>
      </c>
      <c r="I30" s="128">
        <f t="shared" si="6"/>
        <v>0</v>
      </c>
      <c r="J30" s="129">
        <f t="shared" si="6"/>
        <v>0</v>
      </c>
      <c r="K30" s="130"/>
      <c r="L30" s="131">
        <f t="shared" si="7"/>
        <v>0</v>
      </c>
      <c r="M30" s="131"/>
      <c r="N30" s="131">
        <f t="shared" si="8"/>
        <v>0</v>
      </c>
      <c r="O30" s="131"/>
      <c r="P30" s="131">
        <f t="shared" si="8"/>
        <v>0</v>
      </c>
      <c r="Q30" s="131"/>
      <c r="R30" s="131">
        <f t="shared" si="9"/>
        <v>0</v>
      </c>
      <c r="S30" s="131"/>
      <c r="T30" s="131">
        <f t="shared" si="9"/>
        <v>0</v>
      </c>
      <c r="U30" s="131"/>
      <c r="V30" s="131">
        <f t="shared" si="10"/>
        <v>0</v>
      </c>
      <c r="W30" s="131"/>
      <c r="X30" s="131">
        <f t="shared" si="10"/>
        <v>0</v>
      </c>
      <c r="Y30" s="131"/>
      <c r="Z30" s="131">
        <f t="shared" si="11"/>
        <v>0</v>
      </c>
      <c r="AA30" s="131">
        <v>0.01</v>
      </c>
      <c r="AB30" s="131">
        <f t="shared" si="12"/>
        <v>0</v>
      </c>
      <c r="AC30" s="131"/>
      <c r="AD30" s="131">
        <f t="shared" si="13"/>
        <v>0</v>
      </c>
      <c r="AE30" s="131"/>
      <c r="AF30" s="131">
        <f t="shared" si="14"/>
        <v>0</v>
      </c>
      <c r="AG30" s="132">
        <f t="shared" si="3"/>
        <v>0.01</v>
      </c>
      <c r="AH30" s="212">
        <f t="shared" si="4"/>
        <v>0</v>
      </c>
      <c r="AI30" s="130"/>
      <c r="AJ30" s="131">
        <f t="shared" si="15"/>
        <v>0</v>
      </c>
      <c r="AK30" s="131"/>
      <c r="AL30" s="131">
        <f t="shared" si="16"/>
        <v>0</v>
      </c>
      <c r="AM30" s="131"/>
      <c r="AN30" s="131">
        <f t="shared" si="17"/>
        <v>0</v>
      </c>
      <c r="AO30" s="131"/>
      <c r="AP30" s="131">
        <f t="shared" si="18"/>
        <v>0</v>
      </c>
      <c r="AQ30" s="131"/>
      <c r="AR30" s="131">
        <f t="shared" si="19"/>
        <v>0</v>
      </c>
      <c r="AS30" s="132">
        <f t="shared" si="0"/>
        <v>0</v>
      </c>
      <c r="AT30" s="133">
        <f t="shared" si="0"/>
        <v>0</v>
      </c>
      <c r="AU30" s="130"/>
      <c r="AV30" s="131"/>
      <c r="AW30" s="132">
        <f t="shared" si="20"/>
        <v>0</v>
      </c>
      <c r="AX30" s="134">
        <f t="shared" si="20"/>
        <v>0</v>
      </c>
      <c r="AY30" s="135">
        <f t="shared" si="1"/>
        <v>0.01</v>
      </c>
      <c r="AZ30" s="136">
        <f t="shared" si="2"/>
        <v>0</v>
      </c>
      <c r="BA30" s="137" t="s">
        <v>122</v>
      </c>
      <c r="BB30" s="2">
        <f t="shared" si="21"/>
        <v>0</v>
      </c>
      <c r="BE30"/>
      <c r="BF30"/>
    </row>
    <row r="31" spans="1:58" ht="15" customHeight="1" thickTop="1">
      <c r="A31" s="50" t="s">
        <v>125</v>
      </c>
      <c r="B31" s="65" t="s">
        <v>126</v>
      </c>
      <c r="C31" s="88">
        <v>18</v>
      </c>
      <c r="D31" s="84" t="s">
        <v>127</v>
      </c>
      <c r="E31" s="85" t="s">
        <v>128</v>
      </c>
      <c r="F31" s="86" t="s">
        <v>101</v>
      </c>
      <c r="G31" s="203">
        <v>0.02</v>
      </c>
      <c r="H31" s="55">
        <f t="shared" si="5"/>
        <v>0</v>
      </c>
      <c r="I31" s="56">
        <f t="shared" si="6"/>
        <v>0.02</v>
      </c>
      <c r="J31" s="57">
        <f t="shared" si="6"/>
        <v>0</v>
      </c>
      <c r="K31" s="138">
        <v>0.05</v>
      </c>
      <c r="L31" s="139">
        <f t="shared" si="7"/>
        <v>0</v>
      </c>
      <c r="M31" s="139"/>
      <c r="N31" s="139">
        <f t="shared" ref="N31:P46" si="22">N$13/M$13*M31</f>
        <v>0</v>
      </c>
      <c r="O31" s="139"/>
      <c r="P31" s="139">
        <f t="shared" si="22"/>
        <v>0</v>
      </c>
      <c r="Q31" s="139"/>
      <c r="R31" s="139">
        <f t="shared" ref="R31:T46" si="23">R$13/Q$13*Q31</f>
        <v>0</v>
      </c>
      <c r="S31" s="139"/>
      <c r="T31" s="139">
        <f t="shared" si="23"/>
        <v>0</v>
      </c>
      <c r="U31" s="139"/>
      <c r="V31" s="139">
        <f t="shared" ref="V31:X46" si="24">V$13/U$13*U31</f>
        <v>0</v>
      </c>
      <c r="W31" s="139"/>
      <c r="X31" s="139">
        <f t="shared" si="24"/>
        <v>0</v>
      </c>
      <c r="Y31" s="139"/>
      <c r="Z31" s="139">
        <f t="shared" si="11"/>
        <v>0</v>
      </c>
      <c r="AA31" s="139"/>
      <c r="AB31" s="139">
        <f t="shared" si="12"/>
        <v>0</v>
      </c>
      <c r="AC31" s="139"/>
      <c r="AD31" s="139">
        <f t="shared" si="13"/>
        <v>0</v>
      </c>
      <c r="AE31" s="139"/>
      <c r="AF31" s="139">
        <f t="shared" si="14"/>
        <v>0</v>
      </c>
      <c r="AG31" s="60">
        <f t="shared" si="3"/>
        <v>0.05</v>
      </c>
      <c r="AH31" s="208">
        <f t="shared" si="4"/>
        <v>0</v>
      </c>
      <c r="AI31" s="138"/>
      <c r="AJ31" s="139">
        <f t="shared" si="15"/>
        <v>0</v>
      </c>
      <c r="AK31" s="139"/>
      <c r="AL31" s="139">
        <f t="shared" si="16"/>
        <v>0</v>
      </c>
      <c r="AM31" s="139"/>
      <c r="AN31" s="139">
        <f t="shared" si="17"/>
        <v>0</v>
      </c>
      <c r="AO31" s="139"/>
      <c r="AP31" s="139">
        <f t="shared" si="18"/>
        <v>0</v>
      </c>
      <c r="AQ31" s="139"/>
      <c r="AR31" s="139">
        <f t="shared" si="19"/>
        <v>0</v>
      </c>
      <c r="AS31" s="60">
        <f t="shared" si="0"/>
        <v>0</v>
      </c>
      <c r="AT31" s="61">
        <f t="shared" si="0"/>
        <v>0</v>
      </c>
      <c r="AU31" s="138"/>
      <c r="AV31" s="139"/>
      <c r="AW31" s="60">
        <f t="shared" si="20"/>
        <v>0</v>
      </c>
      <c r="AX31" s="62">
        <f t="shared" si="20"/>
        <v>0</v>
      </c>
      <c r="AY31" s="63">
        <f t="shared" si="1"/>
        <v>7.0000000000000007E-2</v>
      </c>
      <c r="AZ31" s="64">
        <f t="shared" si="2"/>
        <v>0</v>
      </c>
      <c r="BA31" s="140" t="s">
        <v>91</v>
      </c>
      <c r="BB31" s="2">
        <f t="shared" si="21"/>
        <v>0</v>
      </c>
      <c r="BE31"/>
      <c r="BF31"/>
    </row>
    <row r="32" spans="1:58" ht="15" customHeight="1">
      <c r="A32" s="50"/>
      <c r="B32" s="65"/>
      <c r="C32" s="88">
        <v>19</v>
      </c>
      <c r="D32" s="141" t="s">
        <v>129</v>
      </c>
      <c r="E32" s="142" t="s">
        <v>130</v>
      </c>
      <c r="F32" s="143" t="s">
        <v>131</v>
      </c>
      <c r="G32" s="68"/>
      <c r="H32" s="69">
        <f t="shared" si="5"/>
        <v>0</v>
      </c>
      <c r="I32" s="70">
        <f t="shared" si="6"/>
        <v>0</v>
      </c>
      <c r="J32" s="71">
        <f t="shared" si="6"/>
        <v>0</v>
      </c>
      <c r="K32" s="81">
        <v>0.01</v>
      </c>
      <c r="L32" s="80">
        <f t="shared" si="7"/>
        <v>0</v>
      </c>
      <c r="M32" s="80">
        <v>0.01</v>
      </c>
      <c r="N32" s="80">
        <f t="shared" si="22"/>
        <v>0</v>
      </c>
      <c r="O32" s="80">
        <v>0.01</v>
      </c>
      <c r="P32" s="80">
        <f t="shared" si="22"/>
        <v>0</v>
      </c>
      <c r="Q32" s="80">
        <v>0.01</v>
      </c>
      <c r="R32" s="80">
        <f t="shared" si="23"/>
        <v>0</v>
      </c>
      <c r="S32" s="80">
        <v>0.01</v>
      </c>
      <c r="T32" s="80">
        <f t="shared" si="23"/>
        <v>0</v>
      </c>
      <c r="U32" s="80">
        <v>0.01</v>
      </c>
      <c r="V32" s="80">
        <f t="shared" si="24"/>
        <v>0</v>
      </c>
      <c r="W32" s="80">
        <v>0.01</v>
      </c>
      <c r="X32" s="80">
        <f t="shared" si="24"/>
        <v>0</v>
      </c>
      <c r="Y32" s="80">
        <v>0.01</v>
      </c>
      <c r="Z32" s="80">
        <f t="shared" si="11"/>
        <v>0</v>
      </c>
      <c r="AA32" s="80"/>
      <c r="AB32" s="80">
        <f t="shared" si="12"/>
        <v>0</v>
      </c>
      <c r="AC32" s="80"/>
      <c r="AD32" s="80">
        <f t="shared" si="13"/>
        <v>0</v>
      </c>
      <c r="AE32" s="80"/>
      <c r="AF32" s="80">
        <f t="shared" si="14"/>
        <v>0</v>
      </c>
      <c r="AG32" s="74">
        <f t="shared" si="3"/>
        <v>0.08</v>
      </c>
      <c r="AH32" s="209">
        <f t="shared" si="4"/>
        <v>0</v>
      </c>
      <c r="AI32" s="81"/>
      <c r="AJ32" s="80">
        <f t="shared" si="15"/>
        <v>0</v>
      </c>
      <c r="AK32" s="80"/>
      <c r="AL32" s="80">
        <f t="shared" si="16"/>
        <v>0</v>
      </c>
      <c r="AM32" s="80"/>
      <c r="AN32" s="80">
        <f t="shared" si="17"/>
        <v>0</v>
      </c>
      <c r="AO32" s="80"/>
      <c r="AP32" s="80">
        <f t="shared" si="18"/>
        <v>0</v>
      </c>
      <c r="AQ32" s="80"/>
      <c r="AR32" s="80">
        <f t="shared" si="19"/>
        <v>0</v>
      </c>
      <c r="AS32" s="74">
        <f t="shared" si="0"/>
        <v>0</v>
      </c>
      <c r="AT32" s="75">
        <f t="shared" si="0"/>
        <v>0</v>
      </c>
      <c r="AU32" s="81"/>
      <c r="AV32" s="80"/>
      <c r="AW32" s="74">
        <f t="shared" si="20"/>
        <v>0</v>
      </c>
      <c r="AX32" s="76">
        <f t="shared" si="20"/>
        <v>0</v>
      </c>
      <c r="AY32" s="77">
        <f t="shared" si="1"/>
        <v>0.08</v>
      </c>
      <c r="AZ32" s="78">
        <f t="shared" si="2"/>
        <v>0</v>
      </c>
      <c r="BA32" s="2" t="s">
        <v>91</v>
      </c>
      <c r="BB32" s="2">
        <f t="shared" si="21"/>
        <v>0</v>
      </c>
      <c r="BE32"/>
      <c r="BF32"/>
    </row>
    <row r="33" spans="1:58" ht="15" customHeight="1">
      <c r="A33" s="50"/>
      <c r="B33" s="65"/>
      <c r="C33" s="88">
        <v>20</v>
      </c>
      <c r="D33" s="141" t="s">
        <v>132</v>
      </c>
      <c r="E33" s="142" t="s">
        <v>133</v>
      </c>
      <c r="F33" s="143" t="s">
        <v>101</v>
      </c>
      <c r="G33" s="68">
        <v>0.02</v>
      </c>
      <c r="H33" s="69">
        <f t="shared" si="5"/>
        <v>0</v>
      </c>
      <c r="I33" s="70">
        <f t="shared" si="6"/>
        <v>0.02</v>
      </c>
      <c r="J33" s="71">
        <f t="shared" si="6"/>
        <v>0</v>
      </c>
      <c r="K33" s="81">
        <v>0.04</v>
      </c>
      <c r="L33" s="80">
        <f t="shared" si="7"/>
        <v>0</v>
      </c>
      <c r="M33" s="80"/>
      <c r="N33" s="80">
        <f t="shared" si="22"/>
        <v>0</v>
      </c>
      <c r="O33" s="80"/>
      <c r="P33" s="80">
        <f t="shared" si="22"/>
        <v>0</v>
      </c>
      <c r="Q33" s="80"/>
      <c r="R33" s="80">
        <f t="shared" si="23"/>
        <v>0</v>
      </c>
      <c r="S33" s="80"/>
      <c r="T33" s="80">
        <f t="shared" si="23"/>
        <v>0</v>
      </c>
      <c r="U33" s="80"/>
      <c r="V33" s="80">
        <f t="shared" si="24"/>
        <v>0</v>
      </c>
      <c r="W33" s="80"/>
      <c r="X33" s="80">
        <f t="shared" si="24"/>
        <v>0</v>
      </c>
      <c r="Y33" s="80"/>
      <c r="Z33" s="80">
        <f t="shared" si="11"/>
        <v>0</v>
      </c>
      <c r="AA33" s="80"/>
      <c r="AB33" s="80">
        <f t="shared" si="12"/>
        <v>0</v>
      </c>
      <c r="AC33" s="80"/>
      <c r="AD33" s="80">
        <f t="shared" si="13"/>
        <v>0</v>
      </c>
      <c r="AE33" s="80"/>
      <c r="AF33" s="80">
        <f t="shared" si="14"/>
        <v>0</v>
      </c>
      <c r="AG33" s="74">
        <f t="shared" si="3"/>
        <v>0.04</v>
      </c>
      <c r="AH33" s="209">
        <f t="shared" si="4"/>
        <v>0</v>
      </c>
      <c r="AI33" s="81"/>
      <c r="AJ33" s="80">
        <f t="shared" si="15"/>
        <v>0</v>
      </c>
      <c r="AK33" s="80"/>
      <c r="AL33" s="80">
        <f t="shared" si="16"/>
        <v>0</v>
      </c>
      <c r="AM33" s="80"/>
      <c r="AN33" s="80">
        <f t="shared" si="17"/>
        <v>0</v>
      </c>
      <c r="AO33" s="80"/>
      <c r="AP33" s="80">
        <f t="shared" si="18"/>
        <v>0</v>
      </c>
      <c r="AQ33" s="80"/>
      <c r="AR33" s="80">
        <f t="shared" si="19"/>
        <v>0</v>
      </c>
      <c r="AS33" s="74">
        <f t="shared" si="0"/>
        <v>0</v>
      </c>
      <c r="AT33" s="75">
        <f t="shared" si="0"/>
        <v>0</v>
      </c>
      <c r="AU33" s="81"/>
      <c r="AV33" s="80"/>
      <c r="AW33" s="74">
        <f t="shared" si="20"/>
        <v>0</v>
      </c>
      <c r="AX33" s="76">
        <f t="shared" si="20"/>
        <v>0</v>
      </c>
      <c r="AY33" s="77">
        <f t="shared" si="1"/>
        <v>0.06</v>
      </c>
      <c r="AZ33" s="78">
        <f t="shared" si="2"/>
        <v>0</v>
      </c>
      <c r="BA33" s="2" t="s">
        <v>91</v>
      </c>
      <c r="BB33" s="2">
        <f t="shared" si="21"/>
        <v>0</v>
      </c>
      <c r="BE33"/>
      <c r="BF33"/>
    </row>
    <row r="34" spans="1:58" ht="15" customHeight="1">
      <c r="A34" s="50"/>
      <c r="B34" s="65"/>
      <c r="C34" s="83">
        <v>21</v>
      </c>
      <c r="D34" s="141" t="s">
        <v>134</v>
      </c>
      <c r="E34" s="142" t="s">
        <v>135</v>
      </c>
      <c r="F34" s="143" t="s">
        <v>131</v>
      </c>
      <c r="G34" s="68"/>
      <c r="H34" s="69">
        <f t="shared" si="5"/>
        <v>0</v>
      </c>
      <c r="I34" s="70">
        <f t="shared" si="6"/>
        <v>0</v>
      </c>
      <c r="J34" s="71">
        <f t="shared" si="6"/>
        <v>0</v>
      </c>
      <c r="K34" s="81">
        <v>0.05</v>
      </c>
      <c r="L34" s="80">
        <f t="shared" si="7"/>
        <v>0</v>
      </c>
      <c r="M34" s="80">
        <v>0.02</v>
      </c>
      <c r="N34" s="80">
        <f t="shared" si="22"/>
        <v>0</v>
      </c>
      <c r="O34" s="80">
        <v>0.02</v>
      </c>
      <c r="P34" s="80">
        <f t="shared" si="22"/>
        <v>0</v>
      </c>
      <c r="Q34" s="80">
        <v>0.02</v>
      </c>
      <c r="R34" s="80">
        <f t="shared" si="23"/>
        <v>0</v>
      </c>
      <c r="S34" s="80">
        <v>0.02</v>
      </c>
      <c r="T34" s="80">
        <f t="shared" si="23"/>
        <v>0</v>
      </c>
      <c r="U34" s="80">
        <v>0.05</v>
      </c>
      <c r="V34" s="80">
        <f t="shared" si="24"/>
        <v>0</v>
      </c>
      <c r="W34" s="80">
        <v>0.01</v>
      </c>
      <c r="X34" s="80">
        <f t="shared" si="24"/>
        <v>0</v>
      </c>
      <c r="Y34" s="80">
        <v>0.02</v>
      </c>
      <c r="Z34" s="80">
        <f t="shared" si="11"/>
        <v>0</v>
      </c>
      <c r="AA34" s="80"/>
      <c r="AB34" s="80">
        <f t="shared" si="12"/>
        <v>0</v>
      </c>
      <c r="AC34" s="80"/>
      <c r="AD34" s="80">
        <f t="shared" si="13"/>
        <v>0</v>
      </c>
      <c r="AE34" s="80"/>
      <c r="AF34" s="80">
        <f t="shared" si="14"/>
        <v>0</v>
      </c>
      <c r="AG34" s="74">
        <f t="shared" si="3"/>
        <v>0.21</v>
      </c>
      <c r="AH34" s="209">
        <f t="shared" si="4"/>
        <v>0</v>
      </c>
      <c r="AI34" s="81"/>
      <c r="AJ34" s="80">
        <f t="shared" si="15"/>
        <v>0</v>
      </c>
      <c r="AK34" s="80"/>
      <c r="AL34" s="80">
        <f t="shared" si="16"/>
        <v>0</v>
      </c>
      <c r="AM34" s="80"/>
      <c r="AN34" s="80">
        <f t="shared" si="17"/>
        <v>0</v>
      </c>
      <c r="AO34" s="80"/>
      <c r="AP34" s="80">
        <f t="shared" si="18"/>
        <v>0</v>
      </c>
      <c r="AQ34" s="80"/>
      <c r="AR34" s="80">
        <f t="shared" si="19"/>
        <v>0</v>
      </c>
      <c r="AS34" s="74">
        <f t="shared" si="0"/>
        <v>0</v>
      </c>
      <c r="AT34" s="75">
        <f t="shared" si="0"/>
        <v>0</v>
      </c>
      <c r="AU34" s="81"/>
      <c r="AV34" s="80"/>
      <c r="AW34" s="74">
        <f t="shared" si="20"/>
        <v>0</v>
      </c>
      <c r="AX34" s="76">
        <f t="shared" si="20"/>
        <v>0</v>
      </c>
      <c r="AY34" s="77">
        <f t="shared" si="1"/>
        <v>0.21</v>
      </c>
      <c r="AZ34" s="78">
        <f t="shared" si="2"/>
        <v>0</v>
      </c>
      <c r="BA34" s="2" t="s">
        <v>91</v>
      </c>
      <c r="BB34" s="2">
        <f t="shared" si="21"/>
        <v>0</v>
      </c>
      <c r="BE34"/>
      <c r="BF34"/>
    </row>
    <row r="35" spans="1:58" ht="15" customHeight="1">
      <c r="A35" s="50"/>
      <c r="B35" s="65"/>
      <c r="C35" s="144">
        <v>22</v>
      </c>
      <c r="D35" s="141" t="s">
        <v>136</v>
      </c>
      <c r="E35" s="142" t="s">
        <v>137</v>
      </c>
      <c r="F35" s="143" t="s">
        <v>101</v>
      </c>
      <c r="G35" s="68">
        <v>0.02</v>
      </c>
      <c r="H35" s="69">
        <f t="shared" si="5"/>
        <v>0</v>
      </c>
      <c r="I35" s="70">
        <f t="shared" si="6"/>
        <v>0.02</v>
      </c>
      <c r="J35" s="71">
        <f t="shared" si="6"/>
        <v>0</v>
      </c>
      <c r="K35" s="81">
        <v>0.01</v>
      </c>
      <c r="L35" s="80">
        <f t="shared" si="7"/>
        <v>0</v>
      </c>
      <c r="M35" s="80"/>
      <c r="N35" s="80">
        <f t="shared" si="22"/>
        <v>0</v>
      </c>
      <c r="O35" s="80"/>
      <c r="P35" s="80">
        <f t="shared" si="22"/>
        <v>0</v>
      </c>
      <c r="Q35" s="80">
        <v>0.01</v>
      </c>
      <c r="R35" s="80">
        <f t="shared" si="23"/>
        <v>0</v>
      </c>
      <c r="S35" s="80"/>
      <c r="T35" s="80">
        <f t="shared" si="23"/>
        <v>0</v>
      </c>
      <c r="U35" s="80"/>
      <c r="V35" s="80">
        <f t="shared" si="24"/>
        <v>0</v>
      </c>
      <c r="W35" s="80"/>
      <c r="X35" s="80">
        <f t="shared" si="24"/>
        <v>0</v>
      </c>
      <c r="Y35" s="80"/>
      <c r="Z35" s="80">
        <f t="shared" si="11"/>
        <v>0</v>
      </c>
      <c r="AA35" s="80">
        <v>0.01</v>
      </c>
      <c r="AB35" s="80">
        <f t="shared" si="12"/>
        <v>0</v>
      </c>
      <c r="AC35" s="80"/>
      <c r="AD35" s="80">
        <f t="shared" si="13"/>
        <v>0</v>
      </c>
      <c r="AE35" s="80"/>
      <c r="AF35" s="80">
        <f t="shared" si="14"/>
        <v>0</v>
      </c>
      <c r="AG35" s="74">
        <f t="shared" si="3"/>
        <v>0.03</v>
      </c>
      <c r="AH35" s="209">
        <f t="shared" si="4"/>
        <v>0</v>
      </c>
      <c r="AI35" s="81"/>
      <c r="AJ35" s="80">
        <f t="shared" si="15"/>
        <v>0</v>
      </c>
      <c r="AK35" s="80">
        <v>0.01</v>
      </c>
      <c r="AL35" s="80">
        <f t="shared" si="16"/>
        <v>0</v>
      </c>
      <c r="AM35" s="80">
        <v>0.01</v>
      </c>
      <c r="AN35" s="80">
        <f t="shared" si="17"/>
        <v>0</v>
      </c>
      <c r="AO35" s="80"/>
      <c r="AP35" s="80">
        <f t="shared" si="18"/>
        <v>0</v>
      </c>
      <c r="AQ35" s="80"/>
      <c r="AR35" s="80">
        <f t="shared" si="19"/>
        <v>0</v>
      </c>
      <c r="AS35" s="74">
        <f t="shared" si="0"/>
        <v>0.02</v>
      </c>
      <c r="AT35" s="75">
        <f t="shared" si="0"/>
        <v>0</v>
      </c>
      <c r="AU35" s="81"/>
      <c r="AV35" s="80"/>
      <c r="AW35" s="74">
        <f t="shared" si="20"/>
        <v>0</v>
      </c>
      <c r="AX35" s="76">
        <f t="shared" si="20"/>
        <v>0</v>
      </c>
      <c r="AY35" s="77">
        <f t="shared" si="1"/>
        <v>7.0000000000000007E-2</v>
      </c>
      <c r="AZ35" s="78">
        <f t="shared" si="2"/>
        <v>0</v>
      </c>
      <c r="BA35" s="2" t="s">
        <v>91</v>
      </c>
      <c r="BB35" s="2">
        <f t="shared" si="21"/>
        <v>0</v>
      </c>
      <c r="BE35"/>
      <c r="BF35"/>
    </row>
    <row r="36" spans="1:58" ht="15" customHeight="1">
      <c r="A36" s="145"/>
      <c r="B36" s="87" t="s">
        <v>138</v>
      </c>
      <c r="C36" s="83">
        <v>23</v>
      </c>
      <c r="D36" s="146" t="s">
        <v>139</v>
      </c>
      <c r="E36" s="147" t="s">
        <v>140</v>
      </c>
      <c r="F36" s="143" t="s">
        <v>131</v>
      </c>
      <c r="G36" s="68"/>
      <c r="H36" s="69">
        <f t="shared" si="5"/>
        <v>0</v>
      </c>
      <c r="I36" s="70">
        <f t="shared" si="6"/>
        <v>0</v>
      </c>
      <c r="J36" s="71">
        <f t="shared" si="6"/>
        <v>0</v>
      </c>
      <c r="K36" s="148"/>
      <c r="L36" s="149">
        <f t="shared" si="7"/>
        <v>0</v>
      </c>
      <c r="M36" s="80">
        <v>0.02</v>
      </c>
      <c r="N36" s="80">
        <f t="shared" si="22"/>
        <v>0</v>
      </c>
      <c r="O36" s="80">
        <v>0.02</v>
      </c>
      <c r="P36" s="80">
        <f t="shared" si="22"/>
        <v>0</v>
      </c>
      <c r="Q36" s="80">
        <v>0.02</v>
      </c>
      <c r="R36" s="80">
        <f t="shared" si="23"/>
        <v>0</v>
      </c>
      <c r="S36" s="80">
        <v>0.02</v>
      </c>
      <c r="T36" s="80">
        <f t="shared" si="23"/>
        <v>0</v>
      </c>
      <c r="U36" s="80">
        <v>0.01</v>
      </c>
      <c r="V36" s="80">
        <f t="shared" si="24"/>
        <v>0</v>
      </c>
      <c r="W36" s="80">
        <v>0.01</v>
      </c>
      <c r="X36" s="80">
        <f t="shared" si="24"/>
        <v>0</v>
      </c>
      <c r="Y36" s="149">
        <v>0.02</v>
      </c>
      <c r="Z36" s="149">
        <f t="shared" si="11"/>
        <v>0</v>
      </c>
      <c r="AA36" s="149"/>
      <c r="AB36" s="149">
        <f t="shared" si="12"/>
        <v>0</v>
      </c>
      <c r="AC36" s="149"/>
      <c r="AD36" s="149">
        <f t="shared" si="13"/>
        <v>0</v>
      </c>
      <c r="AE36" s="149"/>
      <c r="AF36" s="149">
        <f t="shared" si="14"/>
        <v>0</v>
      </c>
      <c r="AG36" s="74">
        <f t="shared" si="3"/>
        <v>0.12</v>
      </c>
      <c r="AH36" s="209">
        <f t="shared" si="4"/>
        <v>0</v>
      </c>
      <c r="AI36" s="81">
        <v>0.04</v>
      </c>
      <c r="AJ36" s="80">
        <f t="shared" si="15"/>
        <v>0</v>
      </c>
      <c r="AK36" s="149"/>
      <c r="AL36" s="149">
        <f t="shared" si="16"/>
        <v>0</v>
      </c>
      <c r="AM36" s="149"/>
      <c r="AN36" s="149">
        <f t="shared" si="17"/>
        <v>0</v>
      </c>
      <c r="AO36" s="149"/>
      <c r="AP36" s="149">
        <f t="shared" si="18"/>
        <v>0</v>
      </c>
      <c r="AQ36" s="149"/>
      <c r="AR36" s="149">
        <f t="shared" si="19"/>
        <v>0</v>
      </c>
      <c r="AS36" s="74">
        <f t="shared" si="0"/>
        <v>0.04</v>
      </c>
      <c r="AT36" s="75">
        <f t="shared" si="0"/>
        <v>0</v>
      </c>
      <c r="AU36" s="148"/>
      <c r="AV36" s="149"/>
      <c r="AW36" s="74">
        <f t="shared" si="20"/>
        <v>0</v>
      </c>
      <c r="AX36" s="76">
        <f t="shared" si="20"/>
        <v>0</v>
      </c>
      <c r="AY36" s="77">
        <f t="shared" si="1"/>
        <v>0.16</v>
      </c>
      <c r="AZ36" s="78">
        <f t="shared" si="2"/>
        <v>0</v>
      </c>
      <c r="BA36" s="2" t="s">
        <v>91</v>
      </c>
      <c r="BB36" s="2">
        <f t="shared" si="21"/>
        <v>0</v>
      </c>
      <c r="BE36"/>
      <c r="BF36"/>
    </row>
    <row r="37" spans="1:58" ht="15" customHeight="1">
      <c r="A37" s="145"/>
      <c r="B37" s="65"/>
      <c r="C37" s="83">
        <v>24</v>
      </c>
      <c r="D37" s="146" t="s">
        <v>141</v>
      </c>
      <c r="E37" s="147" t="s">
        <v>142</v>
      </c>
      <c r="F37" s="143" t="s">
        <v>131</v>
      </c>
      <c r="G37" s="68">
        <v>0.02</v>
      </c>
      <c r="H37" s="69">
        <f t="shared" si="5"/>
        <v>0</v>
      </c>
      <c r="I37" s="70">
        <f t="shared" si="6"/>
        <v>0.02</v>
      </c>
      <c r="J37" s="71">
        <f t="shared" si="6"/>
        <v>0</v>
      </c>
      <c r="K37" s="148"/>
      <c r="L37" s="149">
        <f t="shared" si="7"/>
        <v>0</v>
      </c>
      <c r="M37" s="80">
        <v>0.01</v>
      </c>
      <c r="N37" s="80">
        <f t="shared" si="22"/>
        <v>0</v>
      </c>
      <c r="O37" s="80">
        <v>0.01</v>
      </c>
      <c r="P37" s="80">
        <f t="shared" si="22"/>
        <v>0</v>
      </c>
      <c r="Q37" s="80">
        <v>0.01</v>
      </c>
      <c r="R37" s="80">
        <f t="shared" si="23"/>
        <v>0</v>
      </c>
      <c r="S37" s="80">
        <v>0.01</v>
      </c>
      <c r="T37" s="80">
        <f t="shared" si="23"/>
        <v>0</v>
      </c>
      <c r="U37" s="80">
        <v>0.01</v>
      </c>
      <c r="V37" s="80">
        <f t="shared" si="24"/>
        <v>0</v>
      </c>
      <c r="W37" s="80">
        <v>0.01</v>
      </c>
      <c r="X37" s="80">
        <f t="shared" si="24"/>
        <v>0</v>
      </c>
      <c r="Y37" s="149">
        <v>0.01</v>
      </c>
      <c r="Z37" s="149">
        <f t="shared" si="11"/>
        <v>0</v>
      </c>
      <c r="AA37" s="149"/>
      <c r="AB37" s="149">
        <f t="shared" si="12"/>
        <v>0</v>
      </c>
      <c r="AC37" s="149"/>
      <c r="AD37" s="149">
        <f t="shared" si="13"/>
        <v>0</v>
      </c>
      <c r="AE37" s="149"/>
      <c r="AF37" s="149">
        <f t="shared" si="14"/>
        <v>0</v>
      </c>
      <c r="AG37" s="74">
        <f t="shared" si="3"/>
        <v>7.0000000000000007E-2</v>
      </c>
      <c r="AH37" s="209">
        <f t="shared" si="4"/>
        <v>0</v>
      </c>
      <c r="AI37" s="148"/>
      <c r="AJ37" s="149">
        <f t="shared" si="15"/>
        <v>0</v>
      </c>
      <c r="AK37" s="149"/>
      <c r="AL37" s="149">
        <f t="shared" si="16"/>
        <v>0</v>
      </c>
      <c r="AM37" s="149"/>
      <c r="AN37" s="149">
        <f t="shared" si="17"/>
        <v>0</v>
      </c>
      <c r="AO37" s="149"/>
      <c r="AP37" s="149">
        <f t="shared" si="18"/>
        <v>0</v>
      </c>
      <c r="AQ37" s="149"/>
      <c r="AR37" s="149">
        <f t="shared" si="19"/>
        <v>0</v>
      </c>
      <c r="AS37" s="74">
        <f t="shared" si="0"/>
        <v>0</v>
      </c>
      <c r="AT37" s="75">
        <f t="shared" si="0"/>
        <v>0</v>
      </c>
      <c r="AU37" s="148"/>
      <c r="AV37" s="149"/>
      <c r="AW37" s="74">
        <f t="shared" si="20"/>
        <v>0</v>
      </c>
      <c r="AX37" s="76">
        <f t="shared" si="20"/>
        <v>0</v>
      </c>
      <c r="AY37" s="77">
        <f t="shared" si="1"/>
        <v>9.0000000000000011E-2</v>
      </c>
      <c r="AZ37" s="78">
        <f t="shared" si="2"/>
        <v>0</v>
      </c>
      <c r="BA37" s="2" t="s">
        <v>91</v>
      </c>
      <c r="BB37" s="2">
        <f t="shared" si="21"/>
        <v>0</v>
      </c>
      <c r="BE37"/>
      <c r="BF37"/>
    </row>
    <row r="38" spans="1:58" ht="15" customHeight="1">
      <c r="A38" s="145"/>
      <c r="B38" s="65"/>
      <c r="C38" s="88">
        <v>25</v>
      </c>
      <c r="D38" s="146" t="s">
        <v>143</v>
      </c>
      <c r="E38" s="147" t="s">
        <v>144</v>
      </c>
      <c r="F38" s="143" t="s">
        <v>131</v>
      </c>
      <c r="G38" s="68">
        <v>0.01</v>
      </c>
      <c r="H38" s="69">
        <f t="shared" si="5"/>
        <v>0</v>
      </c>
      <c r="I38" s="70">
        <f t="shared" si="6"/>
        <v>0.01</v>
      </c>
      <c r="J38" s="71">
        <f t="shared" si="6"/>
        <v>0</v>
      </c>
      <c r="K38" s="81"/>
      <c r="L38" s="80">
        <f t="shared" si="7"/>
        <v>0</v>
      </c>
      <c r="M38" s="80">
        <v>0.01</v>
      </c>
      <c r="N38" s="80">
        <f t="shared" si="22"/>
        <v>0</v>
      </c>
      <c r="O38" s="149">
        <v>0.01</v>
      </c>
      <c r="P38" s="149">
        <f t="shared" si="22"/>
        <v>0</v>
      </c>
      <c r="Q38" s="80">
        <v>0.01</v>
      </c>
      <c r="R38" s="80">
        <f t="shared" si="23"/>
        <v>0</v>
      </c>
      <c r="S38" s="149">
        <v>0.01</v>
      </c>
      <c r="T38" s="149">
        <f t="shared" si="23"/>
        <v>0</v>
      </c>
      <c r="U38" s="80">
        <v>0.01</v>
      </c>
      <c r="V38" s="149">
        <f t="shared" si="24"/>
        <v>0</v>
      </c>
      <c r="W38" s="80">
        <v>0.01</v>
      </c>
      <c r="X38" s="149">
        <f t="shared" si="24"/>
        <v>0</v>
      </c>
      <c r="Y38" s="149">
        <v>0.01</v>
      </c>
      <c r="Z38" s="149">
        <f t="shared" si="11"/>
        <v>0</v>
      </c>
      <c r="AA38" s="149"/>
      <c r="AB38" s="149">
        <f t="shared" si="12"/>
        <v>0</v>
      </c>
      <c r="AC38" s="149"/>
      <c r="AD38" s="149">
        <f t="shared" si="13"/>
        <v>0</v>
      </c>
      <c r="AE38" s="149"/>
      <c r="AF38" s="149">
        <f t="shared" si="14"/>
        <v>0</v>
      </c>
      <c r="AG38" s="74">
        <f t="shared" si="3"/>
        <v>7.0000000000000007E-2</v>
      </c>
      <c r="AH38" s="209">
        <f t="shared" si="4"/>
        <v>0</v>
      </c>
      <c r="AI38" s="81">
        <v>0.04</v>
      </c>
      <c r="AJ38" s="80">
        <f t="shared" si="15"/>
        <v>0</v>
      </c>
      <c r="AK38" s="149"/>
      <c r="AL38" s="149">
        <f t="shared" si="16"/>
        <v>0</v>
      </c>
      <c r="AM38" s="149"/>
      <c r="AN38" s="149">
        <f t="shared" si="17"/>
        <v>0</v>
      </c>
      <c r="AO38" s="149"/>
      <c r="AP38" s="149">
        <f t="shared" si="18"/>
        <v>0</v>
      </c>
      <c r="AQ38" s="149"/>
      <c r="AR38" s="149">
        <f t="shared" si="19"/>
        <v>0</v>
      </c>
      <c r="AS38" s="74">
        <f t="shared" si="0"/>
        <v>0.04</v>
      </c>
      <c r="AT38" s="75">
        <f t="shared" si="0"/>
        <v>0</v>
      </c>
      <c r="AU38" s="148"/>
      <c r="AV38" s="149"/>
      <c r="AW38" s="74">
        <f t="shared" si="20"/>
        <v>0</v>
      </c>
      <c r="AX38" s="76">
        <f t="shared" si="20"/>
        <v>0</v>
      </c>
      <c r="AY38" s="77">
        <f t="shared" si="1"/>
        <v>0.12</v>
      </c>
      <c r="AZ38" s="78">
        <f t="shared" si="2"/>
        <v>0</v>
      </c>
      <c r="BA38" s="2" t="s">
        <v>91</v>
      </c>
      <c r="BB38" s="2">
        <f t="shared" si="21"/>
        <v>0</v>
      </c>
      <c r="BE38"/>
      <c r="BF38"/>
    </row>
    <row r="39" spans="1:58" ht="15" customHeight="1">
      <c r="A39" s="145"/>
      <c r="B39" s="65"/>
      <c r="C39" s="83">
        <v>26</v>
      </c>
      <c r="D39" s="146" t="s">
        <v>145</v>
      </c>
      <c r="E39" s="147" t="s">
        <v>146</v>
      </c>
      <c r="F39" s="143" t="s">
        <v>131</v>
      </c>
      <c r="G39" s="68"/>
      <c r="H39" s="69">
        <f t="shared" si="5"/>
        <v>0</v>
      </c>
      <c r="I39" s="70">
        <f t="shared" si="6"/>
        <v>0</v>
      </c>
      <c r="J39" s="71">
        <f t="shared" si="6"/>
        <v>0</v>
      </c>
      <c r="K39" s="148"/>
      <c r="L39" s="149">
        <f t="shared" si="7"/>
        <v>0</v>
      </c>
      <c r="M39" s="80">
        <v>0.14000000000000001</v>
      </c>
      <c r="N39" s="80">
        <f t="shared" si="22"/>
        <v>0</v>
      </c>
      <c r="O39" s="80">
        <v>0.14000000000000001</v>
      </c>
      <c r="P39" s="80">
        <f t="shared" si="22"/>
        <v>0</v>
      </c>
      <c r="Q39" s="80">
        <v>0.14000000000000001</v>
      </c>
      <c r="R39" s="80">
        <f t="shared" si="23"/>
        <v>0</v>
      </c>
      <c r="S39" s="80">
        <v>0.14000000000000001</v>
      </c>
      <c r="T39" s="80">
        <f t="shared" si="23"/>
        <v>0</v>
      </c>
      <c r="U39" s="80">
        <v>0.15</v>
      </c>
      <c r="V39" s="80">
        <f t="shared" si="24"/>
        <v>0</v>
      </c>
      <c r="W39" s="80">
        <v>0.05</v>
      </c>
      <c r="X39" s="80">
        <f t="shared" si="24"/>
        <v>0</v>
      </c>
      <c r="Y39" s="149">
        <v>0.14000000000000001</v>
      </c>
      <c r="Z39" s="149">
        <f t="shared" si="11"/>
        <v>0</v>
      </c>
      <c r="AA39" s="149"/>
      <c r="AB39" s="149">
        <f t="shared" si="12"/>
        <v>0</v>
      </c>
      <c r="AC39" s="149"/>
      <c r="AD39" s="149">
        <f t="shared" si="13"/>
        <v>0</v>
      </c>
      <c r="AE39" s="149"/>
      <c r="AF39" s="149">
        <f t="shared" si="14"/>
        <v>0</v>
      </c>
      <c r="AG39" s="74">
        <f t="shared" si="3"/>
        <v>0.90000000000000013</v>
      </c>
      <c r="AH39" s="209">
        <f t="shared" si="4"/>
        <v>0</v>
      </c>
      <c r="AI39" s="148"/>
      <c r="AJ39" s="149">
        <f t="shared" si="15"/>
        <v>0</v>
      </c>
      <c r="AK39" s="149"/>
      <c r="AL39" s="149">
        <f t="shared" si="16"/>
        <v>0</v>
      </c>
      <c r="AM39" s="149"/>
      <c r="AN39" s="149">
        <f t="shared" si="17"/>
        <v>0</v>
      </c>
      <c r="AO39" s="149"/>
      <c r="AP39" s="149">
        <f t="shared" si="18"/>
        <v>0</v>
      </c>
      <c r="AQ39" s="149"/>
      <c r="AR39" s="149">
        <f t="shared" si="19"/>
        <v>0</v>
      </c>
      <c r="AS39" s="74">
        <f t="shared" si="0"/>
        <v>0</v>
      </c>
      <c r="AT39" s="75">
        <f t="shared" si="0"/>
        <v>0</v>
      </c>
      <c r="AU39" s="148"/>
      <c r="AV39" s="149"/>
      <c r="AW39" s="74">
        <f t="shared" si="20"/>
        <v>0</v>
      </c>
      <c r="AX39" s="76">
        <f t="shared" si="20"/>
        <v>0</v>
      </c>
      <c r="AY39" s="77">
        <f t="shared" si="1"/>
        <v>0.90000000000000013</v>
      </c>
      <c r="AZ39" s="78">
        <f t="shared" si="2"/>
        <v>0</v>
      </c>
      <c r="BA39" s="2" t="s">
        <v>91</v>
      </c>
      <c r="BB39" s="2">
        <f t="shared" si="21"/>
        <v>0</v>
      </c>
      <c r="BE39"/>
      <c r="BF39"/>
    </row>
    <row r="40" spans="1:58" ht="15" customHeight="1">
      <c r="A40" s="145"/>
      <c r="B40" s="65"/>
      <c r="C40" s="83">
        <v>27</v>
      </c>
      <c r="D40" s="146" t="s">
        <v>147</v>
      </c>
      <c r="E40" s="147" t="s">
        <v>148</v>
      </c>
      <c r="F40" s="143" t="s">
        <v>131</v>
      </c>
      <c r="G40" s="68"/>
      <c r="H40" s="69">
        <f t="shared" si="5"/>
        <v>0</v>
      </c>
      <c r="I40" s="70">
        <f t="shared" si="6"/>
        <v>0</v>
      </c>
      <c r="J40" s="71">
        <f t="shared" si="6"/>
        <v>0</v>
      </c>
      <c r="K40" s="148"/>
      <c r="L40" s="149">
        <f t="shared" si="7"/>
        <v>0</v>
      </c>
      <c r="M40" s="80">
        <v>0.01</v>
      </c>
      <c r="N40" s="80">
        <f t="shared" si="22"/>
        <v>0</v>
      </c>
      <c r="O40" s="80">
        <v>0.01</v>
      </c>
      <c r="P40" s="80">
        <f t="shared" si="22"/>
        <v>0</v>
      </c>
      <c r="Q40" s="80">
        <v>0.01</v>
      </c>
      <c r="R40" s="80">
        <f t="shared" si="23"/>
        <v>0</v>
      </c>
      <c r="S40" s="80">
        <v>0.01</v>
      </c>
      <c r="T40" s="80">
        <f t="shared" si="23"/>
        <v>0</v>
      </c>
      <c r="U40" s="80">
        <v>0.01</v>
      </c>
      <c r="V40" s="80">
        <f t="shared" si="24"/>
        <v>0</v>
      </c>
      <c r="W40" s="80">
        <v>0.01</v>
      </c>
      <c r="X40" s="80">
        <f t="shared" si="24"/>
        <v>0</v>
      </c>
      <c r="Y40" s="149">
        <v>0.01</v>
      </c>
      <c r="Z40" s="149">
        <f t="shared" si="11"/>
        <v>0</v>
      </c>
      <c r="AA40" s="149"/>
      <c r="AB40" s="149">
        <f t="shared" si="12"/>
        <v>0</v>
      </c>
      <c r="AC40" s="149"/>
      <c r="AD40" s="149">
        <f t="shared" si="13"/>
        <v>0</v>
      </c>
      <c r="AE40" s="149"/>
      <c r="AF40" s="149">
        <f t="shared" si="14"/>
        <v>0</v>
      </c>
      <c r="AG40" s="74">
        <f t="shared" si="3"/>
        <v>7.0000000000000007E-2</v>
      </c>
      <c r="AH40" s="209">
        <f t="shared" si="4"/>
        <v>0</v>
      </c>
      <c r="AI40" s="81">
        <v>0.1</v>
      </c>
      <c r="AJ40" s="80">
        <f t="shared" si="15"/>
        <v>0</v>
      </c>
      <c r="AK40" s="149"/>
      <c r="AL40" s="149">
        <f t="shared" si="16"/>
        <v>0</v>
      </c>
      <c r="AM40" s="149"/>
      <c r="AN40" s="149">
        <f t="shared" si="17"/>
        <v>0</v>
      </c>
      <c r="AO40" s="149"/>
      <c r="AP40" s="149">
        <f t="shared" si="18"/>
        <v>0</v>
      </c>
      <c r="AQ40" s="80"/>
      <c r="AR40" s="80">
        <f t="shared" si="19"/>
        <v>0</v>
      </c>
      <c r="AS40" s="74">
        <f t="shared" si="0"/>
        <v>0.1</v>
      </c>
      <c r="AT40" s="75">
        <f t="shared" si="0"/>
        <v>0</v>
      </c>
      <c r="AU40" s="81"/>
      <c r="AV40" s="80"/>
      <c r="AW40" s="74">
        <f t="shared" si="20"/>
        <v>0</v>
      </c>
      <c r="AX40" s="76">
        <f t="shared" si="20"/>
        <v>0</v>
      </c>
      <c r="AY40" s="77">
        <f t="shared" si="1"/>
        <v>0.17</v>
      </c>
      <c r="AZ40" s="78">
        <f t="shared" si="2"/>
        <v>0</v>
      </c>
      <c r="BA40" s="2" t="s">
        <v>91</v>
      </c>
      <c r="BB40" s="2">
        <f t="shared" si="21"/>
        <v>0</v>
      </c>
      <c r="BE40"/>
      <c r="BF40"/>
    </row>
    <row r="41" spans="1:58" ht="15" customHeight="1">
      <c r="A41" s="50"/>
      <c r="B41" s="65"/>
      <c r="C41" s="88">
        <v>28</v>
      </c>
      <c r="D41" s="141" t="s">
        <v>149</v>
      </c>
      <c r="E41" s="142" t="s">
        <v>150</v>
      </c>
      <c r="F41" s="143" t="s">
        <v>131</v>
      </c>
      <c r="G41" s="68"/>
      <c r="H41" s="69">
        <f t="shared" si="5"/>
        <v>0</v>
      </c>
      <c r="I41" s="70">
        <f t="shared" si="6"/>
        <v>0</v>
      </c>
      <c r="J41" s="71">
        <f t="shared" si="6"/>
        <v>0</v>
      </c>
      <c r="K41" s="81"/>
      <c r="L41" s="80">
        <f t="shared" si="7"/>
        <v>0</v>
      </c>
      <c r="M41" s="80">
        <v>0.01</v>
      </c>
      <c r="N41" s="80">
        <f t="shared" si="22"/>
        <v>0</v>
      </c>
      <c r="O41" s="80">
        <v>0.01</v>
      </c>
      <c r="P41" s="80">
        <f t="shared" si="22"/>
        <v>0</v>
      </c>
      <c r="Q41" s="80">
        <v>0.01</v>
      </c>
      <c r="R41" s="80">
        <f t="shared" si="23"/>
        <v>0</v>
      </c>
      <c r="S41" s="80">
        <v>0.01</v>
      </c>
      <c r="T41" s="80">
        <f t="shared" si="23"/>
        <v>0</v>
      </c>
      <c r="U41" s="80">
        <v>0.01</v>
      </c>
      <c r="V41" s="80">
        <f t="shared" si="24"/>
        <v>0</v>
      </c>
      <c r="W41" s="80">
        <v>0.01</v>
      </c>
      <c r="X41" s="80">
        <f t="shared" si="24"/>
        <v>0</v>
      </c>
      <c r="Y41" s="80">
        <v>0.01</v>
      </c>
      <c r="Z41" s="80">
        <f t="shared" si="11"/>
        <v>0</v>
      </c>
      <c r="AA41" s="80"/>
      <c r="AB41" s="80">
        <f t="shared" si="12"/>
        <v>0</v>
      </c>
      <c r="AC41" s="80"/>
      <c r="AD41" s="80">
        <f t="shared" si="13"/>
        <v>0</v>
      </c>
      <c r="AE41" s="80"/>
      <c r="AF41" s="80">
        <f t="shared" si="14"/>
        <v>0</v>
      </c>
      <c r="AG41" s="74">
        <f t="shared" si="3"/>
        <v>7.0000000000000007E-2</v>
      </c>
      <c r="AH41" s="209">
        <f t="shared" si="4"/>
        <v>0</v>
      </c>
      <c r="AI41" s="81"/>
      <c r="AJ41" s="80">
        <f t="shared" si="15"/>
        <v>0</v>
      </c>
      <c r="AK41" s="80"/>
      <c r="AL41" s="80">
        <f t="shared" si="16"/>
        <v>0</v>
      </c>
      <c r="AM41" s="80"/>
      <c r="AN41" s="80">
        <f t="shared" si="17"/>
        <v>0</v>
      </c>
      <c r="AO41" s="80"/>
      <c r="AP41" s="80">
        <f t="shared" si="18"/>
        <v>0</v>
      </c>
      <c r="AQ41" s="80"/>
      <c r="AR41" s="80">
        <f t="shared" si="19"/>
        <v>0</v>
      </c>
      <c r="AS41" s="74">
        <f t="shared" si="0"/>
        <v>0</v>
      </c>
      <c r="AT41" s="75">
        <f t="shared" si="0"/>
        <v>0</v>
      </c>
      <c r="AU41" s="81"/>
      <c r="AV41" s="80"/>
      <c r="AW41" s="74">
        <f t="shared" si="20"/>
        <v>0</v>
      </c>
      <c r="AX41" s="76">
        <f t="shared" si="20"/>
        <v>0</v>
      </c>
      <c r="AY41" s="77">
        <f t="shared" si="1"/>
        <v>7.0000000000000007E-2</v>
      </c>
      <c r="AZ41" s="78">
        <f t="shared" si="2"/>
        <v>0</v>
      </c>
      <c r="BA41" s="2" t="s">
        <v>91</v>
      </c>
      <c r="BB41" s="2">
        <f t="shared" si="21"/>
        <v>0</v>
      </c>
      <c r="BE41"/>
      <c r="BF41"/>
    </row>
    <row r="42" spans="1:58" ht="15" customHeight="1">
      <c r="A42" s="50"/>
      <c r="B42" s="65"/>
      <c r="C42" s="88">
        <v>29</v>
      </c>
      <c r="D42" s="141" t="s">
        <v>62</v>
      </c>
      <c r="E42" s="142" t="s">
        <v>63</v>
      </c>
      <c r="F42" s="143" t="s">
        <v>131</v>
      </c>
      <c r="G42" s="68"/>
      <c r="H42" s="69">
        <f t="shared" si="5"/>
        <v>0</v>
      </c>
      <c r="I42" s="70">
        <f t="shared" si="6"/>
        <v>0</v>
      </c>
      <c r="J42" s="71">
        <f t="shared" si="6"/>
        <v>0</v>
      </c>
      <c r="K42" s="81"/>
      <c r="L42" s="80">
        <f t="shared" si="7"/>
        <v>0</v>
      </c>
      <c r="M42" s="80">
        <v>0.05</v>
      </c>
      <c r="N42" s="80">
        <f t="shared" si="22"/>
        <v>0</v>
      </c>
      <c r="O42" s="80">
        <v>0.05</v>
      </c>
      <c r="P42" s="80">
        <f t="shared" si="22"/>
        <v>0</v>
      </c>
      <c r="Q42" s="80">
        <v>0.05</v>
      </c>
      <c r="R42" s="80">
        <f t="shared" si="23"/>
        <v>0</v>
      </c>
      <c r="S42" s="80">
        <v>0.05</v>
      </c>
      <c r="T42" s="80">
        <f t="shared" si="23"/>
        <v>0</v>
      </c>
      <c r="U42" s="80">
        <v>0.01</v>
      </c>
      <c r="V42" s="80">
        <f t="shared" si="24"/>
        <v>0</v>
      </c>
      <c r="W42" s="80">
        <v>0.01</v>
      </c>
      <c r="X42" s="80">
        <f t="shared" si="24"/>
        <v>0</v>
      </c>
      <c r="Y42" s="80">
        <v>0.05</v>
      </c>
      <c r="Z42" s="80">
        <f t="shared" si="11"/>
        <v>0</v>
      </c>
      <c r="AA42" s="80"/>
      <c r="AB42" s="80">
        <f t="shared" si="12"/>
        <v>0</v>
      </c>
      <c r="AC42" s="80"/>
      <c r="AD42" s="80">
        <f t="shared" si="13"/>
        <v>0</v>
      </c>
      <c r="AE42" s="80"/>
      <c r="AF42" s="80">
        <f t="shared" si="14"/>
        <v>0</v>
      </c>
      <c r="AG42" s="74">
        <f t="shared" si="3"/>
        <v>0.27</v>
      </c>
      <c r="AH42" s="209">
        <f t="shared" si="4"/>
        <v>0</v>
      </c>
      <c r="AI42" s="81"/>
      <c r="AJ42" s="80">
        <f t="shared" si="15"/>
        <v>0</v>
      </c>
      <c r="AK42" s="80"/>
      <c r="AL42" s="80">
        <f t="shared" si="16"/>
        <v>0</v>
      </c>
      <c r="AM42" s="80"/>
      <c r="AN42" s="80">
        <f t="shared" si="17"/>
        <v>0</v>
      </c>
      <c r="AO42" s="80"/>
      <c r="AP42" s="80">
        <f t="shared" si="18"/>
        <v>0</v>
      </c>
      <c r="AQ42" s="80"/>
      <c r="AR42" s="80">
        <f t="shared" si="19"/>
        <v>0</v>
      </c>
      <c r="AS42" s="74">
        <f t="shared" si="0"/>
        <v>0</v>
      </c>
      <c r="AT42" s="75">
        <f t="shared" si="0"/>
        <v>0</v>
      </c>
      <c r="AU42" s="81"/>
      <c r="AV42" s="80"/>
      <c r="AW42" s="74">
        <f t="shared" si="20"/>
        <v>0</v>
      </c>
      <c r="AX42" s="76">
        <f t="shared" si="20"/>
        <v>0</v>
      </c>
      <c r="AY42" s="77">
        <f t="shared" si="1"/>
        <v>0.27</v>
      </c>
      <c r="AZ42" s="78">
        <f t="shared" si="2"/>
        <v>0</v>
      </c>
      <c r="BA42" s="2" t="s">
        <v>91</v>
      </c>
      <c r="BB42" s="2">
        <f t="shared" si="21"/>
        <v>0</v>
      </c>
      <c r="BE42"/>
      <c r="BF42"/>
    </row>
    <row r="43" spans="1:58" ht="15" customHeight="1">
      <c r="A43" s="50"/>
      <c r="B43" s="65"/>
      <c r="C43" s="83">
        <v>30</v>
      </c>
      <c r="D43" s="141" t="s">
        <v>151</v>
      </c>
      <c r="E43" s="142" t="s">
        <v>152</v>
      </c>
      <c r="F43" s="143" t="s">
        <v>153</v>
      </c>
      <c r="G43" s="68"/>
      <c r="H43" s="69">
        <f t="shared" si="5"/>
        <v>0</v>
      </c>
      <c r="I43" s="70">
        <f t="shared" si="6"/>
        <v>0</v>
      </c>
      <c r="J43" s="71">
        <f t="shared" si="6"/>
        <v>0</v>
      </c>
      <c r="K43" s="81"/>
      <c r="L43" s="80">
        <f t="shared" si="7"/>
        <v>0</v>
      </c>
      <c r="M43" s="80"/>
      <c r="N43" s="80">
        <f t="shared" si="22"/>
        <v>0</v>
      </c>
      <c r="O43" s="80"/>
      <c r="P43" s="80">
        <f t="shared" si="22"/>
        <v>0</v>
      </c>
      <c r="Q43" s="80"/>
      <c r="R43" s="80">
        <f t="shared" si="23"/>
        <v>0</v>
      </c>
      <c r="S43" s="80"/>
      <c r="T43" s="80">
        <f t="shared" si="23"/>
        <v>0</v>
      </c>
      <c r="U43" s="80"/>
      <c r="V43" s="80">
        <f t="shared" si="24"/>
        <v>0</v>
      </c>
      <c r="W43" s="80"/>
      <c r="X43" s="80">
        <f t="shared" si="24"/>
        <v>0</v>
      </c>
      <c r="Y43" s="80"/>
      <c r="Z43" s="80">
        <f t="shared" si="11"/>
        <v>0</v>
      </c>
      <c r="AA43" s="80"/>
      <c r="AB43" s="80">
        <f t="shared" si="12"/>
        <v>0</v>
      </c>
      <c r="AC43" s="80"/>
      <c r="AD43" s="80">
        <f t="shared" si="13"/>
        <v>0</v>
      </c>
      <c r="AE43" s="80"/>
      <c r="AF43" s="80">
        <f t="shared" si="14"/>
        <v>0</v>
      </c>
      <c r="AG43" s="74">
        <f t="shared" si="3"/>
        <v>0</v>
      </c>
      <c r="AH43" s="209">
        <f t="shared" si="4"/>
        <v>0</v>
      </c>
      <c r="AI43" s="81">
        <v>0.05</v>
      </c>
      <c r="AJ43" s="80">
        <f t="shared" si="15"/>
        <v>0</v>
      </c>
      <c r="AK43" s="80"/>
      <c r="AL43" s="80">
        <f t="shared" si="16"/>
        <v>0</v>
      </c>
      <c r="AM43" s="80">
        <v>0.01</v>
      </c>
      <c r="AN43" s="80">
        <f t="shared" si="17"/>
        <v>0</v>
      </c>
      <c r="AO43" s="80"/>
      <c r="AP43" s="80">
        <f t="shared" si="18"/>
        <v>0</v>
      </c>
      <c r="AQ43" s="80"/>
      <c r="AR43" s="80">
        <f t="shared" si="19"/>
        <v>0</v>
      </c>
      <c r="AS43" s="74">
        <f t="shared" si="0"/>
        <v>6.0000000000000005E-2</v>
      </c>
      <c r="AT43" s="75">
        <f t="shared" si="0"/>
        <v>0</v>
      </c>
      <c r="AU43" s="81"/>
      <c r="AV43" s="80"/>
      <c r="AW43" s="74">
        <f t="shared" si="20"/>
        <v>0</v>
      </c>
      <c r="AX43" s="76">
        <f t="shared" si="20"/>
        <v>0</v>
      </c>
      <c r="AY43" s="77">
        <f t="shared" si="1"/>
        <v>6.0000000000000005E-2</v>
      </c>
      <c r="AZ43" s="78">
        <f t="shared" si="2"/>
        <v>0</v>
      </c>
      <c r="BA43" s="2" t="s">
        <v>91</v>
      </c>
      <c r="BB43" s="2">
        <f t="shared" si="21"/>
        <v>0</v>
      </c>
      <c r="BE43"/>
      <c r="BF43"/>
    </row>
    <row r="44" spans="1:58" ht="15" customHeight="1">
      <c r="A44" s="50"/>
      <c r="B44" s="65"/>
      <c r="C44" s="88">
        <v>31</v>
      </c>
      <c r="D44" s="141" t="s">
        <v>154</v>
      </c>
      <c r="E44" s="142" t="s">
        <v>155</v>
      </c>
      <c r="F44" s="143" t="s">
        <v>153</v>
      </c>
      <c r="G44" s="68">
        <v>0.01</v>
      </c>
      <c r="H44" s="69">
        <f t="shared" si="5"/>
        <v>0</v>
      </c>
      <c r="I44" s="70">
        <f t="shared" si="6"/>
        <v>0.01</v>
      </c>
      <c r="J44" s="71">
        <f t="shared" si="6"/>
        <v>0</v>
      </c>
      <c r="K44" s="81"/>
      <c r="L44" s="80">
        <f t="shared" si="7"/>
        <v>0</v>
      </c>
      <c r="M44" s="80"/>
      <c r="N44" s="80">
        <f t="shared" si="22"/>
        <v>0</v>
      </c>
      <c r="O44" s="80"/>
      <c r="P44" s="80">
        <f t="shared" si="22"/>
        <v>0</v>
      </c>
      <c r="Q44" s="80"/>
      <c r="R44" s="80">
        <f t="shared" si="23"/>
        <v>0</v>
      </c>
      <c r="S44" s="80"/>
      <c r="T44" s="80">
        <f t="shared" si="23"/>
        <v>0</v>
      </c>
      <c r="U44" s="80"/>
      <c r="V44" s="80">
        <f t="shared" si="24"/>
        <v>0</v>
      </c>
      <c r="W44" s="80"/>
      <c r="X44" s="80">
        <f t="shared" si="24"/>
        <v>0</v>
      </c>
      <c r="Y44" s="80"/>
      <c r="Z44" s="80">
        <f t="shared" si="11"/>
        <v>0</v>
      </c>
      <c r="AA44" s="80"/>
      <c r="AB44" s="80">
        <f t="shared" si="12"/>
        <v>0</v>
      </c>
      <c r="AC44" s="80"/>
      <c r="AD44" s="80">
        <f t="shared" si="13"/>
        <v>0</v>
      </c>
      <c r="AE44" s="80"/>
      <c r="AF44" s="80">
        <f t="shared" si="14"/>
        <v>0</v>
      </c>
      <c r="AG44" s="74">
        <f t="shared" si="3"/>
        <v>0</v>
      </c>
      <c r="AH44" s="209">
        <f t="shared" si="4"/>
        <v>0</v>
      </c>
      <c r="AI44" s="81">
        <v>0.1</v>
      </c>
      <c r="AJ44" s="80">
        <f t="shared" si="15"/>
        <v>0</v>
      </c>
      <c r="AK44" s="80">
        <v>0.08</v>
      </c>
      <c r="AL44" s="80">
        <f t="shared" si="16"/>
        <v>0</v>
      </c>
      <c r="AM44" s="80">
        <v>0.02</v>
      </c>
      <c r="AN44" s="80">
        <f t="shared" si="17"/>
        <v>0</v>
      </c>
      <c r="AO44" s="80"/>
      <c r="AP44" s="80">
        <f t="shared" si="18"/>
        <v>0</v>
      </c>
      <c r="AQ44" s="80"/>
      <c r="AR44" s="80">
        <f t="shared" si="19"/>
        <v>0</v>
      </c>
      <c r="AS44" s="74">
        <f t="shared" si="0"/>
        <v>0.19999999999999998</v>
      </c>
      <c r="AT44" s="75">
        <f t="shared" si="0"/>
        <v>0</v>
      </c>
      <c r="AU44" s="81"/>
      <c r="AV44" s="80"/>
      <c r="AW44" s="74">
        <f t="shared" si="20"/>
        <v>0</v>
      </c>
      <c r="AX44" s="76">
        <f t="shared" si="20"/>
        <v>0</v>
      </c>
      <c r="AY44" s="77">
        <f t="shared" si="1"/>
        <v>0.21</v>
      </c>
      <c r="AZ44" s="78">
        <f t="shared" si="2"/>
        <v>0</v>
      </c>
      <c r="BA44" s="2" t="s">
        <v>91</v>
      </c>
      <c r="BB44" s="2">
        <f t="shared" si="21"/>
        <v>0</v>
      </c>
      <c r="BE44"/>
      <c r="BF44"/>
    </row>
    <row r="45" spans="1:58" ht="15" customHeight="1">
      <c r="A45" s="50"/>
      <c r="B45" s="65"/>
      <c r="C45" s="83">
        <v>32</v>
      </c>
      <c r="D45" s="141" t="s">
        <v>156</v>
      </c>
      <c r="E45" s="142" t="s">
        <v>157</v>
      </c>
      <c r="F45" s="86" t="s">
        <v>121</v>
      </c>
      <c r="G45" s="68"/>
      <c r="H45" s="69">
        <f t="shared" si="5"/>
        <v>0</v>
      </c>
      <c r="I45" s="70">
        <f t="shared" si="6"/>
        <v>0</v>
      </c>
      <c r="J45" s="71">
        <f t="shared" si="6"/>
        <v>0</v>
      </c>
      <c r="K45" s="81"/>
      <c r="L45" s="80">
        <f t="shared" si="7"/>
        <v>0</v>
      </c>
      <c r="M45" s="80"/>
      <c r="N45" s="80">
        <f t="shared" si="22"/>
        <v>0</v>
      </c>
      <c r="O45" s="80"/>
      <c r="P45" s="80">
        <f t="shared" si="22"/>
        <v>0</v>
      </c>
      <c r="Q45" s="80"/>
      <c r="R45" s="80">
        <f t="shared" si="23"/>
        <v>0</v>
      </c>
      <c r="S45" s="80"/>
      <c r="T45" s="80">
        <f t="shared" si="23"/>
        <v>0</v>
      </c>
      <c r="U45" s="80"/>
      <c r="V45" s="80">
        <f t="shared" si="24"/>
        <v>0</v>
      </c>
      <c r="W45" s="80"/>
      <c r="X45" s="80">
        <f t="shared" si="24"/>
        <v>0</v>
      </c>
      <c r="Y45" s="80"/>
      <c r="Z45" s="80">
        <f t="shared" si="11"/>
        <v>0</v>
      </c>
      <c r="AA45" s="80"/>
      <c r="AB45" s="80">
        <f t="shared" si="12"/>
        <v>0</v>
      </c>
      <c r="AC45" s="80"/>
      <c r="AD45" s="80">
        <f t="shared" si="13"/>
        <v>0</v>
      </c>
      <c r="AE45" s="80"/>
      <c r="AF45" s="80">
        <f t="shared" si="14"/>
        <v>0</v>
      </c>
      <c r="AG45" s="74">
        <f t="shared" si="3"/>
        <v>0</v>
      </c>
      <c r="AH45" s="209">
        <f t="shared" si="4"/>
        <v>0</v>
      </c>
      <c r="AI45" s="81">
        <v>0.03</v>
      </c>
      <c r="AJ45" s="80">
        <f t="shared" si="15"/>
        <v>0</v>
      </c>
      <c r="AK45" s="80">
        <v>0.09</v>
      </c>
      <c r="AL45" s="80">
        <f t="shared" si="16"/>
        <v>0</v>
      </c>
      <c r="AM45" s="80">
        <v>0.02</v>
      </c>
      <c r="AN45" s="80">
        <f t="shared" si="17"/>
        <v>0</v>
      </c>
      <c r="AO45" s="80"/>
      <c r="AP45" s="80">
        <f t="shared" si="18"/>
        <v>0</v>
      </c>
      <c r="AQ45" s="80"/>
      <c r="AR45" s="80">
        <f t="shared" si="19"/>
        <v>0</v>
      </c>
      <c r="AS45" s="74">
        <f t="shared" ref="AS45:AT78" si="25">AI45+AK45+AO45+AQ45+AM45</f>
        <v>0.13999999999999999</v>
      </c>
      <c r="AT45" s="75">
        <f t="shared" si="25"/>
        <v>0</v>
      </c>
      <c r="AU45" s="81"/>
      <c r="AV45" s="80"/>
      <c r="AW45" s="74">
        <f t="shared" si="20"/>
        <v>0</v>
      </c>
      <c r="AX45" s="76">
        <f t="shared" si="20"/>
        <v>0</v>
      </c>
      <c r="AY45" s="77">
        <f t="shared" ref="AY45:AY76" si="26">I45+AG45+AS45+AW45</f>
        <v>0.13999999999999999</v>
      </c>
      <c r="AZ45" s="78">
        <f t="shared" ref="AZ45:AZ76" si="27">J45+AH45+AT45+AX45</f>
        <v>0</v>
      </c>
      <c r="BA45" s="2" t="s">
        <v>91</v>
      </c>
      <c r="BB45" s="2">
        <f t="shared" si="21"/>
        <v>0</v>
      </c>
      <c r="BE45"/>
      <c r="BF45"/>
    </row>
    <row r="46" spans="1:58" ht="15" customHeight="1">
      <c r="A46" s="50"/>
      <c r="B46" s="65"/>
      <c r="C46" s="83">
        <v>33</v>
      </c>
      <c r="D46" s="141" t="s">
        <v>158</v>
      </c>
      <c r="E46" s="142" t="s">
        <v>159</v>
      </c>
      <c r="F46" s="143" t="s">
        <v>131</v>
      </c>
      <c r="G46" s="68"/>
      <c r="H46" s="69">
        <f t="shared" si="5"/>
        <v>0</v>
      </c>
      <c r="I46" s="70">
        <f t="shared" si="6"/>
        <v>0</v>
      </c>
      <c r="J46" s="71">
        <f t="shared" si="6"/>
        <v>0</v>
      </c>
      <c r="K46" s="81"/>
      <c r="L46" s="80">
        <f t="shared" si="7"/>
        <v>0</v>
      </c>
      <c r="M46" s="80"/>
      <c r="N46" s="80">
        <f t="shared" si="22"/>
        <v>0</v>
      </c>
      <c r="O46" s="80"/>
      <c r="P46" s="80">
        <f t="shared" si="22"/>
        <v>0</v>
      </c>
      <c r="Q46" s="80"/>
      <c r="R46" s="80">
        <f t="shared" si="23"/>
        <v>0</v>
      </c>
      <c r="S46" s="80"/>
      <c r="T46" s="80">
        <f t="shared" si="23"/>
        <v>0</v>
      </c>
      <c r="U46" s="80"/>
      <c r="V46" s="80">
        <f t="shared" si="24"/>
        <v>0</v>
      </c>
      <c r="W46" s="80"/>
      <c r="X46" s="80">
        <f t="shared" si="24"/>
        <v>0</v>
      </c>
      <c r="Y46" s="80"/>
      <c r="Z46" s="80">
        <f t="shared" si="11"/>
        <v>0</v>
      </c>
      <c r="AA46" s="80"/>
      <c r="AB46" s="80">
        <f t="shared" si="12"/>
        <v>0</v>
      </c>
      <c r="AC46" s="80"/>
      <c r="AD46" s="80">
        <f t="shared" si="13"/>
        <v>0</v>
      </c>
      <c r="AE46" s="80"/>
      <c r="AF46" s="80">
        <f t="shared" si="14"/>
        <v>0</v>
      </c>
      <c r="AG46" s="74">
        <f t="shared" si="3"/>
        <v>0</v>
      </c>
      <c r="AH46" s="209">
        <f t="shared" si="4"/>
        <v>0</v>
      </c>
      <c r="AI46" s="81">
        <v>0.22</v>
      </c>
      <c r="AJ46" s="80">
        <f t="shared" si="15"/>
        <v>0</v>
      </c>
      <c r="AK46" s="80"/>
      <c r="AL46" s="80">
        <f t="shared" si="16"/>
        <v>0</v>
      </c>
      <c r="AM46" s="80"/>
      <c r="AN46" s="80">
        <f t="shared" si="17"/>
        <v>0</v>
      </c>
      <c r="AO46" s="80"/>
      <c r="AP46" s="80">
        <f t="shared" si="18"/>
        <v>0</v>
      </c>
      <c r="AQ46" s="80"/>
      <c r="AR46" s="80">
        <f t="shared" si="19"/>
        <v>0</v>
      </c>
      <c r="AS46" s="74">
        <f t="shared" si="25"/>
        <v>0.22</v>
      </c>
      <c r="AT46" s="75">
        <f t="shared" si="25"/>
        <v>0</v>
      </c>
      <c r="AU46" s="81"/>
      <c r="AV46" s="80"/>
      <c r="AW46" s="74">
        <f t="shared" si="20"/>
        <v>0</v>
      </c>
      <c r="AX46" s="76">
        <f t="shared" si="20"/>
        <v>0</v>
      </c>
      <c r="AY46" s="77">
        <f t="shared" si="26"/>
        <v>0.22</v>
      </c>
      <c r="AZ46" s="78">
        <f t="shared" si="27"/>
        <v>0</v>
      </c>
      <c r="BA46" s="2" t="s">
        <v>91</v>
      </c>
      <c r="BB46" s="2">
        <f t="shared" si="21"/>
        <v>0</v>
      </c>
      <c r="BE46"/>
      <c r="BF46"/>
    </row>
    <row r="47" spans="1:58" ht="15" customHeight="1">
      <c r="A47" s="50"/>
      <c r="B47" s="65"/>
      <c r="C47" s="88">
        <v>34</v>
      </c>
      <c r="D47" s="141" t="s">
        <v>160</v>
      </c>
      <c r="E47" s="142" t="s">
        <v>161</v>
      </c>
      <c r="F47" s="86" t="s">
        <v>98</v>
      </c>
      <c r="G47" s="68"/>
      <c r="H47" s="69">
        <f t="shared" si="5"/>
        <v>0</v>
      </c>
      <c r="I47" s="70">
        <f t="shared" si="6"/>
        <v>0</v>
      </c>
      <c r="J47" s="71">
        <f t="shared" si="6"/>
        <v>0</v>
      </c>
      <c r="K47" s="81"/>
      <c r="L47" s="80">
        <f t="shared" si="7"/>
        <v>0</v>
      </c>
      <c r="M47" s="80">
        <v>0.01</v>
      </c>
      <c r="N47" s="80">
        <f t="shared" ref="N47:P64" si="28">N$13/M$13*M47</f>
        <v>0</v>
      </c>
      <c r="O47" s="80">
        <v>0.01</v>
      </c>
      <c r="P47" s="80">
        <f t="shared" si="28"/>
        <v>0</v>
      </c>
      <c r="Q47" s="80">
        <v>0.01</v>
      </c>
      <c r="R47" s="80">
        <f t="shared" ref="R47:T64" si="29">R$13/Q$13*Q47</f>
        <v>0</v>
      </c>
      <c r="S47" s="80">
        <v>0.01</v>
      </c>
      <c r="T47" s="80">
        <f t="shared" si="29"/>
        <v>0</v>
      </c>
      <c r="U47" s="80">
        <v>0.01</v>
      </c>
      <c r="V47" s="80">
        <f t="shared" ref="V47:X64" si="30">V$13/U$13*U47</f>
        <v>0</v>
      </c>
      <c r="W47" s="80">
        <v>0.01</v>
      </c>
      <c r="X47" s="80">
        <f t="shared" si="30"/>
        <v>0</v>
      </c>
      <c r="Y47" s="80">
        <v>0.01</v>
      </c>
      <c r="Z47" s="80">
        <f t="shared" si="11"/>
        <v>0</v>
      </c>
      <c r="AA47" s="80"/>
      <c r="AB47" s="80">
        <f t="shared" si="12"/>
        <v>0</v>
      </c>
      <c r="AC47" s="80"/>
      <c r="AD47" s="80">
        <f t="shared" si="13"/>
        <v>0</v>
      </c>
      <c r="AE47" s="80"/>
      <c r="AF47" s="80">
        <f t="shared" si="14"/>
        <v>0</v>
      </c>
      <c r="AG47" s="74">
        <f t="shared" si="3"/>
        <v>7.0000000000000007E-2</v>
      </c>
      <c r="AH47" s="209">
        <f t="shared" si="4"/>
        <v>0</v>
      </c>
      <c r="AI47" s="81"/>
      <c r="AJ47" s="80">
        <f t="shared" si="15"/>
        <v>0</v>
      </c>
      <c r="AK47" s="80"/>
      <c r="AL47" s="80">
        <f t="shared" si="16"/>
        <v>0</v>
      </c>
      <c r="AM47" s="80"/>
      <c r="AN47" s="80">
        <f t="shared" si="17"/>
        <v>0</v>
      </c>
      <c r="AO47" s="80"/>
      <c r="AP47" s="80">
        <f t="shared" si="18"/>
        <v>0</v>
      </c>
      <c r="AQ47" s="80"/>
      <c r="AR47" s="80">
        <f t="shared" si="19"/>
        <v>0</v>
      </c>
      <c r="AS47" s="74">
        <f t="shared" si="25"/>
        <v>0</v>
      </c>
      <c r="AT47" s="75">
        <f t="shared" si="25"/>
        <v>0</v>
      </c>
      <c r="AU47" s="81"/>
      <c r="AV47" s="80"/>
      <c r="AW47" s="74">
        <f t="shared" si="20"/>
        <v>0</v>
      </c>
      <c r="AX47" s="76">
        <f t="shared" si="20"/>
        <v>0</v>
      </c>
      <c r="AY47" s="77">
        <f t="shared" si="26"/>
        <v>7.0000000000000007E-2</v>
      </c>
      <c r="AZ47" s="78">
        <f t="shared" si="27"/>
        <v>0</v>
      </c>
      <c r="BA47" s="2" t="s">
        <v>91</v>
      </c>
      <c r="BB47" s="2">
        <f t="shared" si="21"/>
        <v>0</v>
      </c>
      <c r="BE47"/>
      <c r="BF47"/>
    </row>
    <row r="48" spans="1:58" ht="15" customHeight="1">
      <c r="A48" s="50"/>
      <c r="B48" s="65"/>
      <c r="C48" s="88">
        <v>35</v>
      </c>
      <c r="D48" s="141" t="s">
        <v>162</v>
      </c>
      <c r="E48" s="142" t="s">
        <v>163</v>
      </c>
      <c r="F48" s="143" t="s">
        <v>131</v>
      </c>
      <c r="G48" s="68"/>
      <c r="H48" s="69">
        <f t="shared" si="5"/>
        <v>0</v>
      </c>
      <c r="I48" s="70">
        <f t="shared" si="6"/>
        <v>0</v>
      </c>
      <c r="J48" s="71">
        <f t="shared" si="6"/>
        <v>0</v>
      </c>
      <c r="K48" s="81"/>
      <c r="L48" s="80">
        <f t="shared" si="7"/>
        <v>0</v>
      </c>
      <c r="M48" s="80"/>
      <c r="N48" s="80">
        <f t="shared" si="28"/>
        <v>0</v>
      </c>
      <c r="O48" s="80"/>
      <c r="P48" s="80">
        <f t="shared" si="28"/>
        <v>0</v>
      </c>
      <c r="Q48" s="80"/>
      <c r="R48" s="80">
        <f t="shared" si="29"/>
        <v>0</v>
      </c>
      <c r="S48" s="80"/>
      <c r="T48" s="80">
        <f t="shared" si="29"/>
        <v>0</v>
      </c>
      <c r="U48" s="80"/>
      <c r="V48" s="80">
        <f t="shared" si="30"/>
        <v>0</v>
      </c>
      <c r="W48" s="80"/>
      <c r="X48" s="80">
        <f t="shared" si="30"/>
        <v>0</v>
      </c>
      <c r="Y48" s="80"/>
      <c r="Z48" s="80">
        <f t="shared" si="11"/>
        <v>0</v>
      </c>
      <c r="AA48" s="80">
        <v>0.02</v>
      </c>
      <c r="AB48" s="80">
        <f t="shared" si="12"/>
        <v>0</v>
      </c>
      <c r="AC48" s="80"/>
      <c r="AD48" s="80">
        <f t="shared" si="13"/>
        <v>0</v>
      </c>
      <c r="AE48" s="80"/>
      <c r="AF48" s="80">
        <f t="shared" si="14"/>
        <v>0</v>
      </c>
      <c r="AG48" s="74">
        <f t="shared" si="3"/>
        <v>0.02</v>
      </c>
      <c r="AH48" s="209">
        <f t="shared" si="4"/>
        <v>0</v>
      </c>
      <c r="AI48" s="81"/>
      <c r="AJ48" s="80">
        <f t="shared" si="15"/>
        <v>0</v>
      </c>
      <c r="AK48" s="80"/>
      <c r="AL48" s="80">
        <f t="shared" si="16"/>
        <v>0</v>
      </c>
      <c r="AM48" s="80"/>
      <c r="AN48" s="80">
        <f t="shared" si="17"/>
        <v>0</v>
      </c>
      <c r="AO48" s="80"/>
      <c r="AP48" s="80">
        <f t="shared" si="18"/>
        <v>0</v>
      </c>
      <c r="AQ48" s="80"/>
      <c r="AR48" s="80">
        <f t="shared" si="19"/>
        <v>0</v>
      </c>
      <c r="AS48" s="74">
        <f t="shared" si="25"/>
        <v>0</v>
      </c>
      <c r="AT48" s="75">
        <f t="shared" si="25"/>
        <v>0</v>
      </c>
      <c r="AU48" s="81"/>
      <c r="AV48" s="80"/>
      <c r="AW48" s="74">
        <f t="shared" si="20"/>
        <v>0</v>
      </c>
      <c r="AX48" s="76">
        <f t="shared" si="20"/>
        <v>0</v>
      </c>
      <c r="AY48" s="77">
        <f t="shared" si="26"/>
        <v>0.02</v>
      </c>
      <c r="AZ48" s="78">
        <f t="shared" si="27"/>
        <v>0</v>
      </c>
      <c r="BA48" s="2" t="s">
        <v>91</v>
      </c>
      <c r="BB48" s="2">
        <f t="shared" si="21"/>
        <v>0</v>
      </c>
      <c r="BE48"/>
      <c r="BF48"/>
    </row>
    <row r="49" spans="1:58" ht="15" customHeight="1">
      <c r="A49" s="50"/>
      <c r="B49" s="65"/>
      <c r="C49" s="83">
        <v>36</v>
      </c>
      <c r="D49" s="141" t="s">
        <v>60</v>
      </c>
      <c r="E49" s="142" t="s">
        <v>61</v>
      </c>
      <c r="F49" s="143" t="s">
        <v>131</v>
      </c>
      <c r="G49" s="68"/>
      <c r="H49" s="69">
        <f t="shared" si="5"/>
        <v>0</v>
      </c>
      <c r="I49" s="70">
        <f t="shared" si="6"/>
        <v>0</v>
      </c>
      <c r="J49" s="71">
        <f t="shared" si="6"/>
        <v>0</v>
      </c>
      <c r="K49" s="81"/>
      <c r="L49" s="80">
        <f t="shared" si="7"/>
        <v>0</v>
      </c>
      <c r="M49" s="80"/>
      <c r="N49" s="80">
        <f t="shared" si="28"/>
        <v>0</v>
      </c>
      <c r="O49" s="80"/>
      <c r="P49" s="80">
        <f t="shared" si="28"/>
        <v>0</v>
      </c>
      <c r="Q49" s="80"/>
      <c r="R49" s="80">
        <f t="shared" si="29"/>
        <v>0</v>
      </c>
      <c r="S49" s="80"/>
      <c r="T49" s="80">
        <f t="shared" si="29"/>
        <v>0</v>
      </c>
      <c r="U49" s="80"/>
      <c r="V49" s="80">
        <f t="shared" si="30"/>
        <v>0</v>
      </c>
      <c r="W49" s="80"/>
      <c r="X49" s="80">
        <f t="shared" si="30"/>
        <v>0</v>
      </c>
      <c r="Y49" s="80"/>
      <c r="Z49" s="80">
        <f t="shared" si="11"/>
        <v>0</v>
      </c>
      <c r="AA49" s="80">
        <v>0.02</v>
      </c>
      <c r="AB49" s="80">
        <f t="shared" si="12"/>
        <v>0</v>
      </c>
      <c r="AC49" s="80"/>
      <c r="AD49" s="80">
        <f t="shared" si="13"/>
        <v>0</v>
      </c>
      <c r="AE49" s="80"/>
      <c r="AF49" s="80">
        <f t="shared" si="14"/>
        <v>0</v>
      </c>
      <c r="AG49" s="74">
        <f t="shared" si="3"/>
        <v>0.02</v>
      </c>
      <c r="AH49" s="209">
        <f t="shared" si="4"/>
        <v>0</v>
      </c>
      <c r="AI49" s="81"/>
      <c r="AJ49" s="80">
        <f t="shared" si="15"/>
        <v>0</v>
      </c>
      <c r="AK49" s="80"/>
      <c r="AL49" s="80">
        <f t="shared" si="16"/>
        <v>0</v>
      </c>
      <c r="AM49" s="80"/>
      <c r="AN49" s="80">
        <f t="shared" si="17"/>
        <v>0</v>
      </c>
      <c r="AO49" s="80"/>
      <c r="AP49" s="80">
        <f t="shared" si="18"/>
        <v>0</v>
      </c>
      <c r="AQ49" s="80"/>
      <c r="AR49" s="80">
        <f t="shared" si="19"/>
        <v>0</v>
      </c>
      <c r="AS49" s="74">
        <f t="shared" si="25"/>
        <v>0</v>
      </c>
      <c r="AT49" s="75">
        <f t="shared" si="25"/>
        <v>0</v>
      </c>
      <c r="AU49" s="81"/>
      <c r="AV49" s="80"/>
      <c r="AW49" s="74">
        <f t="shared" si="20"/>
        <v>0</v>
      </c>
      <c r="AX49" s="76">
        <f t="shared" si="20"/>
        <v>0</v>
      </c>
      <c r="AY49" s="77">
        <f t="shared" si="26"/>
        <v>0.02</v>
      </c>
      <c r="AZ49" s="78">
        <f t="shared" si="27"/>
        <v>0</v>
      </c>
      <c r="BA49" s="2" t="s">
        <v>91</v>
      </c>
      <c r="BB49" s="2">
        <f t="shared" si="21"/>
        <v>0</v>
      </c>
      <c r="BE49"/>
      <c r="BF49"/>
    </row>
    <row r="50" spans="1:58" ht="15" customHeight="1">
      <c r="A50" s="50"/>
      <c r="B50" s="65"/>
      <c r="C50" s="88">
        <v>37</v>
      </c>
      <c r="D50" s="141" t="s">
        <v>164</v>
      </c>
      <c r="E50" s="142" t="s">
        <v>165</v>
      </c>
      <c r="F50" s="143" t="s">
        <v>131</v>
      </c>
      <c r="G50" s="68"/>
      <c r="H50" s="69">
        <f>$H$13/$G$13*G50</f>
        <v>0</v>
      </c>
      <c r="I50" s="70">
        <f t="shared" si="6"/>
        <v>0</v>
      </c>
      <c r="J50" s="71">
        <f t="shared" si="6"/>
        <v>0</v>
      </c>
      <c r="K50" s="81"/>
      <c r="L50" s="80">
        <f t="shared" si="7"/>
        <v>0</v>
      </c>
      <c r="M50" s="80"/>
      <c r="N50" s="80">
        <f t="shared" si="28"/>
        <v>0</v>
      </c>
      <c r="O50" s="80"/>
      <c r="P50" s="80">
        <f t="shared" si="28"/>
        <v>0</v>
      </c>
      <c r="Q50" s="80"/>
      <c r="R50" s="80">
        <f t="shared" si="29"/>
        <v>0</v>
      </c>
      <c r="S50" s="80"/>
      <c r="T50" s="80">
        <f t="shared" si="29"/>
        <v>0</v>
      </c>
      <c r="U50" s="80"/>
      <c r="V50" s="80">
        <f t="shared" si="30"/>
        <v>0</v>
      </c>
      <c r="W50" s="80"/>
      <c r="X50" s="80">
        <f t="shared" si="30"/>
        <v>0</v>
      </c>
      <c r="Y50" s="80"/>
      <c r="Z50" s="80">
        <f t="shared" si="11"/>
        <v>0</v>
      </c>
      <c r="AA50" s="80"/>
      <c r="AB50" s="80">
        <f t="shared" si="12"/>
        <v>0</v>
      </c>
      <c r="AC50" s="80"/>
      <c r="AD50" s="80">
        <f t="shared" si="13"/>
        <v>0</v>
      </c>
      <c r="AE50" s="80"/>
      <c r="AF50" s="80">
        <f t="shared" si="14"/>
        <v>0</v>
      </c>
      <c r="AG50" s="74">
        <f t="shared" si="3"/>
        <v>0</v>
      </c>
      <c r="AH50" s="209">
        <f t="shared" si="4"/>
        <v>0</v>
      </c>
      <c r="AI50" s="81">
        <v>0.05</v>
      </c>
      <c r="AJ50" s="80">
        <f t="shared" si="15"/>
        <v>0</v>
      </c>
      <c r="AK50" s="80">
        <v>0.01</v>
      </c>
      <c r="AL50" s="80">
        <f t="shared" si="16"/>
        <v>0</v>
      </c>
      <c r="AM50" s="80">
        <v>0.01</v>
      </c>
      <c r="AN50" s="80">
        <f t="shared" si="17"/>
        <v>0</v>
      </c>
      <c r="AO50" s="80"/>
      <c r="AP50" s="80">
        <f t="shared" si="18"/>
        <v>0</v>
      </c>
      <c r="AQ50" s="80"/>
      <c r="AR50" s="80">
        <f t="shared" si="19"/>
        <v>0</v>
      </c>
      <c r="AS50" s="74">
        <f t="shared" si="25"/>
        <v>7.0000000000000007E-2</v>
      </c>
      <c r="AT50" s="75">
        <f t="shared" si="25"/>
        <v>0</v>
      </c>
      <c r="AU50" s="81"/>
      <c r="AV50" s="80"/>
      <c r="AW50" s="74">
        <f t="shared" si="20"/>
        <v>0</v>
      </c>
      <c r="AX50" s="76">
        <f t="shared" si="20"/>
        <v>0</v>
      </c>
      <c r="AY50" s="77">
        <f t="shared" si="26"/>
        <v>7.0000000000000007E-2</v>
      </c>
      <c r="AZ50" s="78">
        <f t="shared" si="27"/>
        <v>0</v>
      </c>
      <c r="BA50" s="2" t="s">
        <v>91</v>
      </c>
      <c r="BB50" s="2">
        <f t="shared" si="21"/>
        <v>0</v>
      </c>
      <c r="BE50"/>
      <c r="BF50"/>
    </row>
    <row r="51" spans="1:58" ht="15" customHeight="1">
      <c r="A51" s="50"/>
      <c r="B51" s="65"/>
      <c r="C51" s="88">
        <v>38</v>
      </c>
      <c r="D51" s="141" t="s">
        <v>166</v>
      </c>
      <c r="E51" s="142" t="s">
        <v>167</v>
      </c>
      <c r="F51" s="86" t="s">
        <v>98</v>
      </c>
      <c r="G51" s="68">
        <v>0.01</v>
      </c>
      <c r="H51" s="69">
        <f t="shared" si="5"/>
        <v>0</v>
      </c>
      <c r="I51" s="70">
        <f t="shared" si="6"/>
        <v>0.01</v>
      </c>
      <c r="J51" s="71">
        <f t="shared" si="6"/>
        <v>0</v>
      </c>
      <c r="K51" s="81">
        <v>0.01</v>
      </c>
      <c r="L51" s="80">
        <f t="shared" si="7"/>
        <v>0</v>
      </c>
      <c r="M51" s="80"/>
      <c r="N51" s="80">
        <f t="shared" si="28"/>
        <v>0</v>
      </c>
      <c r="O51" s="80"/>
      <c r="P51" s="80">
        <f t="shared" si="28"/>
        <v>0</v>
      </c>
      <c r="Q51" s="80"/>
      <c r="R51" s="80">
        <f t="shared" si="29"/>
        <v>0</v>
      </c>
      <c r="S51" s="80"/>
      <c r="T51" s="80">
        <f t="shared" si="29"/>
        <v>0</v>
      </c>
      <c r="U51" s="80"/>
      <c r="V51" s="80">
        <f t="shared" si="30"/>
        <v>0</v>
      </c>
      <c r="W51" s="80"/>
      <c r="X51" s="80">
        <f t="shared" si="30"/>
        <v>0</v>
      </c>
      <c r="Y51" s="80"/>
      <c r="Z51" s="80">
        <f t="shared" si="11"/>
        <v>0</v>
      </c>
      <c r="AA51" s="80"/>
      <c r="AB51" s="80">
        <f t="shared" si="12"/>
        <v>0</v>
      </c>
      <c r="AC51" s="80"/>
      <c r="AD51" s="80">
        <f t="shared" si="13"/>
        <v>0</v>
      </c>
      <c r="AE51" s="80"/>
      <c r="AF51" s="80">
        <f t="shared" si="14"/>
        <v>0</v>
      </c>
      <c r="AG51" s="74">
        <f t="shared" si="3"/>
        <v>0.01</v>
      </c>
      <c r="AH51" s="209">
        <f t="shared" si="4"/>
        <v>0</v>
      </c>
      <c r="AI51" s="81"/>
      <c r="AJ51" s="80">
        <f t="shared" si="15"/>
        <v>0</v>
      </c>
      <c r="AK51" s="80"/>
      <c r="AL51" s="80">
        <f t="shared" si="16"/>
        <v>0</v>
      </c>
      <c r="AM51" s="80"/>
      <c r="AN51" s="80">
        <f t="shared" si="17"/>
        <v>0</v>
      </c>
      <c r="AO51" s="80"/>
      <c r="AP51" s="80">
        <f t="shared" si="18"/>
        <v>0</v>
      </c>
      <c r="AQ51" s="80"/>
      <c r="AR51" s="80">
        <f t="shared" si="19"/>
        <v>0</v>
      </c>
      <c r="AS51" s="74">
        <f t="shared" si="25"/>
        <v>0</v>
      </c>
      <c r="AT51" s="75">
        <f t="shared" si="25"/>
        <v>0</v>
      </c>
      <c r="AU51" s="81"/>
      <c r="AV51" s="80"/>
      <c r="AW51" s="74">
        <f t="shared" si="20"/>
        <v>0</v>
      </c>
      <c r="AX51" s="76">
        <f t="shared" si="20"/>
        <v>0</v>
      </c>
      <c r="AY51" s="77">
        <f t="shared" si="26"/>
        <v>0.02</v>
      </c>
      <c r="AZ51" s="78">
        <f t="shared" si="27"/>
        <v>0</v>
      </c>
      <c r="BA51" s="2" t="s">
        <v>91</v>
      </c>
      <c r="BB51" s="2">
        <f t="shared" si="21"/>
        <v>0</v>
      </c>
      <c r="BE51"/>
      <c r="BF51"/>
    </row>
    <row r="52" spans="1:58" ht="15" customHeight="1">
      <c r="A52" s="50"/>
      <c r="B52" s="65"/>
      <c r="C52" s="144">
        <v>39</v>
      </c>
      <c r="D52" s="141" t="s">
        <v>168</v>
      </c>
      <c r="E52" s="142" t="s">
        <v>169</v>
      </c>
      <c r="F52" s="86" t="s">
        <v>121</v>
      </c>
      <c r="G52" s="68"/>
      <c r="H52" s="69">
        <f t="shared" si="5"/>
        <v>0</v>
      </c>
      <c r="I52" s="70">
        <f t="shared" si="6"/>
        <v>0</v>
      </c>
      <c r="J52" s="71">
        <f t="shared" si="6"/>
        <v>0</v>
      </c>
      <c r="K52" s="81"/>
      <c r="L52" s="80">
        <f t="shared" si="7"/>
        <v>0</v>
      </c>
      <c r="M52" s="80">
        <v>0.01</v>
      </c>
      <c r="N52" s="80">
        <f t="shared" si="28"/>
        <v>0</v>
      </c>
      <c r="O52" s="80">
        <v>0.01</v>
      </c>
      <c r="P52" s="80">
        <f t="shared" si="28"/>
        <v>0</v>
      </c>
      <c r="Q52" s="80">
        <v>0.01</v>
      </c>
      <c r="R52" s="80">
        <f t="shared" si="29"/>
        <v>0</v>
      </c>
      <c r="S52" s="80">
        <v>0.01</v>
      </c>
      <c r="T52" s="80">
        <f t="shared" si="29"/>
        <v>0</v>
      </c>
      <c r="U52" s="80">
        <v>0.01</v>
      </c>
      <c r="V52" s="80">
        <f t="shared" si="30"/>
        <v>0</v>
      </c>
      <c r="W52" s="80">
        <v>0.01</v>
      </c>
      <c r="X52" s="80">
        <f t="shared" si="30"/>
        <v>0</v>
      </c>
      <c r="Y52" s="80">
        <v>0.01</v>
      </c>
      <c r="Z52" s="80">
        <f t="shared" si="11"/>
        <v>0</v>
      </c>
      <c r="AA52" s="80">
        <v>0.01</v>
      </c>
      <c r="AB52" s="80">
        <f t="shared" si="12"/>
        <v>0</v>
      </c>
      <c r="AC52" s="80"/>
      <c r="AD52" s="80">
        <f t="shared" si="13"/>
        <v>0</v>
      </c>
      <c r="AE52" s="80"/>
      <c r="AF52" s="80">
        <f t="shared" si="14"/>
        <v>0</v>
      </c>
      <c r="AG52" s="74">
        <f t="shared" si="3"/>
        <v>0.08</v>
      </c>
      <c r="AH52" s="209">
        <f t="shared" si="4"/>
        <v>0</v>
      </c>
      <c r="AI52" s="81">
        <v>0.02</v>
      </c>
      <c r="AJ52" s="80">
        <f t="shared" si="15"/>
        <v>0</v>
      </c>
      <c r="AK52" s="80"/>
      <c r="AL52" s="80">
        <f t="shared" si="16"/>
        <v>0</v>
      </c>
      <c r="AM52" s="80"/>
      <c r="AN52" s="80">
        <f t="shared" si="17"/>
        <v>0</v>
      </c>
      <c r="AO52" s="80"/>
      <c r="AP52" s="80">
        <f t="shared" si="18"/>
        <v>0</v>
      </c>
      <c r="AQ52" s="80"/>
      <c r="AR52" s="80">
        <f t="shared" si="19"/>
        <v>0</v>
      </c>
      <c r="AS52" s="74">
        <f t="shared" si="25"/>
        <v>0.02</v>
      </c>
      <c r="AT52" s="75">
        <f t="shared" si="25"/>
        <v>0</v>
      </c>
      <c r="AU52" s="81"/>
      <c r="AV52" s="80"/>
      <c r="AW52" s="74">
        <f t="shared" si="20"/>
        <v>0</v>
      </c>
      <c r="AX52" s="76">
        <f t="shared" si="20"/>
        <v>0</v>
      </c>
      <c r="AY52" s="77">
        <f t="shared" si="26"/>
        <v>0.1</v>
      </c>
      <c r="AZ52" s="78">
        <f t="shared" si="27"/>
        <v>0</v>
      </c>
      <c r="BA52" s="2" t="s">
        <v>91</v>
      </c>
      <c r="BB52" s="2">
        <f t="shared" si="21"/>
        <v>0</v>
      </c>
      <c r="BE52"/>
      <c r="BF52"/>
    </row>
    <row r="53" spans="1:58" ht="15" customHeight="1">
      <c r="A53" s="50"/>
      <c r="B53" s="82" t="s">
        <v>170</v>
      </c>
      <c r="C53" s="88">
        <v>40</v>
      </c>
      <c r="D53" s="141" t="s">
        <v>171</v>
      </c>
      <c r="E53" s="142" t="s">
        <v>172</v>
      </c>
      <c r="F53" s="86" t="s">
        <v>121</v>
      </c>
      <c r="G53" s="68"/>
      <c r="H53" s="69">
        <f t="shared" si="5"/>
        <v>0</v>
      </c>
      <c r="I53" s="70">
        <f t="shared" si="6"/>
        <v>0</v>
      </c>
      <c r="J53" s="71">
        <f t="shared" si="6"/>
        <v>0</v>
      </c>
      <c r="K53" s="81"/>
      <c r="L53" s="80">
        <f t="shared" si="7"/>
        <v>0</v>
      </c>
      <c r="M53" s="80">
        <v>0.01</v>
      </c>
      <c r="N53" s="80">
        <f t="shared" si="28"/>
        <v>0</v>
      </c>
      <c r="O53" s="80">
        <v>0.01</v>
      </c>
      <c r="P53" s="80">
        <f t="shared" si="28"/>
        <v>0</v>
      </c>
      <c r="Q53" s="80">
        <v>0.01</v>
      </c>
      <c r="R53" s="80">
        <f t="shared" si="29"/>
        <v>0</v>
      </c>
      <c r="S53" s="80">
        <v>0.01</v>
      </c>
      <c r="T53" s="80">
        <f t="shared" si="29"/>
        <v>0</v>
      </c>
      <c r="U53" s="80">
        <v>0.01</v>
      </c>
      <c r="V53" s="80">
        <f t="shared" si="30"/>
        <v>0</v>
      </c>
      <c r="W53" s="80">
        <v>0.01</v>
      </c>
      <c r="X53" s="80">
        <f t="shared" si="30"/>
        <v>0</v>
      </c>
      <c r="Y53" s="80">
        <v>0.01</v>
      </c>
      <c r="Z53" s="80">
        <f t="shared" si="11"/>
        <v>0</v>
      </c>
      <c r="AA53" s="80"/>
      <c r="AB53" s="80">
        <f t="shared" si="12"/>
        <v>0</v>
      </c>
      <c r="AC53" s="80"/>
      <c r="AD53" s="80">
        <f t="shared" si="13"/>
        <v>0</v>
      </c>
      <c r="AE53" s="80"/>
      <c r="AF53" s="80">
        <f t="shared" si="14"/>
        <v>0</v>
      </c>
      <c r="AG53" s="74">
        <f t="shared" si="3"/>
        <v>7.0000000000000007E-2</v>
      </c>
      <c r="AH53" s="209">
        <f t="shared" si="4"/>
        <v>0</v>
      </c>
      <c r="AI53" s="81"/>
      <c r="AJ53" s="80">
        <f t="shared" si="15"/>
        <v>0</v>
      </c>
      <c r="AK53" s="80"/>
      <c r="AL53" s="80">
        <f t="shared" si="16"/>
        <v>0</v>
      </c>
      <c r="AM53" s="80"/>
      <c r="AN53" s="80">
        <f t="shared" si="17"/>
        <v>0</v>
      </c>
      <c r="AO53" s="80"/>
      <c r="AP53" s="80">
        <f t="shared" si="18"/>
        <v>0</v>
      </c>
      <c r="AQ53" s="80"/>
      <c r="AR53" s="80">
        <f t="shared" si="19"/>
        <v>0</v>
      </c>
      <c r="AS53" s="74">
        <f t="shared" si="25"/>
        <v>0</v>
      </c>
      <c r="AT53" s="75">
        <f t="shared" si="25"/>
        <v>0</v>
      </c>
      <c r="AU53" s="81"/>
      <c r="AV53" s="80"/>
      <c r="AW53" s="74">
        <f t="shared" si="20"/>
        <v>0</v>
      </c>
      <c r="AX53" s="76">
        <f t="shared" si="20"/>
        <v>0</v>
      </c>
      <c r="AY53" s="77">
        <f t="shared" si="26"/>
        <v>7.0000000000000007E-2</v>
      </c>
      <c r="AZ53" s="78">
        <f t="shared" si="27"/>
        <v>0</v>
      </c>
      <c r="BA53" s="2" t="s">
        <v>91</v>
      </c>
      <c r="BB53" s="2">
        <f t="shared" si="21"/>
        <v>0</v>
      </c>
      <c r="BE53"/>
      <c r="BF53"/>
    </row>
    <row r="54" spans="1:58" ht="15" customHeight="1">
      <c r="A54" s="50"/>
      <c r="B54" s="65"/>
      <c r="C54" s="88">
        <v>41</v>
      </c>
      <c r="D54" s="141" t="s">
        <v>173</v>
      </c>
      <c r="E54" s="142" t="s">
        <v>174</v>
      </c>
      <c r="F54" s="143" t="s">
        <v>131</v>
      </c>
      <c r="G54" s="68"/>
      <c r="H54" s="69">
        <f t="shared" si="5"/>
        <v>0</v>
      </c>
      <c r="I54" s="70">
        <f t="shared" si="6"/>
        <v>0</v>
      </c>
      <c r="J54" s="71">
        <f t="shared" si="6"/>
        <v>0</v>
      </c>
      <c r="K54" s="81"/>
      <c r="L54" s="80">
        <f t="shared" si="7"/>
        <v>0</v>
      </c>
      <c r="M54" s="80">
        <v>0.15</v>
      </c>
      <c r="N54" s="80">
        <f t="shared" si="28"/>
        <v>0</v>
      </c>
      <c r="O54" s="80">
        <v>0.15</v>
      </c>
      <c r="P54" s="80">
        <f t="shared" si="28"/>
        <v>0</v>
      </c>
      <c r="Q54" s="80">
        <v>0.15</v>
      </c>
      <c r="R54" s="80">
        <f t="shared" si="29"/>
        <v>0</v>
      </c>
      <c r="S54" s="80">
        <v>0.15</v>
      </c>
      <c r="T54" s="80">
        <f t="shared" si="29"/>
        <v>0</v>
      </c>
      <c r="U54" s="80">
        <v>0.15</v>
      </c>
      <c r="V54" s="80">
        <f t="shared" si="30"/>
        <v>0</v>
      </c>
      <c r="W54" s="80">
        <v>0.1</v>
      </c>
      <c r="X54" s="80">
        <f t="shared" si="30"/>
        <v>0</v>
      </c>
      <c r="Y54" s="80">
        <v>0.15</v>
      </c>
      <c r="Z54" s="80">
        <f t="shared" si="11"/>
        <v>0</v>
      </c>
      <c r="AA54" s="80"/>
      <c r="AB54" s="80">
        <f t="shared" si="12"/>
        <v>0</v>
      </c>
      <c r="AC54" s="80"/>
      <c r="AD54" s="80">
        <f t="shared" si="13"/>
        <v>0</v>
      </c>
      <c r="AE54" s="80"/>
      <c r="AF54" s="80">
        <f t="shared" si="14"/>
        <v>0</v>
      </c>
      <c r="AG54" s="74">
        <f t="shared" si="3"/>
        <v>1</v>
      </c>
      <c r="AH54" s="209">
        <f t="shared" si="4"/>
        <v>0</v>
      </c>
      <c r="AI54" s="81"/>
      <c r="AJ54" s="80">
        <f t="shared" si="15"/>
        <v>0</v>
      </c>
      <c r="AK54" s="80"/>
      <c r="AL54" s="80">
        <f t="shared" si="16"/>
        <v>0</v>
      </c>
      <c r="AM54" s="80"/>
      <c r="AN54" s="80">
        <f t="shared" si="17"/>
        <v>0</v>
      </c>
      <c r="AO54" s="80"/>
      <c r="AP54" s="80">
        <f t="shared" si="18"/>
        <v>0</v>
      </c>
      <c r="AQ54" s="80"/>
      <c r="AR54" s="80">
        <f t="shared" si="19"/>
        <v>0</v>
      </c>
      <c r="AS54" s="74">
        <f t="shared" si="25"/>
        <v>0</v>
      </c>
      <c r="AT54" s="75">
        <f t="shared" si="25"/>
        <v>0</v>
      </c>
      <c r="AU54" s="81"/>
      <c r="AV54" s="80"/>
      <c r="AW54" s="74">
        <f t="shared" si="20"/>
        <v>0</v>
      </c>
      <c r="AX54" s="76">
        <f t="shared" si="20"/>
        <v>0</v>
      </c>
      <c r="AY54" s="77">
        <f t="shared" si="26"/>
        <v>1</v>
      </c>
      <c r="AZ54" s="78">
        <f t="shared" si="27"/>
        <v>0</v>
      </c>
      <c r="BA54" s="2" t="s">
        <v>91</v>
      </c>
      <c r="BB54" s="2">
        <f t="shared" si="21"/>
        <v>0</v>
      </c>
      <c r="BE54"/>
      <c r="BF54"/>
    </row>
    <row r="55" spans="1:58" ht="15" customHeight="1">
      <c r="A55" s="50"/>
      <c r="B55" s="65"/>
      <c r="C55" s="83">
        <v>42</v>
      </c>
      <c r="D55" s="141" t="s">
        <v>175</v>
      </c>
      <c r="E55" s="142" t="s">
        <v>176</v>
      </c>
      <c r="F55" s="143" t="s">
        <v>131</v>
      </c>
      <c r="G55" s="68"/>
      <c r="H55" s="69">
        <f t="shared" si="5"/>
        <v>0</v>
      </c>
      <c r="I55" s="70">
        <f t="shared" si="6"/>
        <v>0</v>
      </c>
      <c r="J55" s="71">
        <f t="shared" si="6"/>
        <v>0</v>
      </c>
      <c r="K55" s="81"/>
      <c r="L55" s="80">
        <f t="shared" si="7"/>
        <v>0</v>
      </c>
      <c r="M55" s="80">
        <v>0.03</v>
      </c>
      <c r="N55" s="80">
        <f t="shared" si="28"/>
        <v>0</v>
      </c>
      <c r="O55" s="80">
        <v>0.03</v>
      </c>
      <c r="P55" s="80">
        <f t="shared" si="28"/>
        <v>0</v>
      </c>
      <c r="Q55" s="80">
        <v>0.03</v>
      </c>
      <c r="R55" s="80">
        <f t="shared" si="29"/>
        <v>0</v>
      </c>
      <c r="S55" s="80">
        <v>0.02</v>
      </c>
      <c r="T55" s="80">
        <f t="shared" si="29"/>
        <v>0</v>
      </c>
      <c r="U55" s="80">
        <v>0.04</v>
      </c>
      <c r="V55" s="80">
        <f t="shared" si="30"/>
        <v>0</v>
      </c>
      <c r="W55" s="80">
        <v>0.05</v>
      </c>
      <c r="X55" s="80">
        <f t="shared" si="30"/>
        <v>0</v>
      </c>
      <c r="Y55" s="80">
        <v>0.02</v>
      </c>
      <c r="Z55" s="80">
        <f t="shared" si="11"/>
        <v>0</v>
      </c>
      <c r="AA55" s="80"/>
      <c r="AB55" s="80">
        <f t="shared" si="12"/>
        <v>0</v>
      </c>
      <c r="AC55" s="80"/>
      <c r="AD55" s="80">
        <f t="shared" si="13"/>
        <v>0</v>
      </c>
      <c r="AE55" s="80"/>
      <c r="AF55" s="80">
        <f t="shared" si="14"/>
        <v>0</v>
      </c>
      <c r="AG55" s="74">
        <f t="shared" si="3"/>
        <v>0.22</v>
      </c>
      <c r="AH55" s="209">
        <f t="shared" si="4"/>
        <v>0</v>
      </c>
      <c r="AI55" s="81"/>
      <c r="AJ55" s="80">
        <f t="shared" si="15"/>
        <v>0</v>
      </c>
      <c r="AK55" s="80"/>
      <c r="AL55" s="80">
        <f t="shared" si="16"/>
        <v>0</v>
      </c>
      <c r="AM55" s="80"/>
      <c r="AN55" s="80">
        <f t="shared" si="17"/>
        <v>0</v>
      </c>
      <c r="AO55" s="80"/>
      <c r="AP55" s="80">
        <f t="shared" si="18"/>
        <v>0</v>
      </c>
      <c r="AQ55" s="80"/>
      <c r="AR55" s="80">
        <f t="shared" si="19"/>
        <v>0</v>
      </c>
      <c r="AS55" s="74">
        <f t="shared" si="25"/>
        <v>0</v>
      </c>
      <c r="AT55" s="75">
        <f t="shared" si="25"/>
        <v>0</v>
      </c>
      <c r="AU55" s="81"/>
      <c r="AV55" s="80"/>
      <c r="AW55" s="74">
        <f t="shared" si="20"/>
        <v>0</v>
      </c>
      <c r="AX55" s="76">
        <f t="shared" si="20"/>
        <v>0</v>
      </c>
      <c r="AY55" s="77">
        <f t="shared" si="26"/>
        <v>0.22</v>
      </c>
      <c r="AZ55" s="78">
        <f t="shared" si="27"/>
        <v>0</v>
      </c>
      <c r="BA55" s="2" t="s">
        <v>91</v>
      </c>
      <c r="BB55" s="2">
        <f t="shared" si="21"/>
        <v>0</v>
      </c>
      <c r="BE55"/>
      <c r="BF55"/>
    </row>
    <row r="56" spans="1:58" ht="15" customHeight="1">
      <c r="A56" s="50"/>
      <c r="B56" s="65"/>
      <c r="C56" s="144">
        <v>43</v>
      </c>
      <c r="D56" s="141" t="s">
        <v>177</v>
      </c>
      <c r="E56" s="142" t="s">
        <v>178</v>
      </c>
      <c r="F56" s="86" t="s">
        <v>113</v>
      </c>
      <c r="G56" s="68"/>
      <c r="H56" s="69">
        <f t="shared" si="5"/>
        <v>0</v>
      </c>
      <c r="I56" s="70">
        <f t="shared" si="6"/>
        <v>0</v>
      </c>
      <c r="J56" s="71">
        <f t="shared" si="6"/>
        <v>0</v>
      </c>
      <c r="K56" s="81"/>
      <c r="L56" s="80">
        <f>L$13/K$13*K56</f>
        <v>0</v>
      </c>
      <c r="M56" s="80">
        <v>0.01</v>
      </c>
      <c r="N56" s="80">
        <f t="shared" si="28"/>
        <v>0</v>
      </c>
      <c r="O56" s="80">
        <v>0.01</v>
      </c>
      <c r="P56" s="80">
        <f t="shared" si="28"/>
        <v>0</v>
      </c>
      <c r="Q56" s="80">
        <v>0.01</v>
      </c>
      <c r="R56" s="80">
        <f t="shared" si="29"/>
        <v>0</v>
      </c>
      <c r="S56" s="80">
        <v>0.01</v>
      </c>
      <c r="T56" s="80">
        <f t="shared" si="29"/>
        <v>0</v>
      </c>
      <c r="U56" s="80">
        <v>0.04</v>
      </c>
      <c r="V56" s="80">
        <f t="shared" si="30"/>
        <v>0</v>
      </c>
      <c r="W56" s="80">
        <v>0.04</v>
      </c>
      <c r="X56" s="80">
        <f t="shared" si="30"/>
        <v>0</v>
      </c>
      <c r="Y56" s="80">
        <v>0.01</v>
      </c>
      <c r="Z56" s="80">
        <f t="shared" si="11"/>
        <v>0</v>
      </c>
      <c r="AA56" s="80"/>
      <c r="AB56" s="80">
        <f t="shared" si="12"/>
        <v>0</v>
      </c>
      <c r="AC56" s="80"/>
      <c r="AD56" s="80">
        <f t="shared" si="13"/>
        <v>0</v>
      </c>
      <c r="AE56" s="80"/>
      <c r="AF56" s="80">
        <f t="shared" si="14"/>
        <v>0</v>
      </c>
      <c r="AG56" s="74">
        <f t="shared" si="3"/>
        <v>0.13</v>
      </c>
      <c r="AH56" s="209">
        <f t="shared" si="4"/>
        <v>0</v>
      </c>
      <c r="AI56" s="81"/>
      <c r="AJ56" s="80">
        <f t="shared" si="15"/>
        <v>0</v>
      </c>
      <c r="AK56" s="80"/>
      <c r="AL56" s="80">
        <f t="shared" si="16"/>
        <v>0</v>
      </c>
      <c r="AM56" s="80"/>
      <c r="AN56" s="80">
        <f t="shared" si="17"/>
        <v>0</v>
      </c>
      <c r="AO56" s="80"/>
      <c r="AP56" s="80">
        <f t="shared" si="18"/>
        <v>0</v>
      </c>
      <c r="AQ56" s="80"/>
      <c r="AR56" s="80">
        <f t="shared" si="19"/>
        <v>0</v>
      </c>
      <c r="AS56" s="74">
        <f t="shared" si="25"/>
        <v>0</v>
      </c>
      <c r="AT56" s="75">
        <f t="shared" si="25"/>
        <v>0</v>
      </c>
      <c r="AU56" s="81"/>
      <c r="AV56" s="80"/>
      <c r="AW56" s="74">
        <f t="shared" si="20"/>
        <v>0</v>
      </c>
      <c r="AX56" s="76">
        <f t="shared" si="20"/>
        <v>0</v>
      </c>
      <c r="AY56" s="77">
        <f t="shared" si="26"/>
        <v>0.13</v>
      </c>
      <c r="AZ56" s="78">
        <f t="shared" si="27"/>
        <v>0</v>
      </c>
      <c r="BA56" s="2" t="s">
        <v>91</v>
      </c>
      <c r="BB56" s="2">
        <f t="shared" si="21"/>
        <v>0</v>
      </c>
      <c r="BE56"/>
      <c r="BF56"/>
    </row>
    <row r="57" spans="1:58" ht="15" customHeight="1">
      <c r="A57" s="50"/>
      <c r="B57" s="215" t="s">
        <v>179</v>
      </c>
      <c r="C57" s="83">
        <v>44</v>
      </c>
      <c r="D57" s="141" t="s">
        <v>180</v>
      </c>
      <c r="E57" s="142" t="s">
        <v>181</v>
      </c>
      <c r="F57" s="86" t="s">
        <v>113</v>
      </c>
      <c r="G57" s="68"/>
      <c r="H57" s="69">
        <f t="shared" si="5"/>
        <v>0</v>
      </c>
      <c r="I57" s="70">
        <f t="shared" si="6"/>
        <v>0</v>
      </c>
      <c r="J57" s="71">
        <f t="shared" si="6"/>
        <v>0</v>
      </c>
      <c r="K57" s="81"/>
      <c r="L57" s="80">
        <f t="shared" si="7"/>
        <v>0</v>
      </c>
      <c r="M57" s="80">
        <v>0.02</v>
      </c>
      <c r="N57" s="80">
        <f t="shared" si="28"/>
        <v>0</v>
      </c>
      <c r="O57" s="80">
        <v>0.02</v>
      </c>
      <c r="P57" s="80">
        <f t="shared" si="28"/>
        <v>0</v>
      </c>
      <c r="Q57" s="80">
        <v>0.02</v>
      </c>
      <c r="R57" s="80">
        <f t="shared" si="29"/>
        <v>0</v>
      </c>
      <c r="S57" s="80">
        <v>0.02</v>
      </c>
      <c r="T57" s="80">
        <f t="shared" si="29"/>
        <v>0</v>
      </c>
      <c r="U57" s="80">
        <v>0.02</v>
      </c>
      <c r="V57" s="80">
        <f t="shared" si="30"/>
        <v>0</v>
      </c>
      <c r="W57" s="80">
        <v>0.02</v>
      </c>
      <c r="X57" s="80">
        <f t="shared" si="30"/>
        <v>0</v>
      </c>
      <c r="Y57" s="80">
        <v>0.02</v>
      </c>
      <c r="Z57" s="80">
        <f t="shared" si="11"/>
        <v>0</v>
      </c>
      <c r="AA57" s="80"/>
      <c r="AB57" s="80">
        <f t="shared" si="12"/>
        <v>0</v>
      </c>
      <c r="AC57" s="80"/>
      <c r="AD57" s="80">
        <f t="shared" si="13"/>
        <v>0</v>
      </c>
      <c r="AE57" s="80"/>
      <c r="AF57" s="80">
        <f t="shared" si="14"/>
        <v>0</v>
      </c>
      <c r="AG57" s="74">
        <f t="shared" si="3"/>
        <v>0.14000000000000001</v>
      </c>
      <c r="AH57" s="209">
        <f t="shared" si="4"/>
        <v>0</v>
      </c>
      <c r="AI57" s="81"/>
      <c r="AJ57" s="80">
        <f t="shared" si="15"/>
        <v>0</v>
      </c>
      <c r="AK57" s="80"/>
      <c r="AL57" s="80">
        <f t="shared" si="16"/>
        <v>0</v>
      </c>
      <c r="AM57" s="80"/>
      <c r="AN57" s="80">
        <f t="shared" si="17"/>
        <v>0</v>
      </c>
      <c r="AO57" s="80"/>
      <c r="AP57" s="80">
        <f t="shared" si="18"/>
        <v>0</v>
      </c>
      <c r="AQ57" s="80"/>
      <c r="AR57" s="80">
        <f t="shared" si="19"/>
        <v>0</v>
      </c>
      <c r="AS57" s="74">
        <f t="shared" si="25"/>
        <v>0</v>
      </c>
      <c r="AT57" s="75">
        <f t="shared" si="25"/>
        <v>0</v>
      </c>
      <c r="AU57" s="81"/>
      <c r="AV57" s="80"/>
      <c r="AW57" s="74">
        <f t="shared" si="20"/>
        <v>0</v>
      </c>
      <c r="AX57" s="76">
        <f t="shared" si="20"/>
        <v>0</v>
      </c>
      <c r="AY57" s="77">
        <f t="shared" si="26"/>
        <v>0.14000000000000001</v>
      </c>
      <c r="AZ57" s="78">
        <f t="shared" si="27"/>
        <v>0</v>
      </c>
      <c r="BA57" s="2" t="s">
        <v>91</v>
      </c>
      <c r="BB57" s="2">
        <f t="shared" si="21"/>
        <v>0</v>
      </c>
      <c r="BE57"/>
      <c r="BF57"/>
    </row>
    <row r="58" spans="1:58" ht="15" customHeight="1">
      <c r="A58" s="50"/>
      <c r="B58" s="84"/>
      <c r="C58" s="214">
        <v>45</v>
      </c>
      <c r="D58" s="141" t="s">
        <v>182</v>
      </c>
      <c r="E58" s="142" t="s">
        <v>183</v>
      </c>
      <c r="F58" s="86" t="s">
        <v>121</v>
      </c>
      <c r="G58" s="68"/>
      <c r="H58" s="69">
        <f t="shared" si="5"/>
        <v>0</v>
      </c>
      <c r="I58" s="70">
        <f t="shared" si="6"/>
        <v>0</v>
      </c>
      <c r="J58" s="71">
        <f t="shared" si="6"/>
        <v>0</v>
      </c>
      <c r="K58" s="81"/>
      <c r="L58" s="80">
        <f t="shared" si="7"/>
        <v>0</v>
      </c>
      <c r="M58" s="80">
        <v>0.01</v>
      </c>
      <c r="N58" s="80">
        <f t="shared" si="28"/>
        <v>0</v>
      </c>
      <c r="O58" s="80">
        <v>0.01</v>
      </c>
      <c r="P58" s="80">
        <f t="shared" si="28"/>
        <v>0</v>
      </c>
      <c r="Q58" s="80">
        <v>0.01</v>
      </c>
      <c r="R58" s="80">
        <f t="shared" si="29"/>
        <v>0</v>
      </c>
      <c r="S58" s="80">
        <v>0.01</v>
      </c>
      <c r="T58" s="80">
        <f t="shared" si="29"/>
        <v>0</v>
      </c>
      <c r="U58" s="80">
        <v>0.01</v>
      </c>
      <c r="V58" s="80">
        <f t="shared" si="30"/>
        <v>0</v>
      </c>
      <c r="W58" s="80">
        <v>0.01</v>
      </c>
      <c r="X58" s="80">
        <f t="shared" si="30"/>
        <v>0</v>
      </c>
      <c r="Y58" s="80">
        <v>0.01</v>
      </c>
      <c r="Z58" s="80">
        <f t="shared" si="11"/>
        <v>0</v>
      </c>
      <c r="AA58" s="80"/>
      <c r="AB58" s="80">
        <f t="shared" si="12"/>
        <v>0</v>
      </c>
      <c r="AC58" s="80"/>
      <c r="AD58" s="80">
        <f t="shared" si="13"/>
        <v>0</v>
      </c>
      <c r="AE58" s="80"/>
      <c r="AF58" s="80">
        <f t="shared" si="14"/>
        <v>0</v>
      </c>
      <c r="AG58" s="74">
        <f t="shared" si="3"/>
        <v>7.0000000000000007E-2</v>
      </c>
      <c r="AH58" s="209">
        <f t="shared" si="4"/>
        <v>0</v>
      </c>
      <c r="AI58" s="81">
        <v>0.2</v>
      </c>
      <c r="AJ58" s="80">
        <f>AJ$13/AI$13*AI58</f>
        <v>0</v>
      </c>
      <c r="AK58" s="80">
        <v>0.01</v>
      </c>
      <c r="AL58" s="80">
        <f>AL$13/AK$13*AK58</f>
        <v>0</v>
      </c>
      <c r="AM58" s="80">
        <v>0.01</v>
      </c>
      <c r="AN58" s="80">
        <f>AN$13/AM$13*AM58</f>
        <v>0</v>
      </c>
      <c r="AO58" s="80"/>
      <c r="AP58" s="80">
        <f t="shared" si="18"/>
        <v>0</v>
      </c>
      <c r="AQ58" s="80"/>
      <c r="AR58" s="80">
        <f t="shared" si="19"/>
        <v>0</v>
      </c>
      <c r="AS58" s="74">
        <f t="shared" si="25"/>
        <v>0.22000000000000003</v>
      </c>
      <c r="AT58" s="75">
        <f t="shared" si="25"/>
        <v>0</v>
      </c>
      <c r="AU58" s="81"/>
      <c r="AV58" s="80"/>
      <c r="AW58" s="74">
        <f t="shared" si="20"/>
        <v>0</v>
      </c>
      <c r="AX58" s="76">
        <f t="shared" si="20"/>
        <v>0</v>
      </c>
      <c r="AY58" s="77">
        <f t="shared" si="26"/>
        <v>0.29000000000000004</v>
      </c>
      <c r="AZ58" s="78">
        <f t="shared" si="27"/>
        <v>0</v>
      </c>
      <c r="BA58" s="2" t="s">
        <v>91</v>
      </c>
      <c r="BB58" s="2">
        <f t="shared" si="21"/>
        <v>0</v>
      </c>
      <c r="BE58"/>
      <c r="BF58"/>
    </row>
    <row r="59" spans="1:58" ht="15" customHeight="1">
      <c r="A59" s="50"/>
      <c r="B59" s="215" t="s">
        <v>184</v>
      </c>
      <c r="C59" s="88">
        <v>46</v>
      </c>
      <c r="D59" s="141" t="s">
        <v>49</v>
      </c>
      <c r="E59" s="142" t="s">
        <v>185</v>
      </c>
      <c r="F59" s="143" t="s">
        <v>131</v>
      </c>
      <c r="G59" s="68"/>
      <c r="H59" s="69">
        <f t="shared" si="5"/>
        <v>0</v>
      </c>
      <c r="I59" s="70">
        <f t="shared" si="6"/>
        <v>0</v>
      </c>
      <c r="J59" s="71">
        <f t="shared" si="6"/>
        <v>0</v>
      </c>
      <c r="K59" s="81"/>
      <c r="L59" s="80">
        <f t="shared" si="7"/>
        <v>0</v>
      </c>
      <c r="M59" s="80"/>
      <c r="N59" s="80">
        <f t="shared" si="28"/>
        <v>0</v>
      </c>
      <c r="O59" s="80"/>
      <c r="P59" s="80">
        <f t="shared" si="28"/>
        <v>0</v>
      </c>
      <c r="Q59" s="80"/>
      <c r="R59" s="80">
        <f t="shared" si="29"/>
        <v>0</v>
      </c>
      <c r="S59" s="80"/>
      <c r="T59" s="80">
        <f t="shared" si="29"/>
        <v>0</v>
      </c>
      <c r="U59" s="80"/>
      <c r="V59" s="80">
        <f t="shared" si="30"/>
        <v>0</v>
      </c>
      <c r="W59" s="80"/>
      <c r="X59" s="80">
        <f t="shared" si="30"/>
        <v>0</v>
      </c>
      <c r="Y59" s="80"/>
      <c r="Z59" s="80">
        <f t="shared" si="11"/>
        <v>0</v>
      </c>
      <c r="AA59" s="80"/>
      <c r="AB59" s="80">
        <f t="shared" si="12"/>
        <v>0</v>
      </c>
      <c r="AC59" s="80">
        <v>0.25</v>
      </c>
      <c r="AD59" s="80">
        <f t="shared" si="13"/>
        <v>0</v>
      </c>
      <c r="AE59" s="80">
        <v>0.25</v>
      </c>
      <c r="AF59" s="80">
        <f t="shared" si="14"/>
        <v>0</v>
      </c>
      <c r="AG59" s="74">
        <f t="shared" si="3"/>
        <v>0.5</v>
      </c>
      <c r="AH59" s="209">
        <f t="shared" si="4"/>
        <v>0</v>
      </c>
      <c r="AI59" s="81"/>
      <c r="AJ59" s="80">
        <f>AJ$13/AI$13*AI59</f>
        <v>0</v>
      </c>
      <c r="AK59" s="80"/>
      <c r="AL59" s="80">
        <f>AL$13/AK$13*AK59</f>
        <v>0</v>
      </c>
      <c r="AM59" s="80"/>
      <c r="AN59" s="80">
        <f>AN$13/AM$13*AM59</f>
        <v>0</v>
      </c>
      <c r="AO59" s="80"/>
      <c r="AP59" s="80">
        <f t="shared" si="18"/>
        <v>0</v>
      </c>
      <c r="AQ59" s="80"/>
      <c r="AR59" s="80">
        <f t="shared" si="19"/>
        <v>0</v>
      </c>
      <c r="AS59" s="74">
        <f t="shared" si="25"/>
        <v>0</v>
      </c>
      <c r="AT59" s="75">
        <f t="shared" si="25"/>
        <v>0</v>
      </c>
      <c r="AU59" s="81"/>
      <c r="AV59" s="80"/>
      <c r="AW59" s="74">
        <f t="shared" si="20"/>
        <v>0</v>
      </c>
      <c r="AX59" s="76">
        <f t="shared" si="20"/>
        <v>0</v>
      </c>
      <c r="AY59" s="77">
        <f t="shared" si="26"/>
        <v>0.5</v>
      </c>
      <c r="AZ59" s="78">
        <f t="shared" si="27"/>
        <v>0</v>
      </c>
      <c r="BA59" s="2" t="s">
        <v>92</v>
      </c>
      <c r="BB59" s="2">
        <f t="shared" si="21"/>
        <v>0</v>
      </c>
      <c r="BE59"/>
      <c r="BF59"/>
    </row>
    <row r="60" spans="1:58" ht="15" customHeight="1">
      <c r="A60" s="50"/>
      <c r="B60" s="245"/>
      <c r="C60" s="83">
        <v>47</v>
      </c>
      <c r="D60" s="141" t="s">
        <v>50</v>
      </c>
      <c r="E60" s="142" t="s">
        <v>186</v>
      </c>
      <c r="F60" s="143" t="s">
        <v>131</v>
      </c>
      <c r="G60" s="68"/>
      <c r="H60" s="69">
        <f t="shared" si="5"/>
        <v>0</v>
      </c>
      <c r="I60" s="70">
        <f t="shared" si="6"/>
        <v>0</v>
      </c>
      <c r="J60" s="71">
        <f t="shared" si="6"/>
        <v>0</v>
      </c>
      <c r="K60" s="81"/>
      <c r="L60" s="80">
        <f t="shared" si="7"/>
        <v>0</v>
      </c>
      <c r="M60" s="80"/>
      <c r="N60" s="80">
        <f t="shared" si="28"/>
        <v>0</v>
      </c>
      <c r="O60" s="80"/>
      <c r="P60" s="80">
        <f t="shared" si="28"/>
        <v>0</v>
      </c>
      <c r="Q60" s="80"/>
      <c r="R60" s="80">
        <f t="shared" si="29"/>
        <v>0</v>
      </c>
      <c r="S60" s="80"/>
      <c r="T60" s="80">
        <f t="shared" si="29"/>
        <v>0</v>
      </c>
      <c r="U60" s="80"/>
      <c r="V60" s="80">
        <f t="shared" si="30"/>
        <v>0</v>
      </c>
      <c r="W60" s="80"/>
      <c r="X60" s="80">
        <f t="shared" si="30"/>
        <v>0</v>
      </c>
      <c r="Y60" s="80"/>
      <c r="Z60" s="80">
        <f t="shared" si="11"/>
        <v>0</v>
      </c>
      <c r="AA60" s="80"/>
      <c r="AB60" s="80">
        <f t="shared" si="12"/>
        <v>0</v>
      </c>
      <c r="AC60" s="80">
        <v>0.25</v>
      </c>
      <c r="AD60" s="80">
        <f t="shared" si="13"/>
        <v>0</v>
      </c>
      <c r="AE60" s="80">
        <v>0.25</v>
      </c>
      <c r="AF60" s="80">
        <f t="shared" si="14"/>
        <v>0</v>
      </c>
      <c r="AG60" s="74">
        <f t="shared" si="3"/>
        <v>0.5</v>
      </c>
      <c r="AH60" s="209">
        <f t="shared" si="4"/>
        <v>0</v>
      </c>
      <c r="AI60" s="81"/>
      <c r="AJ60" s="80">
        <f t="shared" ref="AJ60:AJ61" si="31">AJ$13/AI$13*AI60</f>
        <v>0</v>
      </c>
      <c r="AK60" s="80"/>
      <c r="AL60" s="80">
        <f t="shared" ref="AL60:AL61" si="32">AL$13/AK$13*AK60</f>
        <v>0</v>
      </c>
      <c r="AM60" s="80"/>
      <c r="AN60" s="80">
        <f t="shared" ref="AN60:AN61" si="33">AN$13/AM$13*AM60</f>
        <v>0</v>
      </c>
      <c r="AO60" s="80"/>
      <c r="AP60" s="80">
        <f t="shared" si="18"/>
        <v>0</v>
      </c>
      <c r="AQ60" s="80"/>
      <c r="AR60" s="80">
        <f t="shared" si="19"/>
        <v>0</v>
      </c>
      <c r="AS60" s="74">
        <f t="shared" si="25"/>
        <v>0</v>
      </c>
      <c r="AT60" s="75">
        <f t="shared" si="25"/>
        <v>0</v>
      </c>
      <c r="AU60" s="81"/>
      <c r="AV60" s="80"/>
      <c r="AW60" s="74">
        <f t="shared" si="20"/>
        <v>0</v>
      </c>
      <c r="AX60" s="76">
        <f t="shared" si="20"/>
        <v>0</v>
      </c>
      <c r="AY60" s="77">
        <f t="shared" si="26"/>
        <v>0.5</v>
      </c>
      <c r="AZ60" s="78">
        <f t="shared" si="27"/>
        <v>0</v>
      </c>
      <c r="BA60" s="2" t="s">
        <v>92</v>
      </c>
      <c r="BB60" s="2">
        <f t="shared" si="21"/>
        <v>0</v>
      </c>
      <c r="BE60"/>
      <c r="BF60"/>
    </row>
    <row r="61" spans="1:58" ht="15" customHeight="1">
      <c r="A61" s="50"/>
      <c r="B61" s="245"/>
      <c r="C61" s="144">
        <v>48</v>
      </c>
      <c r="D61" s="141" t="s">
        <v>51</v>
      </c>
      <c r="E61" s="142" t="s">
        <v>187</v>
      </c>
      <c r="F61" s="143" t="s">
        <v>131</v>
      </c>
      <c r="G61" s="68"/>
      <c r="H61" s="69">
        <f t="shared" si="5"/>
        <v>0</v>
      </c>
      <c r="I61" s="70">
        <f t="shared" si="6"/>
        <v>0</v>
      </c>
      <c r="J61" s="71">
        <f t="shared" si="6"/>
        <v>0</v>
      </c>
      <c r="K61" s="81"/>
      <c r="L61" s="80">
        <f t="shared" si="7"/>
        <v>0</v>
      </c>
      <c r="M61" s="80"/>
      <c r="N61" s="80">
        <f t="shared" si="28"/>
        <v>0</v>
      </c>
      <c r="O61" s="80"/>
      <c r="P61" s="80">
        <f t="shared" si="28"/>
        <v>0</v>
      </c>
      <c r="Q61" s="80"/>
      <c r="R61" s="80">
        <f t="shared" si="29"/>
        <v>0</v>
      </c>
      <c r="S61" s="80"/>
      <c r="T61" s="80">
        <f t="shared" si="29"/>
        <v>0</v>
      </c>
      <c r="U61" s="80"/>
      <c r="V61" s="80">
        <f t="shared" si="30"/>
        <v>0</v>
      </c>
      <c r="W61" s="80"/>
      <c r="X61" s="80">
        <f t="shared" si="30"/>
        <v>0</v>
      </c>
      <c r="Y61" s="80"/>
      <c r="Z61" s="80">
        <f t="shared" si="11"/>
        <v>0</v>
      </c>
      <c r="AA61" s="80"/>
      <c r="AB61" s="80">
        <f t="shared" si="12"/>
        <v>0</v>
      </c>
      <c r="AC61" s="80">
        <v>0.25</v>
      </c>
      <c r="AD61" s="80">
        <f t="shared" si="13"/>
        <v>0</v>
      </c>
      <c r="AE61" s="80">
        <v>0.25</v>
      </c>
      <c r="AF61" s="80">
        <f t="shared" si="14"/>
        <v>0</v>
      </c>
      <c r="AG61" s="74">
        <f t="shared" si="3"/>
        <v>0.5</v>
      </c>
      <c r="AH61" s="209">
        <f t="shared" si="4"/>
        <v>0</v>
      </c>
      <c r="AI61" s="81"/>
      <c r="AJ61" s="80">
        <f t="shared" si="31"/>
        <v>0</v>
      </c>
      <c r="AK61" s="80"/>
      <c r="AL61" s="80">
        <f t="shared" si="32"/>
        <v>0</v>
      </c>
      <c r="AM61" s="80"/>
      <c r="AN61" s="80">
        <f t="shared" si="33"/>
        <v>0</v>
      </c>
      <c r="AO61" s="80"/>
      <c r="AP61" s="80">
        <f t="shared" si="18"/>
        <v>0</v>
      </c>
      <c r="AQ61" s="80"/>
      <c r="AR61" s="80">
        <f t="shared" si="19"/>
        <v>0</v>
      </c>
      <c r="AS61" s="74">
        <f t="shared" si="25"/>
        <v>0</v>
      </c>
      <c r="AT61" s="75">
        <f t="shared" si="25"/>
        <v>0</v>
      </c>
      <c r="AU61" s="81"/>
      <c r="AV61" s="80"/>
      <c r="AW61" s="74">
        <f t="shared" si="20"/>
        <v>0</v>
      </c>
      <c r="AX61" s="76">
        <f t="shared" si="20"/>
        <v>0</v>
      </c>
      <c r="AY61" s="77">
        <f t="shared" si="26"/>
        <v>0.5</v>
      </c>
      <c r="AZ61" s="78">
        <f t="shared" si="27"/>
        <v>0</v>
      </c>
      <c r="BA61" s="2" t="s">
        <v>92</v>
      </c>
      <c r="BB61" s="2">
        <f t="shared" si="21"/>
        <v>0</v>
      </c>
      <c r="BE61"/>
      <c r="BF61"/>
    </row>
    <row r="62" spans="1:58" ht="15" customHeight="1">
      <c r="A62" s="50"/>
      <c r="B62" s="82" t="s">
        <v>188</v>
      </c>
      <c r="C62" s="83">
        <v>49</v>
      </c>
      <c r="D62" s="141" t="s">
        <v>189</v>
      </c>
      <c r="E62" s="142" t="s">
        <v>190</v>
      </c>
      <c r="F62" s="143" t="s">
        <v>131</v>
      </c>
      <c r="G62" s="68"/>
      <c r="H62" s="69">
        <f t="shared" si="5"/>
        <v>0</v>
      </c>
      <c r="I62" s="70">
        <f t="shared" si="6"/>
        <v>0</v>
      </c>
      <c r="J62" s="71">
        <f t="shared" si="6"/>
        <v>0</v>
      </c>
      <c r="K62" s="81"/>
      <c r="L62" s="80">
        <f t="shared" si="7"/>
        <v>0</v>
      </c>
      <c r="M62" s="80">
        <v>0.02</v>
      </c>
      <c r="N62" s="80">
        <f t="shared" si="28"/>
        <v>0</v>
      </c>
      <c r="O62" s="80">
        <v>0.02</v>
      </c>
      <c r="P62" s="80">
        <f t="shared" si="28"/>
        <v>0</v>
      </c>
      <c r="Q62" s="80">
        <v>0.02</v>
      </c>
      <c r="R62" s="80">
        <f t="shared" si="29"/>
        <v>0</v>
      </c>
      <c r="S62" s="80">
        <v>0.01</v>
      </c>
      <c r="T62" s="80">
        <f t="shared" si="29"/>
        <v>0</v>
      </c>
      <c r="U62" s="80">
        <v>0.01</v>
      </c>
      <c r="V62" s="80">
        <f t="shared" si="30"/>
        <v>0</v>
      </c>
      <c r="W62" s="80">
        <v>0.01</v>
      </c>
      <c r="X62" s="80">
        <f t="shared" si="30"/>
        <v>0</v>
      </c>
      <c r="Y62" s="80">
        <v>0.01</v>
      </c>
      <c r="Z62" s="80">
        <f t="shared" si="11"/>
        <v>0</v>
      </c>
      <c r="AA62" s="80"/>
      <c r="AB62" s="80">
        <f t="shared" si="12"/>
        <v>0</v>
      </c>
      <c r="AC62" s="80"/>
      <c r="AD62" s="80">
        <f t="shared" si="13"/>
        <v>0</v>
      </c>
      <c r="AE62" s="80"/>
      <c r="AF62" s="80">
        <f t="shared" si="14"/>
        <v>0</v>
      </c>
      <c r="AG62" s="74">
        <f t="shared" si="3"/>
        <v>9.9999999999999978E-2</v>
      </c>
      <c r="AH62" s="209">
        <f t="shared" si="4"/>
        <v>0</v>
      </c>
      <c r="AI62" s="81"/>
      <c r="AJ62" s="80">
        <f t="shared" si="15"/>
        <v>0</v>
      </c>
      <c r="AK62" s="80"/>
      <c r="AL62" s="80">
        <f t="shared" si="16"/>
        <v>0</v>
      </c>
      <c r="AM62" s="80"/>
      <c r="AN62" s="80">
        <f t="shared" si="17"/>
        <v>0</v>
      </c>
      <c r="AO62" s="80"/>
      <c r="AP62" s="80">
        <f t="shared" si="18"/>
        <v>0</v>
      </c>
      <c r="AQ62" s="80"/>
      <c r="AR62" s="80">
        <f t="shared" si="19"/>
        <v>0</v>
      </c>
      <c r="AS62" s="74">
        <f t="shared" si="25"/>
        <v>0</v>
      </c>
      <c r="AT62" s="75">
        <f t="shared" si="25"/>
        <v>0</v>
      </c>
      <c r="AU62" s="81"/>
      <c r="AV62" s="80"/>
      <c r="AW62" s="74">
        <f t="shared" si="20"/>
        <v>0</v>
      </c>
      <c r="AX62" s="76">
        <f t="shared" si="20"/>
        <v>0</v>
      </c>
      <c r="AY62" s="77">
        <f t="shared" si="26"/>
        <v>9.9999999999999978E-2</v>
      </c>
      <c r="AZ62" s="78">
        <f t="shared" si="27"/>
        <v>0</v>
      </c>
      <c r="BA62" s="2" t="s">
        <v>91</v>
      </c>
      <c r="BB62" s="2">
        <f t="shared" si="21"/>
        <v>0</v>
      </c>
      <c r="BE62"/>
      <c r="BF62"/>
    </row>
    <row r="63" spans="1:58" ht="15" customHeight="1">
      <c r="A63" s="50"/>
      <c r="B63" s="65"/>
      <c r="C63" s="83">
        <v>50</v>
      </c>
      <c r="D63" s="141" t="s">
        <v>62</v>
      </c>
      <c r="E63" s="142" t="s">
        <v>191</v>
      </c>
      <c r="F63" s="143" t="s">
        <v>131</v>
      </c>
      <c r="G63" s="68"/>
      <c r="H63" s="69">
        <f t="shared" si="5"/>
        <v>0</v>
      </c>
      <c r="I63" s="70">
        <f t="shared" si="6"/>
        <v>0</v>
      </c>
      <c r="J63" s="71">
        <f t="shared" si="6"/>
        <v>0</v>
      </c>
      <c r="K63" s="81"/>
      <c r="L63" s="80">
        <f t="shared" si="7"/>
        <v>0</v>
      </c>
      <c r="M63" s="80">
        <v>0.16</v>
      </c>
      <c r="N63" s="80">
        <f t="shared" si="28"/>
        <v>0</v>
      </c>
      <c r="O63" s="80">
        <v>0.16</v>
      </c>
      <c r="P63" s="80">
        <f t="shared" si="28"/>
        <v>0</v>
      </c>
      <c r="Q63" s="80">
        <v>0.13</v>
      </c>
      <c r="R63" s="80">
        <f t="shared" si="29"/>
        <v>0</v>
      </c>
      <c r="S63" s="80">
        <v>0.2</v>
      </c>
      <c r="T63" s="80">
        <f t="shared" si="29"/>
        <v>0</v>
      </c>
      <c r="U63" s="80">
        <v>0.01</v>
      </c>
      <c r="V63" s="80">
        <f t="shared" si="30"/>
        <v>0</v>
      </c>
      <c r="W63" s="80">
        <v>0.1</v>
      </c>
      <c r="X63" s="80">
        <f t="shared" si="30"/>
        <v>0</v>
      </c>
      <c r="Y63" s="80">
        <v>0.2</v>
      </c>
      <c r="Z63" s="80">
        <f t="shared" si="11"/>
        <v>0</v>
      </c>
      <c r="AA63" s="80">
        <v>0.01</v>
      </c>
      <c r="AB63" s="80">
        <f t="shared" si="12"/>
        <v>0</v>
      </c>
      <c r="AC63" s="80"/>
      <c r="AD63" s="80">
        <f t="shared" si="13"/>
        <v>0</v>
      </c>
      <c r="AE63" s="80"/>
      <c r="AF63" s="80">
        <f t="shared" si="14"/>
        <v>0</v>
      </c>
      <c r="AG63" s="74">
        <f t="shared" si="3"/>
        <v>0.97</v>
      </c>
      <c r="AH63" s="209">
        <f t="shared" si="4"/>
        <v>0</v>
      </c>
      <c r="AI63" s="81"/>
      <c r="AJ63" s="80">
        <f t="shared" si="15"/>
        <v>0</v>
      </c>
      <c r="AK63" s="80"/>
      <c r="AL63" s="80">
        <f t="shared" si="16"/>
        <v>0</v>
      </c>
      <c r="AM63" s="80"/>
      <c r="AN63" s="80">
        <f t="shared" si="17"/>
        <v>0</v>
      </c>
      <c r="AO63" s="80"/>
      <c r="AP63" s="80">
        <f t="shared" si="18"/>
        <v>0</v>
      </c>
      <c r="AQ63" s="80"/>
      <c r="AR63" s="80">
        <f t="shared" si="19"/>
        <v>0</v>
      </c>
      <c r="AS63" s="74">
        <f t="shared" si="25"/>
        <v>0</v>
      </c>
      <c r="AT63" s="75">
        <f t="shared" si="25"/>
        <v>0</v>
      </c>
      <c r="AU63" s="81"/>
      <c r="AV63" s="80"/>
      <c r="AW63" s="74">
        <f t="shared" si="20"/>
        <v>0</v>
      </c>
      <c r="AX63" s="76">
        <f t="shared" si="20"/>
        <v>0</v>
      </c>
      <c r="AY63" s="77">
        <f t="shared" si="26"/>
        <v>0.97</v>
      </c>
      <c r="AZ63" s="78">
        <f t="shared" si="27"/>
        <v>0</v>
      </c>
      <c r="BA63" s="2" t="s">
        <v>91</v>
      </c>
      <c r="BB63" s="2">
        <f t="shared" si="21"/>
        <v>0</v>
      </c>
      <c r="BE63"/>
      <c r="BF63"/>
    </row>
    <row r="64" spans="1:58" ht="15" customHeight="1" thickBot="1">
      <c r="A64" s="50"/>
      <c r="B64" s="65"/>
      <c r="C64" s="88">
        <v>51</v>
      </c>
      <c r="D64" s="150" t="s">
        <v>192</v>
      </c>
      <c r="E64" s="151" t="s">
        <v>193</v>
      </c>
      <c r="F64" s="152" t="s">
        <v>131</v>
      </c>
      <c r="G64" s="92"/>
      <c r="H64" s="93">
        <f t="shared" si="5"/>
        <v>0</v>
      </c>
      <c r="I64" s="94">
        <f t="shared" si="6"/>
        <v>0</v>
      </c>
      <c r="J64" s="95">
        <f t="shared" si="6"/>
        <v>0</v>
      </c>
      <c r="K64" s="96"/>
      <c r="L64" s="97">
        <f t="shared" si="7"/>
        <v>0</v>
      </c>
      <c r="M64" s="97">
        <v>0.02</v>
      </c>
      <c r="N64" s="97">
        <f t="shared" si="28"/>
        <v>0</v>
      </c>
      <c r="O64" s="97">
        <v>0.02</v>
      </c>
      <c r="P64" s="97">
        <f t="shared" si="28"/>
        <v>0</v>
      </c>
      <c r="Q64" s="97">
        <v>0.02</v>
      </c>
      <c r="R64" s="97">
        <f t="shared" si="29"/>
        <v>0</v>
      </c>
      <c r="S64" s="97">
        <v>0.01</v>
      </c>
      <c r="T64" s="97">
        <f t="shared" si="29"/>
        <v>0</v>
      </c>
      <c r="U64" s="97">
        <v>0.01</v>
      </c>
      <c r="V64" s="97">
        <f t="shared" si="30"/>
        <v>0</v>
      </c>
      <c r="W64" s="97">
        <v>0.01</v>
      </c>
      <c r="X64" s="97">
        <f t="shared" si="30"/>
        <v>0</v>
      </c>
      <c r="Y64" s="97">
        <v>0.01</v>
      </c>
      <c r="Z64" s="80">
        <f t="shared" si="11"/>
        <v>0</v>
      </c>
      <c r="AA64" s="97">
        <v>0.01</v>
      </c>
      <c r="AB64" s="80">
        <f t="shared" si="12"/>
        <v>0</v>
      </c>
      <c r="AC64" s="97"/>
      <c r="AD64" s="80">
        <f t="shared" si="13"/>
        <v>0</v>
      </c>
      <c r="AE64" s="97"/>
      <c r="AF64" s="80">
        <f t="shared" si="14"/>
        <v>0</v>
      </c>
      <c r="AG64" s="98">
        <f t="shared" si="3"/>
        <v>0.10999999999999997</v>
      </c>
      <c r="AH64" s="210">
        <f t="shared" si="4"/>
        <v>0</v>
      </c>
      <c r="AI64" s="96"/>
      <c r="AJ64" s="97">
        <f t="shared" si="15"/>
        <v>0</v>
      </c>
      <c r="AK64" s="97"/>
      <c r="AL64" s="97">
        <f t="shared" si="16"/>
        <v>0</v>
      </c>
      <c r="AM64" s="97"/>
      <c r="AN64" s="97">
        <f t="shared" si="17"/>
        <v>0</v>
      </c>
      <c r="AO64" s="97"/>
      <c r="AP64" s="97">
        <f t="shared" si="18"/>
        <v>0</v>
      </c>
      <c r="AQ64" s="97"/>
      <c r="AR64" s="97">
        <f t="shared" si="19"/>
        <v>0</v>
      </c>
      <c r="AS64" s="98">
        <f t="shared" si="25"/>
        <v>0</v>
      </c>
      <c r="AT64" s="99">
        <f t="shared" si="25"/>
        <v>0</v>
      </c>
      <c r="AU64" s="96"/>
      <c r="AV64" s="97"/>
      <c r="AW64" s="98">
        <f t="shared" si="20"/>
        <v>0</v>
      </c>
      <c r="AX64" s="100">
        <f t="shared" si="20"/>
        <v>0</v>
      </c>
      <c r="AY64" s="101">
        <f t="shared" si="26"/>
        <v>0.10999999999999997</v>
      </c>
      <c r="AZ64" s="102">
        <f t="shared" si="27"/>
        <v>0</v>
      </c>
      <c r="BA64" s="2" t="s">
        <v>91</v>
      </c>
      <c r="BB64" s="2">
        <f t="shared" si="21"/>
        <v>0</v>
      </c>
      <c r="BE64"/>
      <c r="BF64"/>
    </row>
    <row r="65" spans="1:58" ht="15" customHeight="1" thickTop="1">
      <c r="A65" s="104" t="s">
        <v>194</v>
      </c>
      <c r="B65" s="105" t="s">
        <v>195</v>
      </c>
      <c r="C65" s="153">
        <v>52</v>
      </c>
      <c r="D65" s="107" t="s">
        <v>196</v>
      </c>
      <c r="E65" s="108" t="s">
        <v>197</v>
      </c>
      <c r="F65" s="109" t="s">
        <v>131</v>
      </c>
      <c r="G65" s="204"/>
      <c r="H65" s="110">
        <f t="shared" si="5"/>
        <v>0</v>
      </c>
      <c r="I65" s="111">
        <f t="shared" si="6"/>
        <v>0</v>
      </c>
      <c r="J65" s="112">
        <f t="shared" si="6"/>
        <v>0</v>
      </c>
      <c r="K65" s="113"/>
      <c r="L65" s="114">
        <f t="shared" si="7"/>
        <v>0</v>
      </c>
      <c r="M65" s="114">
        <v>0.01</v>
      </c>
      <c r="N65" s="114">
        <f t="shared" ref="N65:P80" si="34">N$13/M$13*M65</f>
        <v>0</v>
      </c>
      <c r="O65" s="114">
        <v>0.01</v>
      </c>
      <c r="P65" s="114">
        <f t="shared" si="34"/>
        <v>0</v>
      </c>
      <c r="Q65" s="114">
        <v>0.01</v>
      </c>
      <c r="R65" s="114">
        <f t="shared" ref="R65:T80" si="35">R$13/Q$13*Q65</f>
        <v>0</v>
      </c>
      <c r="S65" s="114">
        <v>0.01</v>
      </c>
      <c r="T65" s="114">
        <f t="shared" si="35"/>
        <v>0</v>
      </c>
      <c r="U65" s="114">
        <v>0.01</v>
      </c>
      <c r="V65" s="114">
        <f t="shared" ref="V65:X80" si="36">V$13/U$13*U65</f>
        <v>0</v>
      </c>
      <c r="W65" s="114">
        <v>0.01</v>
      </c>
      <c r="X65" s="114">
        <f t="shared" si="36"/>
        <v>0</v>
      </c>
      <c r="Y65" s="114">
        <v>0.01</v>
      </c>
      <c r="Z65" s="114">
        <f t="shared" si="11"/>
        <v>0</v>
      </c>
      <c r="AA65" s="114"/>
      <c r="AB65" s="114">
        <f t="shared" si="12"/>
        <v>0</v>
      </c>
      <c r="AC65" s="114"/>
      <c r="AD65" s="114">
        <f t="shared" si="13"/>
        <v>0</v>
      </c>
      <c r="AE65" s="114"/>
      <c r="AF65" s="114">
        <f t="shared" si="14"/>
        <v>0</v>
      </c>
      <c r="AG65" s="115">
        <f t="shared" si="3"/>
        <v>7.0000000000000007E-2</v>
      </c>
      <c r="AH65" s="211">
        <f t="shared" si="4"/>
        <v>0</v>
      </c>
      <c r="AI65" s="113"/>
      <c r="AJ65" s="114">
        <f t="shared" si="15"/>
        <v>0</v>
      </c>
      <c r="AK65" s="114"/>
      <c r="AL65" s="114">
        <f t="shared" si="16"/>
        <v>0</v>
      </c>
      <c r="AM65" s="114"/>
      <c r="AN65" s="114">
        <f t="shared" si="17"/>
        <v>0</v>
      </c>
      <c r="AO65" s="114"/>
      <c r="AP65" s="114">
        <f t="shared" si="18"/>
        <v>0</v>
      </c>
      <c r="AQ65" s="114"/>
      <c r="AR65" s="114">
        <f t="shared" si="19"/>
        <v>0</v>
      </c>
      <c r="AS65" s="115">
        <f t="shared" si="25"/>
        <v>0</v>
      </c>
      <c r="AT65" s="116">
        <f t="shared" si="25"/>
        <v>0</v>
      </c>
      <c r="AU65" s="113"/>
      <c r="AV65" s="114"/>
      <c r="AW65" s="115">
        <f t="shared" si="20"/>
        <v>0</v>
      </c>
      <c r="AX65" s="117">
        <f t="shared" si="20"/>
        <v>0</v>
      </c>
      <c r="AY65" s="118">
        <f t="shared" si="26"/>
        <v>7.0000000000000007E-2</v>
      </c>
      <c r="AZ65" s="119">
        <f t="shared" si="27"/>
        <v>0</v>
      </c>
      <c r="BA65" s="120" t="s">
        <v>91</v>
      </c>
      <c r="BB65" s="2">
        <f t="shared" si="21"/>
        <v>0</v>
      </c>
      <c r="BE65"/>
      <c r="BF65"/>
    </row>
    <row r="66" spans="1:58" ht="15" customHeight="1">
      <c r="A66" s="50"/>
      <c r="B66" s="65"/>
      <c r="C66" s="83">
        <v>53</v>
      </c>
      <c r="D66" s="141" t="s">
        <v>198</v>
      </c>
      <c r="E66" s="142" t="s">
        <v>199</v>
      </c>
      <c r="F66" s="143" t="s">
        <v>131</v>
      </c>
      <c r="G66" s="68"/>
      <c r="H66" s="69">
        <f t="shared" si="5"/>
        <v>0</v>
      </c>
      <c r="I66" s="70">
        <f t="shared" si="6"/>
        <v>0</v>
      </c>
      <c r="J66" s="71">
        <f t="shared" si="6"/>
        <v>0</v>
      </c>
      <c r="K66" s="81"/>
      <c r="L66" s="80">
        <f t="shared" si="7"/>
        <v>0</v>
      </c>
      <c r="M66" s="80">
        <v>0.02</v>
      </c>
      <c r="N66" s="80">
        <f t="shared" si="34"/>
        <v>0</v>
      </c>
      <c r="O66" s="80">
        <v>0.02</v>
      </c>
      <c r="P66" s="80">
        <f t="shared" si="34"/>
        <v>0</v>
      </c>
      <c r="Q66" s="80">
        <v>0.02</v>
      </c>
      <c r="R66" s="80">
        <f t="shared" si="35"/>
        <v>0</v>
      </c>
      <c r="S66" s="80">
        <v>0.01</v>
      </c>
      <c r="T66" s="80">
        <f t="shared" si="35"/>
        <v>0</v>
      </c>
      <c r="U66" s="80">
        <v>0.01</v>
      </c>
      <c r="V66" s="80">
        <f t="shared" si="36"/>
        <v>0</v>
      </c>
      <c r="W66" s="80">
        <v>0.01</v>
      </c>
      <c r="X66" s="80">
        <f t="shared" si="36"/>
        <v>0</v>
      </c>
      <c r="Y66" s="80">
        <v>0.01</v>
      </c>
      <c r="Z66" s="80">
        <f t="shared" si="11"/>
        <v>0</v>
      </c>
      <c r="AA66" s="80"/>
      <c r="AB66" s="80">
        <f t="shared" si="12"/>
        <v>0</v>
      </c>
      <c r="AC66" s="80"/>
      <c r="AD66" s="80">
        <f t="shared" si="13"/>
        <v>0</v>
      </c>
      <c r="AE66" s="80"/>
      <c r="AF66" s="80">
        <f t="shared" si="14"/>
        <v>0</v>
      </c>
      <c r="AG66" s="74">
        <f t="shared" si="3"/>
        <v>9.9999999999999978E-2</v>
      </c>
      <c r="AH66" s="209">
        <f t="shared" si="4"/>
        <v>0</v>
      </c>
      <c r="AI66" s="81"/>
      <c r="AJ66" s="80">
        <f t="shared" si="15"/>
        <v>0</v>
      </c>
      <c r="AK66" s="80"/>
      <c r="AL66" s="80">
        <f t="shared" si="16"/>
        <v>0</v>
      </c>
      <c r="AM66" s="80"/>
      <c r="AN66" s="80">
        <f t="shared" si="17"/>
        <v>0</v>
      </c>
      <c r="AO66" s="80"/>
      <c r="AP66" s="80">
        <f t="shared" si="18"/>
        <v>0</v>
      </c>
      <c r="AQ66" s="80"/>
      <c r="AR66" s="80">
        <f t="shared" si="19"/>
        <v>0</v>
      </c>
      <c r="AS66" s="74">
        <f t="shared" si="25"/>
        <v>0</v>
      </c>
      <c r="AT66" s="75">
        <f t="shared" si="25"/>
        <v>0</v>
      </c>
      <c r="AU66" s="81"/>
      <c r="AV66" s="80"/>
      <c r="AW66" s="74">
        <f t="shared" si="20"/>
        <v>0</v>
      </c>
      <c r="AX66" s="76">
        <f t="shared" si="20"/>
        <v>0</v>
      </c>
      <c r="AY66" s="77">
        <f t="shared" si="26"/>
        <v>9.9999999999999978E-2</v>
      </c>
      <c r="AZ66" s="78">
        <f t="shared" si="27"/>
        <v>0</v>
      </c>
      <c r="BA66" s="2" t="s">
        <v>91</v>
      </c>
      <c r="BB66" s="2">
        <f t="shared" si="21"/>
        <v>0</v>
      </c>
      <c r="BE66"/>
      <c r="BF66"/>
    </row>
    <row r="67" spans="1:58" ht="15" customHeight="1">
      <c r="A67" s="50"/>
      <c r="B67" s="65"/>
      <c r="C67" s="144">
        <v>54</v>
      </c>
      <c r="D67" s="141" t="s">
        <v>200</v>
      </c>
      <c r="E67" s="142" t="s">
        <v>201</v>
      </c>
      <c r="F67" s="86" t="s">
        <v>113</v>
      </c>
      <c r="G67" s="68">
        <v>0.02</v>
      </c>
      <c r="H67" s="69">
        <f t="shared" si="5"/>
        <v>0</v>
      </c>
      <c r="I67" s="70">
        <f t="shared" si="6"/>
        <v>0.02</v>
      </c>
      <c r="J67" s="71">
        <f t="shared" si="6"/>
        <v>0</v>
      </c>
      <c r="K67" s="81">
        <v>0.02</v>
      </c>
      <c r="L67" s="80">
        <f t="shared" si="7"/>
        <v>0</v>
      </c>
      <c r="M67" s="80">
        <v>0.01</v>
      </c>
      <c r="N67" s="80">
        <f t="shared" si="34"/>
        <v>0</v>
      </c>
      <c r="O67" s="80">
        <v>0.01</v>
      </c>
      <c r="P67" s="80">
        <f t="shared" si="34"/>
        <v>0</v>
      </c>
      <c r="Q67" s="80">
        <v>0.01</v>
      </c>
      <c r="R67" s="80">
        <f t="shared" si="35"/>
        <v>0</v>
      </c>
      <c r="S67" s="80">
        <v>0.01</v>
      </c>
      <c r="T67" s="80">
        <f t="shared" si="35"/>
        <v>0</v>
      </c>
      <c r="U67" s="80">
        <v>0.02</v>
      </c>
      <c r="V67" s="80">
        <f t="shared" si="36"/>
        <v>0</v>
      </c>
      <c r="W67" s="80">
        <v>0.01</v>
      </c>
      <c r="X67" s="80">
        <f t="shared" si="36"/>
        <v>0</v>
      </c>
      <c r="Y67" s="80">
        <v>0.01</v>
      </c>
      <c r="Z67" s="80">
        <f t="shared" si="11"/>
        <v>0</v>
      </c>
      <c r="AA67" s="80">
        <v>0.05</v>
      </c>
      <c r="AB67" s="80">
        <f t="shared" si="12"/>
        <v>0</v>
      </c>
      <c r="AC67" s="80"/>
      <c r="AD67" s="80">
        <f t="shared" si="13"/>
        <v>0</v>
      </c>
      <c r="AE67" s="80"/>
      <c r="AF67" s="80">
        <f t="shared" si="14"/>
        <v>0</v>
      </c>
      <c r="AG67" s="74">
        <f t="shared" si="3"/>
        <v>0.15000000000000002</v>
      </c>
      <c r="AH67" s="209">
        <f t="shared" si="4"/>
        <v>0</v>
      </c>
      <c r="AI67" s="81"/>
      <c r="AJ67" s="80">
        <f t="shared" si="15"/>
        <v>0</v>
      </c>
      <c r="AK67" s="80">
        <v>0.18</v>
      </c>
      <c r="AL67" s="80">
        <f t="shared" si="16"/>
        <v>0</v>
      </c>
      <c r="AM67" s="80">
        <v>0.18</v>
      </c>
      <c r="AN67" s="80">
        <f t="shared" si="17"/>
        <v>0</v>
      </c>
      <c r="AO67" s="80">
        <v>0.06</v>
      </c>
      <c r="AP67" s="80">
        <f t="shared" si="18"/>
        <v>0</v>
      </c>
      <c r="AQ67" s="80">
        <v>0.06</v>
      </c>
      <c r="AR67" s="80">
        <f t="shared" si="19"/>
        <v>0</v>
      </c>
      <c r="AS67" s="74">
        <f t="shared" si="25"/>
        <v>0.48</v>
      </c>
      <c r="AT67" s="75">
        <f t="shared" si="25"/>
        <v>0</v>
      </c>
      <c r="AU67" s="81"/>
      <c r="AV67" s="80"/>
      <c r="AW67" s="74">
        <f t="shared" si="20"/>
        <v>0</v>
      </c>
      <c r="AX67" s="76">
        <f t="shared" si="20"/>
        <v>0</v>
      </c>
      <c r="AY67" s="77">
        <f t="shared" si="26"/>
        <v>0.65</v>
      </c>
      <c r="AZ67" s="78">
        <f t="shared" si="27"/>
        <v>0</v>
      </c>
      <c r="BA67" s="2" t="s">
        <v>91</v>
      </c>
      <c r="BB67" s="2">
        <f t="shared" si="21"/>
        <v>0</v>
      </c>
      <c r="BE67"/>
      <c r="BF67"/>
    </row>
    <row r="68" spans="1:58" ht="15" customHeight="1">
      <c r="A68" s="50"/>
      <c r="B68" s="87" t="s">
        <v>160</v>
      </c>
      <c r="C68" s="83">
        <v>55</v>
      </c>
      <c r="D68" s="141" t="s">
        <v>202</v>
      </c>
      <c r="E68" s="142" t="s">
        <v>203</v>
      </c>
      <c r="F68" s="86" t="s">
        <v>121</v>
      </c>
      <c r="G68" s="68"/>
      <c r="H68" s="69">
        <f t="shared" si="5"/>
        <v>0</v>
      </c>
      <c r="I68" s="70">
        <f t="shared" si="6"/>
        <v>0</v>
      </c>
      <c r="J68" s="71">
        <f t="shared" si="6"/>
        <v>0</v>
      </c>
      <c r="K68" s="81"/>
      <c r="L68" s="80">
        <f t="shared" si="7"/>
        <v>0</v>
      </c>
      <c r="M68" s="80">
        <v>0.01</v>
      </c>
      <c r="N68" s="80">
        <f t="shared" si="34"/>
        <v>0</v>
      </c>
      <c r="O68" s="80">
        <v>0.01</v>
      </c>
      <c r="P68" s="80">
        <f t="shared" si="34"/>
        <v>0</v>
      </c>
      <c r="Q68" s="80">
        <v>0.01</v>
      </c>
      <c r="R68" s="80">
        <f t="shared" si="35"/>
        <v>0</v>
      </c>
      <c r="S68" s="80">
        <v>0.01</v>
      </c>
      <c r="T68" s="80">
        <f t="shared" si="35"/>
        <v>0</v>
      </c>
      <c r="U68" s="80">
        <v>0.01</v>
      </c>
      <c r="V68" s="80">
        <f t="shared" si="36"/>
        <v>0</v>
      </c>
      <c r="W68" s="80">
        <v>0.01</v>
      </c>
      <c r="X68" s="80">
        <f t="shared" si="36"/>
        <v>0</v>
      </c>
      <c r="Y68" s="80">
        <v>0.01</v>
      </c>
      <c r="Z68" s="80">
        <f t="shared" si="11"/>
        <v>0</v>
      </c>
      <c r="AA68" s="80"/>
      <c r="AB68" s="80">
        <f t="shared" si="12"/>
        <v>0</v>
      </c>
      <c r="AC68" s="80"/>
      <c r="AD68" s="80">
        <f t="shared" si="13"/>
        <v>0</v>
      </c>
      <c r="AE68" s="80"/>
      <c r="AF68" s="80">
        <f t="shared" si="14"/>
        <v>0</v>
      </c>
      <c r="AG68" s="74">
        <f t="shared" si="3"/>
        <v>7.0000000000000007E-2</v>
      </c>
      <c r="AH68" s="209">
        <f t="shared" si="4"/>
        <v>0</v>
      </c>
      <c r="AI68" s="81"/>
      <c r="AJ68" s="80">
        <f t="shared" si="15"/>
        <v>0</v>
      </c>
      <c r="AK68" s="80"/>
      <c r="AL68" s="80">
        <f t="shared" si="16"/>
        <v>0</v>
      </c>
      <c r="AM68" s="80"/>
      <c r="AN68" s="80">
        <f t="shared" si="17"/>
        <v>0</v>
      </c>
      <c r="AO68" s="80"/>
      <c r="AP68" s="80">
        <f t="shared" si="18"/>
        <v>0</v>
      </c>
      <c r="AQ68" s="80"/>
      <c r="AR68" s="80">
        <f t="shared" si="19"/>
        <v>0</v>
      </c>
      <c r="AS68" s="74">
        <f t="shared" si="25"/>
        <v>0</v>
      </c>
      <c r="AT68" s="75">
        <f t="shared" si="25"/>
        <v>0</v>
      </c>
      <c r="AU68" s="81"/>
      <c r="AV68" s="80"/>
      <c r="AW68" s="74">
        <f t="shared" si="20"/>
        <v>0</v>
      </c>
      <c r="AX68" s="76">
        <f t="shared" si="20"/>
        <v>0</v>
      </c>
      <c r="AY68" s="77">
        <f t="shared" si="26"/>
        <v>7.0000000000000007E-2</v>
      </c>
      <c r="AZ68" s="78">
        <f t="shared" si="27"/>
        <v>0</v>
      </c>
      <c r="BA68" s="2" t="s">
        <v>91</v>
      </c>
      <c r="BB68" s="2">
        <f t="shared" si="21"/>
        <v>0</v>
      </c>
      <c r="BE68"/>
      <c r="BF68"/>
    </row>
    <row r="69" spans="1:58" ht="15" customHeight="1">
      <c r="A69" s="50"/>
      <c r="B69" s="154" t="s">
        <v>204</v>
      </c>
      <c r="C69" s="83">
        <v>56</v>
      </c>
      <c r="D69" s="141" t="s">
        <v>205</v>
      </c>
      <c r="E69" s="142" t="s">
        <v>206</v>
      </c>
      <c r="F69" s="86" t="s">
        <v>121</v>
      </c>
      <c r="G69" s="68"/>
      <c r="H69" s="69">
        <f t="shared" si="5"/>
        <v>0</v>
      </c>
      <c r="I69" s="70">
        <f t="shared" si="6"/>
        <v>0</v>
      </c>
      <c r="J69" s="71">
        <f t="shared" si="6"/>
        <v>0</v>
      </c>
      <c r="K69" s="81"/>
      <c r="L69" s="80">
        <f t="shared" si="7"/>
        <v>0</v>
      </c>
      <c r="M69" s="80">
        <v>0.01</v>
      </c>
      <c r="N69" s="80">
        <f t="shared" si="34"/>
        <v>0</v>
      </c>
      <c r="O69" s="80">
        <v>0.01</v>
      </c>
      <c r="P69" s="80">
        <f t="shared" si="34"/>
        <v>0</v>
      </c>
      <c r="Q69" s="80">
        <v>0.01</v>
      </c>
      <c r="R69" s="80">
        <f t="shared" si="35"/>
        <v>0</v>
      </c>
      <c r="S69" s="80">
        <v>0.01</v>
      </c>
      <c r="T69" s="80">
        <f t="shared" si="35"/>
        <v>0</v>
      </c>
      <c r="U69" s="80">
        <v>0.01</v>
      </c>
      <c r="V69" s="80">
        <f t="shared" si="36"/>
        <v>0</v>
      </c>
      <c r="W69" s="80">
        <v>0.01</v>
      </c>
      <c r="X69" s="80">
        <f t="shared" si="36"/>
        <v>0</v>
      </c>
      <c r="Y69" s="80">
        <v>0.01</v>
      </c>
      <c r="Z69" s="80">
        <f t="shared" si="11"/>
        <v>0</v>
      </c>
      <c r="AA69" s="80"/>
      <c r="AB69" s="80">
        <f t="shared" si="12"/>
        <v>0</v>
      </c>
      <c r="AC69" s="80"/>
      <c r="AD69" s="80">
        <f t="shared" si="13"/>
        <v>0</v>
      </c>
      <c r="AE69" s="80"/>
      <c r="AF69" s="80">
        <f t="shared" si="14"/>
        <v>0</v>
      </c>
      <c r="AG69" s="74">
        <f t="shared" si="3"/>
        <v>7.0000000000000007E-2</v>
      </c>
      <c r="AH69" s="209">
        <f t="shared" si="4"/>
        <v>0</v>
      </c>
      <c r="AI69" s="81"/>
      <c r="AJ69" s="80">
        <f t="shared" si="15"/>
        <v>0</v>
      </c>
      <c r="AK69" s="80"/>
      <c r="AL69" s="80">
        <f t="shared" si="16"/>
        <v>0</v>
      </c>
      <c r="AM69" s="80"/>
      <c r="AN69" s="80">
        <f t="shared" si="17"/>
        <v>0</v>
      </c>
      <c r="AO69" s="80"/>
      <c r="AP69" s="80">
        <f t="shared" si="18"/>
        <v>0</v>
      </c>
      <c r="AQ69" s="80"/>
      <c r="AR69" s="80">
        <f t="shared" si="19"/>
        <v>0</v>
      </c>
      <c r="AS69" s="74">
        <f t="shared" si="25"/>
        <v>0</v>
      </c>
      <c r="AT69" s="75">
        <f t="shared" si="25"/>
        <v>0</v>
      </c>
      <c r="AU69" s="81"/>
      <c r="AV69" s="80"/>
      <c r="AW69" s="74">
        <f t="shared" si="20"/>
        <v>0</v>
      </c>
      <c r="AX69" s="76">
        <f t="shared" si="20"/>
        <v>0</v>
      </c>
      <c r="AY69" s="77">
        <f t="shared" si="26"/>
        <v>7.0000000000000007E-2</v>
      </c>
      <c r="AZ69" s="78">
        <f t="shared" si="27"/>
        <v>0</v>
      </c>
      <c r="BA69" s="2" t="s">
        <v>91</v>
      </c>
      <c r="BB69" s="2">
        <f t="shared" si="21"/>
        <v>0</v>
      </c>
      <c r="BE69"/>
      <c r="BF69"/>
    </row>
    <row r="70" spans="1:58" ht="15" customHeight="1">
      <c r="A70" s="50"/>
      <c r="B70" s="65"/>
      <c r="C70" s="88">
        <v>57</v>
      </c>
      <c r="D70" s="141" t="s">
        <v>207</v>
      </c>
      <c r="E70" s="142" t="s">
        <v>208</v>
      </c>
      <c r="F70" s="86" t="s">
        <v>98</v>
      </c>
      <c r="G70" s="68"/>
      <c r="H70" s="69">
        <f t="shared" si="5"/>
        <v>0</v>
      </c>
      <c r="I70" s="70">
        <f t="shared" si="6"/>
        <v>0</v>
      </c>
      <c r="J70" s="71">
        <f t="shared" si="6"/>
        <v>0</v>
      </c>
      <c r="K70" s="81"/>
      <c r="L70" s="80">
        <f t="shared" si="7"/>
        <v>0</v>
      </c>
      <c r="M70" s="80">
        <v>0.01</v>
      </c>
      <c r="N70" s="80">
        <f t="shared" si="34"/>
        <v>0</v>
      </c>
      <c r="O70" s="80">
        <v>0.01</v>
      </c>
      <c r="P70" s="80">
        <f t="shared" si="34"/>
        <v>0</v>
      </c>
      <c r="Q70" s="80">
        <v>0.01</v>
      </c>
      <c r="R70" s="80">
        <f t="shared" si="35"/>
        <v>0</v>
      </c>
      <c r="S70" s="80">
        <v>0.01</v>
      </c>
      <c r="T70" s="80">
        <f t="shared" si="35"/>
        <v>0</v>
      </c>
      <c r="U70" s="80">
        <v>0.01</v>
      </c>
      <c r="V70" s="80">
        <f t="shared" si="36"/>
        <v>0</v>
      </c>
      <c r="W70" s="80">
        <v>0.01</v>
      </c>
      <c r="X70" s="80">
        <f t="shared" si="36"/>
        <v>0</v>
      </c>
      <c r="Y70" s="80">
        <v>0.01</v>
      </c>
      <c r="Z70" s="80">
        <f t="shared" si="11"/>
        <v>0</v>
      </c>
      <c r="AA70" s="80"/>
      <c r="AB70" s="80">
        <f t="shared" si="12"/>
        <v>0</v>
      </c>
      <c r="AC70" s="80"/>
      <c r="AD70" s="80">
        <f t="shared" si="13"/>
        <v>0</v>
      </c>
      <c r="AE70" s="80"/>
      <c r="AF70" s="80">
        <f t="shared" si="14"/>
        <v>0</v>
      </c>
      <c r="AG70" s="74">
        <f t="shared" si="3"/>
        <v>7.0000000000000007E-2</v>
      </c>
      <c r="AH70" s="209">
        <f t="shared" si="4"/>
        <v>0</v>
      </c>
      <c r="AI70" s="81"/>
      <c r="AJ70" s="80">
        <f t="shared" si="15"/>
        <v>0</v>
      </c>
      <c r="AK70" s="80"/>
      <c r="AL70" s="80">
        <f t="shared" si="16"/>
        <v>0</v>
      </c>
      <c r="AM70" s="80"/>
      <c r="AN70" s="80">
        <f t="shared" si="17"/>
        <v>0</v>
      </c>
      <c r="AO70" s="80"/>
      <c r="AP70" s="80">
        <f t="shared" si="18"/>
        <v>0</v>
      </c>
      <c r="AQ70" s="80"/>
      <c r="AR70" s="80">
        <f t="shared" si="19"/>
        <v>0</v>
      </c>
      <c r="AS70" s="74">
        <f t="shared" si="25"/>
        <v>0</v>
      </c>
      <c r="AT70" s="75">
        <f t="shared" si="25"/>
        <v>0</v>
      </c>
      <c r="AU70" s="81"/>
      <c r="AV70" s="80"/>
      <c r="AW70" s="74">
        <f t="shared" si="20"/>
        <v>0</v>
      </c>
      <c r="AX70" s="76">
        <f t="shared" si="20"/>
        <v>0</v>
      </c>
      <c r="AY70" s="77">
        <f t="shared" si="26"/>
        <v>7.0000000000000007E-2</v>
      </c>
      <c r="AZ70" s="78">
        <f t="shared" si="27"/>
        <v>0</v>
      </c>
      <c r="BA70" s="2" t="s">
        <v>91</v>
      </c>
      <c r="BB70" s="2">
        <f t="shared" si="21"/>
        <v>0</v>
      </c>
      <c r="BE70"/>
      <c r="BF70"/>
    </row>
    <row r="71" spans="1:58" ht="15" customHeight="1">
      <c r="A71" s="50"/>
      <c r="B71" s="65"/>
      <c r="C71" s="144">
        <v>58</v>
      </c>
      <c r="D71" s="141" t="s">
        <v>209</v>
      </c>
      <c r="E71" s="142" t="s">
        <v>210</v>
      </c>
      <c r="F71" s="86" t="s">
        <v>98</v>
      </c>
      <c r="G71" s="68">
        <v>0.01</v>
      </c>
      <c r="H71" s="69">
        <f t="shared" si="5"/>
        <v>0</v>
      </c>
      <c r="I71" s="70">
        <f t="shared" si="6"/>
        <v>0.01</v>
      </c>
      <c r="J71" s="71">
        <f t="shared" si="6"/>
        <v>0</v>
      </c>
      <c r="K71" s="81">
        <v>0.04</v>
      </c>
      <c r="L71" s="80">
        <f t="shared" si="7"/>
        <v>0</v>
      </c>
      <c r="M71" s="80">
        <v>0.01</v>
      </c>
      <c r="N71" s="80">
        <f t="shared" si="34"/>
        <v>0</v>
      </c>
      <c r="O71" s="80">
        <v>0.01</v>
      </c>
      <c r="P71" s="80">
        <f t="shared" si="34"/>
        <v>0</v>
      </c>
      <c r="Q71" s="80">
        <v>0.01</v>
      </c>
      <c r="R71" s="80">
        <f t="shared" si="35"/>
        <v>0</v>
      </c>
      <c r="S71" s="80">
        <v>0.01</v>
      </c>
      <c r="T71" s="80">
        <f t="shared" si="35"/>
        <v>0</v>
      </c>
      <c r="U71" s="80">
        <v>0.01</v>
      </c>
      <c r="V71" s="80">
        <f t="shared" si="36"/>
        <v>0</v>
      </c>
      <c r="W71" s="80">
        <v>0.01</v>
      </c>
      <c r="X71" s="80">
        <f t="shared" si="36"/>
        <v>0</v>
      </c>
      <c r="Y71" s="80">
        <v>0.01</v>
      </c>
      <c r="Z71" s="80">
        <f t="shared" si="11"/>
        <v>0</v>
      </c>
      <c r="AA71" s="80">
        <v>0.02</v>
      </c>
      <c r="AB71" s="80">
        <f t="shared" si="12"/>
        <v>0</v>
      </c>
      <c r="AC71" s="80"/>
      <c r="AD71" s="80">
        <f t="shared" si="13"/>
        <v>0</v>
      </c>
      <c r="AE71" s="80"/>
      <c r="AF71" s="80">
        <f t="shared" si="14"/>
        <v>0</v>
      </c>
      <c r="AG71" s="74">
        <f t="shared" si="3"/>
        <v>0.13</v>
      </c>
      <c r="AH71" s="209">
        <f t="shared" si="4"/>
        <v>0</v>
      </c>
      <c r="AI71" s="81"/>
      <c r="AJ71" s="80">
        <f t="shared" si="15"/>
        <v>0</v>
      </c>
      <c r="AK71" s="80"/>
      <c r="AL71" s="80">
        <f t="shared" si="16"/>
        <v>0</v>
      </c>
      <c r="AM71" s="80"/>
      <c r="AN71" s="80">
        <f t="shared" si="17"/>
        <v>0</v>
      </c>
      <c r="AO71" s="80"/>
      <c r="AP71" s="80">
        <f t="shared" si="18"/>
        <v>0</v>
      </c>
      <c r="AQ71" s="80"/>
      <c r="AR71" s="80">
        <f t="shared" si="19"/>
        <v>0</v>
      </c>
      <c r="AS71" s="74">
        <f t="shared" si="25"/>
        <v>0</v>
      </c>
      <c r="AT71" s="75">
        <f t="shared" si="25"/>
        <v>0</v>
      </c>
      <c r="AU71" s="81"/>
      <c r="AV71" s="80"/>
      <c r="AW71" s="74">
        <f t="shared" si="20"/>
        <v>0</v>
      </c>
      <c r="AX71" s="76">
        <f t="shared" si="20"/>
        <v>0</v>
      </c>
      <c r="AY71" s="77">
        <f t="shared" si="26"/>
        <v>0.14000000000000001</v>
      </c>
      <c r="AZ71" s="78">
        <f t="shared" si="27"/>
        <v>0</v>
      </c>
      <c r="BA71" s="2" t="s">
        <v>91</v>
      </c>
      <c r="BB71" s="2">
        <f t="shared" si="21"/>
        <v>0</v>
      </c>
      <c r="BE71"/>
      <c r="BF71"/>
    </row>
    <row r="72" spans="1:58" ht="15" customHeight="1">
      <c r="A72" s="50"/>
      <c r="B72" s="87" t="s">
        <v>211</v>
      </c>
      <c r="C72" s="83">
        <v>59</v>
      </c>
      <c r="D72" s="141" t="s">
        <v>212</v>
      </c>
      <c r="E72" s="142" t="s">
        <v>213</v>
      </c>
      <c r="F72" s="143" t="s">
        <v>131</v>
      </c>
      <c r="G72" s="68"/>
      <c r="H72" s="69">
        <f t="shared" si="5"/>
        <v>0</v>
      </c>
      <c r="I72" s="70">
        <f t="shared" si="6"/>
        <v>0</v>
      </c>
      <c r="J72" s="71">
        <f t="shared" si="6"/>
        <v>0</v>
      </c>
      <c r="K72" s="81"/>
      <c r="L72" s="80">
        <f t="shared" si="7"/>
        <v>0</v>
      </c>
      <c r="M72" s="80"/>
      <c r="N72" s="80">
        <f t="shared" si="34"/>
        <v>0</v>
      </c>
      <c r="O72" s="80"/>
      <c r="P72" s="80">
        <f t="shared" si="34"/>
        <v>0</v>
      </c>
      <c r="Q72" s="80"/>
      <c r="R72" s="80">
        <f t="shared" si="35"/>
        <v>0</v>
      </c>
      <c r="S72" s="80"/>
      <c r="T72" s="80">
        <f t="shared" si="35"/>
        <v>0</v>
      </c>
      <c r="U72" s="80"/>
      <c r="V72" s="80">
        <f t="shared" si="36"/>
        <v>0</v>
      </c>
      <c r="W72" s="80"/>
      <c r="X72" s="80">
        <f t="shared" si="36"/>
        <v>0</v>
      </c>
      <c r="Y72" s="80"/>
      <c r="Z72" s="80">
        <f t="shared" si="11"/>
        <v>0</v>
      </c>
      <c r="AA72" s="80">
        <v>0.02</v>
      </c>
      <c r="AB72" s="80">
        <f t="shared" si="12"/>
        <v>0</v>
      </c>
      <c r="AC72" s="80">
        <v>0.1</v>
      </c>
      <c r="AD72" s="80">
        <f t="shared" si="13"/>
        <v>0</v>
      </c>
      <c r="AE72" s="80">
        <v>0.1</v>
      </c>
      <c r="AF72" s="80">
        <f t="shared" si="14"/>
        <v>0</v>
      </c>
      <c r="AG72" s="74">
        <f t="shared" si="3"/>
        <v>0.22000000000000003</v>
      </c>
      <c r="AH72" s="209">
        <f t="shared" si="4"/>
        <v>0</v>
      </c>
      <c r="AI72" s="81"/>
      <c r="AJ72" s="80">
        <f t="shared" si="15"/>
        <v>0</v>
      </c>
      <c r="AK72" s="80">
        <v>7.0000000000000007E-2</v>
      </c>
      <c r="AL72" s="80">
        <f t="shared" si="16"/>
        <v>0</v>
      </c>
      <c r="AM72" s="80">
        <v>7.0000000000000007E-2</v>
      </c>
      <c r="AN72" s="80">
        <f t="shared" si="17"/>
        <v>0</v>
      </c>
      <c r="AO72" s="80">
        <v>0.1</v>
      </c>
      <c r="AP72" s="80">
        <f t="shared" si="18"/>
        <v>0</v>
      </c>
      <c r="AQ72" s="80">
        <v>7.0000000000000007E-2</v>
      </c>
      <c r="AR72" s="80">
        <f t="shared" si="19"/>
        <v>0</v>
      </c>
      <c r="AS72" s="74">
        <f t="shared" si="25"/>
        <v>0.31000000000000005</v>
      </c>
      <c r="AT72" s="75">
        <f t="shared" si="25"/>
        <v>0</v>
      </c>
      <c r="AU72" s="81"/>
      <c r="AV72" s="80"/>
      <c r="AW72" s="74">
        <f t="shared" si="20"/>
        <v>0</v>
      </c>
      <c r="AX72" s="76">
        <f t="shared" si="20"/>
        <v>0</v>
      </c>
      <c r="AY72" s="77">
        <f t="shared" si="26"/>
        <v>0.53</v>
      </c>
      <c r="AZ72" s="78">
        <f t="shared" si="27"/>
        <v>0</v>
      </c>
      <c r="BA72" s="2" t="s">
        <v>91</v>
      </c>
      <c r="BB72" s="2">
        <f t="shared" si="21"/>
        <v>0</v>
      </c>
      <c r="BE72"/>
      <c r="BF72"/>
    </row>
    <row r="73" spans="1:58" ht="15" customHeight="1">
      <c r="A73" s="50"/>
      <c r="B73" s="65"/>
      <c r="C73" s="88">
        <v>60</v>
      </c>
      <c r="D73" s="141" t="s">
        <v>62</v>
      </c>
      <c r="E73" s="142" t="s">
        <v>63</v>
      </c>
      <c r="F73" s="143" t="s">
        <v>131</v>
      </c>
      <c r="G73" s="68"/>
      <c r="H73" s="69">
        <f t="shared" si="5"/>
        <v>0</v>
      </c>
      <c r="I73" s="70">
        <f t="shared" si="6"/>
        <v>0</v>
      </c>
      <c r="J73" s="71">
        <f t="shared" si="6"/>
        <v>0</v>
      </c>
      <c r="K73" s="81"/>
      <c r="L73" s="80">
        <f t="shared" si="7"/>
        <v>0</v>
      </c>
      <c r="M73" s="80">
        <v>0.1</v>
      </c>
      <c r="N73" s="80">
        <f t="shared" si="34"/>
        <v>0</v>
      </c>
      <c r="O73" s="80">
        <v>0.1</v>
      </c>
      <c r="P73" s="80">
        <f t="shared" si="34"/>
        <v>0</v>
      </c>
      <c r="Q73" s="80">
        <v>0.1</v>
      </c>
      <c r="R73" s="80">
        <f t="shared" si="35"/>
        <v>0</v>
      </c>
      <c r="S73" s="80">
        <v>0.1</v>
      </c>
      <c r="T73" s="80">
        <f t="shared" si="35"/>
        <v>0</v>
      </c>
      <c r="U73" s="80">
        <v>0.15</v>
      </c>
      <c r="V73" s="80">
        <f t="shared" si="36"/>
        <v>0</v>
      </c>
      <c r="W73" s="80">
        <v>0.05</v>
      </c>
      <c r="X73" s="80">
        <f t="shared" si="36"/>
        <v>0</v>
      </c>
      <c r="Y73" s="80">
        <v>0.1</v>
      </c>
      <c r="Z73" s="80">
        <f t="shared" si="11"/>
        <v>0</v>
      </c>
      <c r="AA73" s="80">
        <v>0.02</v>
      </c>
      <c r="AB73" s="80">
        <f t="shared" si="12"/>
        <v>0</v>
      </c>
      <c r="AC73" s="80"/>
      <c r="AD73" s="80">
        <f t="shared" si="13"/>
        <v>0</v>
      </c>
      <c r="AE73" s="80"/>
      <c r="AF73" s="80">
        <f t="shared" si="14"/>
        <v>0</v>
      </c>
      <c r="AG73" s="74">
        <f t="shared" si="3"/>
        <v>0.72000000000000008</v>
      </c>
      <c r="AH73" s="209">
        <f t="shared" si="4"/>
        <v>0</v>
      </c>
      <c r="AI73" s="81"/>
      <c r="AJ73" s="80">
        <f t="shared" si="15"/>
        <v>0</v>
      </c>
      <c r="AK73" s="80"/>
      <c r="AL73" s="80">
        <f t="shared" si="16"/>
        <v>0</v>
      </c>
      <c r="AM73" s="80"/>
      <c r="AN73" s="80">
        <f t="shared" si="17"/>
        <v>0</v>
      </c>
      <c r="AO73" s="80"/>
      <c r="AP73" s="80">
        <f t="shared" si="18"/>
        <v>0</v>
      </c>
      <c r="AQ73" s="80"/>
      <c r="AR73" s="80">
        <f t="shared" si="19"/>
        <v>0</v>
      </c>
      <c r="AS73" s="74">
        <f t="shared" si="25"/>
        <v>0</v>
      </c>
      <c r="AT73" s="75">
        <f t="shared" si="25"/>
        <v>0</v>
      </c>
      <c r="AU73" s="81"/>
      <c r="AV73" s="80"/>
      <c r="AW73" s="74">
        <f t="shared" si="20"/>
        <v>0</v>
      </c>
      <c r="AX73" s="76">
        <f t="shared" si="20"/>
        <v>0</v>
      </c>
      <c r="AY73" s="77">
        <f t="shared" si="26"/>
        <v>0.72000000000000008</v>
      </c>
      <c r="AZ73" s="78">
        <f t="shared" si="27"/>
        <v>0</v>
      </c>
      <c r="BA73" s="2" t="s">
        <v>91</v>
      </c>
      <c r="BB73" s="2">
        <f t="shared" si="21"/>
        <v>0</v>
      </c>
      <c r="BE73"/>
      <c r="BF73"/>
    </row>
    <row r="74" spans="1:58" ht="15" customHeight="1">
      <c r="A74" s="50"/>
      <c r="B74" s="65"/>
      <c r="C74" s="88">
        <v>61</v>
      </c>
      <c r="D74" s="141" t="s">
        <v>214</v>
      </c>
      <c r="E74" s="142" t="s">
        <v>215</v>
      </c>
      <c r="F74" s="143" t="s">
        <v>131</v>
      </c>
      <c r="G74" s="68"/>
      <c r="H74" s="69">
        <f t="shared" si="5"/>
        <v>0</v>
      </c>
      <c r="I74" s="70">
        <f t="shared" si="6"/>
        <v>0</v>
      </c>
      <c r="J74" s="71">
        <f t="shared" si="6"/>
        <v>0</v>
      </c>
      <c r="K74" s="81"/>
      <c r="L74" s="80">
        <f t="shared" si="7"/>
        <v>0</v>
      </c>
      <c r="M74" s="80"/>
      <c r="N74" s="80">
        <f t="shared" si="34"/>
        <v>0</v>
      </c>
      <c r="O74" s="80"/>
      <c r="P74" s="80">
        <f t="shared" si="34"/>
        <v>0</v>
      </c>
      <c r="Q74" s="80"/>
      <c r="R74" s="80">
        <f t="shared" si="35"/>
        <v>0</v>
      </c>
      <c r="S74" s="80"/>
      <c r="T74" s="80">
        <f t="shared" si="35"/>
        <v>0</v>
      </c>
      <c r="U74" s="80"/>
      <c r="V74" s="80">
        <f t="shared" si="36"/>
        <v>0</v>
      </c>
      <c r="W74" s="80"/>
      <c r="X74" s="80">
        <f t="shared" si="36"/>
        <v>0</v>
      </c>
      <c r="Y74" s="80"/>
      <c r="Z74" s="80">
        <f t="shared" si="11"/>
        <v>0</v>
      </c>
      <c r="AA74" s="80">
        <v>0.02</v>
      </c>
      <c r="AB74" s="80">
        <f t="shared" si="12"/>
        <v>0</v>
      </c>
      <c r="AC74" s="80">
        <v>0.1</v>
      </c>
      <c r="AD74" s="80">
        <f t="shared" si="13"/>
        <v>0</v>
      </c>
      <c r="AE74" s="80">
        <v>0.1</v>
      </c>
      <c r="AF74" s="80">
        <f t="shared" si="14"/>
        <v>0</v>
      </c>
      <c r="AG74" s="74">
        <f t="shared" si="3"/>
        <v>0.22000000000000003</v>
      </c>
      <c r="AH74" s="209">
        <f t="shared" si="4"/>
        <v>0</v>
      </c>
      <c r="AI74" s="81"/>
      <c r="AJ74" s="80">
        <f t="shared" si="15"/>
        <v>0</v>
      </c>
      <c r="AK74" s="80">
        <v>0.05</v>
      </c>
      <c r="AL74" s="80">
        <f t="shared" si="16"/>
        <v>0</v>
      </c>
      <c r="AM74" s="80">
        <v>0.05</v>
      </c>
      <c r="AN74" s="80">
        <f t="shared" si="17"/>
        <v>0</v>
      </c>
      <c r="AO74" s="80">
        <v>0.1</v>
      </c>
      <c r="AP74" s="80">
        <f t="shared" si="18"/>
        <v>0</v>
      </c>
      <c r="AQ74" s="80">
        <v>0.08</v>
      </c>
      <c r="AR74" s="80">
        <f t="shared" si="19"/>
        <v>0</v>
      </c>
      <c r="AS74" s="74">
        <f t="shared" si="25"/>
        <v>0.28000000000000003</v>
      </c>
      <c r="AT74" s="75">
        <f t="shared" si="25"/>
        <v>0</v>
      </c>
      <c r="AU74" s="81"/>
      <c r="AV74" s="80"/>
      <c r="AW74" s="74">
        <f t="shared" si="20"/>
        <v>0</v>
      </c>
      <c r="AX74" s="76">
        <f t="shared" si="20"/>
        <v>0</v>
      </c>
      <c r="AY74" s="77">
        <f t="shared" si="26"/>
        <v>0.5</v>
      </c>
      <c r="AZ74" s="78">
        <f t="shared" si="27"/>
        <v>0</v>
      </c>
      <c r="BA74" s="2" t="s">
        <v>91</v>
      </c>
      <c r="BB74" s="2">
        <f t="shared" si="21"/>
        <v>0</v>
      </c>
      <c r="BE74"/>
      <c r="BF74"/>
    </row>
    <row r="75" spans="1:58" ht="15" customHeight="1">
      <c r="A75" s="50"/>
      <c r="B75" s="65"/>
      <c r="C75" s="83">
        <v>62</v>
      </c>
      <c r="D75" s="141" t="s">
        <v>216</v>
      </c>
      <c r="E75" s="142" t="s">
        <v>215</v>
      </c>
      <c r="F75" s="143" t="s">
        <v>217</v>
      </c>
      <c r="G75" s="68"/>
      <c r="H75" s="69">
        <f t="shared" si="5"/>
        <v>0</v>
      </c>
      <c r="I75" s="70">
        <f t="shared" si="6"/>
        <v>0</v>
      </c>
      <c r="J75" s="71">
        <f t="shared" si="6"/>
        <v>0</v>
      </c>
      <c r="K75" s="81"/>
      <c r="L75" s="80">
        <f t="shared" si="7"/>
        <v>0</v>
      </c>
      <c r="M75" s="80"/>
      <c r="N75" s="80">
        <f t="shared" si="34"/>
        <v>0</v>
      </c>
      <c r="O75" s="80"/>
      <c r="P75" s="80">
        <f t="shared" si="34"/>
        <v>0</v>
      </c>
      <c r="Q75" s="80"/>
      <c r="R75" s="80">
        <f t="shared" si="35"/>
        <v>0</v>
      </c>
      <c r="S75" s="80"/>
      <c r="T75" s="80">
        <f t="shared" si="35"/>
        <v>0</v>
      </c>
      <c r="U75" s="80"/>
      <c r="V75" s="80">
        <f t="shared" si="36"/>
        <v>0</v>
      </c>
      <c r="W75" s="80"/>
      <c r="X75" s="80">
        <f t="shared" si="36"/>
        <v>0</v>
      </c>
      <c r="Y75" s="80"/>
      <c r="Z75" s="80">
        <f t="shared" si="11"/>
        <v>0</v>
      </c>
      <c r="AA75" s="80"/>
      <c r="AB75" s="80">
        <f t="shared" si="12"/>
        <v>0</v>
      </c>
      <c r="AC75" s="80"/>
      <c r="AD75" s="80">
        <f t="shared" si="13"/>
        <v>0</v>
      </c>
      <c r="AE75" s="80"/>
      <c r="AF75" s="80">
        <f t="shared" si="14"/>
        <v>0</v>
      </c>
      <c r="AG75" s="74">
        <f t="shared" si="3"/>
        <v>0</v>
      </c>
      <c r="AH75" s="209">
        <f t="shared" si="4"/>
        <v>0</v>
      </c>
      <c r="AI75" s="81"/>
      <c r="AJ75" s="80">
        <f t="shared" si="15"/>
        <v>0</v>
      </c>
      <c r="AK75" s="80">
        <v>0.03</v>
      </c>
      <c r="AL75" s="80">
        <f t="shared" si="16"/>
        <v>0</v>
      </c>
      <c r="AM75" s="80">
        <v>0.03</v>
      </c>
      <c r="AN75" s="80">
        <f t="shared" si="17"/>
        <v>0</v>
      </c>
      <c r="AO75" s="80"/>
      <c r="AP75" s="80">
        <f t="shared" si="18"/>
        <v>0</v>
      </c>
      <c r="AQ75" s="80"/>
      <c r="AR75" s="80">
        <f t="shared" si="19"/>
        <v>0</v>
      </c>
      <c r="AS75" s="74">
        <f t="shared" si="25"/>
        <v>0.06</v>
      </c>
      <c r="AT75" s="75">
        <f t="shared" si="25"/>
        <v>0</v>
      </c>
      <c r="AU75" s="81"/>
      <c r="AV75" s="80"/>
      <c r="AW75" s="74">
        <f t="shared" si="20"/>
        <v>0</v>
      </c>
      <c r="AX75" s="76">
        <f t="shared" si="20"/>
        <v>0</v>
      </c>
      <c r="AY75" s="77">
        <f t="shared" si="26"/>
        <v>0.06</v>
      </c>
      <c r="AZ75" s="78">
        <f t="shared" si="27"/>
        <v>0</v>
      </c>
      <c r="BA75" s="2" t="s">
        <v>91</v>
      </c>
      <c r="BB75" s="2">
        <f t="shared" si="21"/>
        <v>0</v>
      </c>
      <c r="BE75"/>
      <c r="BF75"/>
    </row>
    <row r="76" spans="1:58" ht="15" customHeight="1">
      <c r="A76" s="50"/>
      <c r="B76" s="65"/>
      <c r="C76" s="88">
        <v>63</v>
      </c>
      <c r="D76" s="141" t="s">
        <v>218</v>
      </c>
      <c r="E76" s="142" t="s">
        <v>219</v>
      </c>
      <c r="F76" s="143" t="s">
        <v>131</v>
      </c>
      <c r="G76" s="68">
        <v>0.1</v>
      </c>
      <c r="H76" s="69">
        <f t="shared" si="5"/>
        <v>0</v>
      </c>
      <c r="I76" s="70">
        <f t="shared" ref="I76:J116" si="37">G76</f>
        <v>0.1</v>
      </c>
      <c r="J76" s="71">
        <f t="shared" si="37"/>
        <v>0</v>
      </c>
      <c r="K76" s="81">
        <v>0.1</v>
      </c>
      <c r="L76" s="80">
        <f t="shared" si="7"/>
        <v>0</v>
      </c>
      <c r="M76" s="80"/>
      <c r="N76" s="80">
        <f t="shared" si="34"/>
        <v>0</v>
      </c>
      <c r="O76" s="80"/>
      <c r="P76" s="80">
        <f t="shared" si="34"/>
        <v>0</v>
      </c>
      <c r="Q76" s="80"/>
      <c r="R76" s="80">
        <f t="shared" si="35"/>
        <v>0</v>
      </c>
      <c r="S76" s="80"/>
      <c r="T76" s="80">
        <f t="shared" si="35"/>
        <v>0</v>
      </c>
      <c r="U76" s="80"/>
      <c r="V76" s="80">
        <f t="shared" si="36"/>
        <v>0</v>
      </c>
      <c r="W76" s="80"/>
      <c r="X76" s="80">
        <f t="shared" si="36"/>
        <v>0</v>
      </c>
      <c r="Y76" s="80"/>
      <c r="Z76" s="80">
        <f t="shared" si="11"/>
        <v>0</v>
      </c>
      <c r="AA76" s="80"/>
      <c r="AB76" s="80">
        <f t="shared" si="12"/>
        <v>0</v>
      </c>
      <c r="AC76" s="80"/>
      <c r="AD76" s="80">
        <f t="shared" si="13"/>
        <v>0</v>
      </c>
      <c r="AE76" s="80"/>
      <c r="AF76" s="80">
        <f t="shared" si="14"/>
        <v>0</v>
      </c>
      <c r="AG76" s="74">
        <f t="shared" si="3"/>
        <v>0.1</v>
      </c>
      <c r="AH76" s="209">
        <f t="shared" si="4"/>
        <v>0</v>
      </c>
      <c r="AI76" s="81"/>
      <c r="AJ76" s="80">
        <f t="shared" si="15"/>
        <v>0</v>
      </c>
      <c r="AK76" s="80"/>
      <c r="AL76" s="80">
        <f t="shared" si="16"/>
        <v>0</v>
      </c>
      <c r="AM76" s="80"/>
      <c r="AN76" s="80">
        <f t="shared" si="17"/>
        <v>0</v>
      </c>
      <c r="AO76" s="80"/>
      <c r="AP76" s="80">
        <f t="shared" si="18"/>
        <v>0</v>
      </c>
      <c r="AQ76" s="80"/>
      <c r="AR76" s="80">
        <f t="shared" si="19"/>
        <v>0</v>
      </c>
      <c r="AS76" s="74">
        <f t="shared" si="25"/>
        <v>0</v>
      </c>
      <c r="AT76" s="75">
        <f t="shared" si="25"/>
        <v>0</v>
      </c>
      <c r="AU76" s="81"/>
      <c r="AV76" s="80"/>
      <c r="AW76" s="74">
        <f t="shared" si="20"/>
        <v>0</v>
      </c>
      <c r="AX76" s="76">
        <f t="shared" si="20"/>
        <v>0</v>
      </c>
      <c r="AY76" s="77">
        <f t="shared" si="26"/>
        <v>0.2</v>
      </c>
      <c r="AZ76" s="78">
        <f t="shared" si="27"/>
        <v>0</v>
      </c>
      <c r="BA76" s="2" t="s">
        <v>91</v>
      </c>
      <c r="BB76" s="2">
        <f t="shared" si="21"/>
        <v>0</v>
      </c>
      <c r="BE76"/>
      <c r="BF76"/>
    </row>
    <row r="77" spans="1:58" ht="15" customHeight="1">
      <c r="A77" s="50"/>
      <c r="B77" s="65"/>
      <c r="C77" s="88">
        <v>64</v>
      </c>
      <c r="D77" s="141" t="s">
        <v>220</v>
      </c>
      <c r="E77" s="142" t="s">
        <v>221</v>
      </c>
      <c r="F77" s="86" t="s">
        <v>113</v>
      </c>
      <c r="G77" s="68">
        <v>0.02</v>
      </c>
      <c r="H77" s="69">
        <f t="shared" si="5"/>
        <v>0</v>
      </c>
      <c r="I77" s="70">
        <f t="shared" si="37"/>
        <v>0.02</v>
      </c>
      <c r="J77" s="71">
        <f t="shared" si="37"/>
        <v>0</v>
      </c>
      <c r="K77" s="81">
        <v>0.02</v>
      </c>
      <c r="L77" s="80">
        <f t="shared" si="7"/>
        <v>0</v>
      </c>
      <c r="M77" s="80"/>
      <c r="N77" s="80">
        <f t="shared" si="34"/>
        <v>0</v>
      </c>
      <c r="O77" s="80"/>
      <c r="P77" s="80">
        <f t="shared" si="34"/>
        <v>0</v>
      </c>
      <c r="Q77" s="80"/>
      <c r="R77" s="80">
        <f t="shared" si="35"/>
        <v>0</v>
      </c>
      <c r="S77" s="80"/>
      <c r="T77" s="80">
        <f t="shared" si="35"/>
        <v>0</v>
      </c>
      <c r="U77" s="80"/>
      <c r="V77" s="80">
        <f t="shared" si="36"/>
        <v>0</v>
      </c>
      <c r="W77" s="80"/>
      <c r="X77" s="80">
        <f t="shared" si="36"/>
        <v>0</v>
      </c>
      <c r="Y77" s="80"/>
      <c r="Z77" s="80">
        <f t="shared" si="11"/>
        <v>0</v>
      </c>
      <c r="AA77" s="80"/>
      <c r="AB77" s="80">
        <f t="shared" si="12"/>
        <v>0</v>
      </c>
      <c r="AC77" s="80"/>
      <c r="AD77" s="80">
        <f t="shared" si="13"/>
        <v>0</v>
      </c>
      <c r="AE77" s="80"/>
      <c r="AF77" s="80">
        <f t="shared" si="14"/>
        <v>0</v>
      </c>
      <c r="AG77" s="74">
        <f t="shared" si="3"/>
        <v>0.02</v>
      </c>
      <c r="AH77" s="209">
        <f t="shared" si="4"/>
        <v>0</v>
      </c>
      <c r="AI77" s="81"/>
      <c r="AJ77" s="80">
        <f t="shared" si="15"/>
        <v>0</v>
      </c>
      <c r="AK77" s="80">
        <v>0.05</v>
      </c>
      <c r="AL77" s="80">
        <f t="shared" si="16"/>
        <v>0</v>
      </c>
      <c r="AM77" s="80">
        <v>0.05</v>
      </c>
      <c r="AN77" s="80">
        <f t="shared" si="17"/>
        <v>0</v>
      </c>
      <c r="AO77" s="80">
        <v>0.18</v>
      </c>
      <c r="AP77" s="80">
        <f t="shared" si="18"/>
        <v>0</v>
      </c>
      <c r="AQ77" s="80">
        <v>0.17</v>
      </c>
      <c r="AR77" s="80">
        <f t="shared" si="19"/>
        <v>0</v>
      </c>
      <c r="AS77" s="74">
        <f t="shared" si="25"/>
        <v>0.45</v>
      </c>
      <c r="AT77" s="75">
        <f t="shared" si="25"/>
        <v>0</v>
      </c>
      <c r="AU77" s="81"/>
      <c r="AV77" s="80"/>
      <c r="AW77" s="74">
        <f t="shared" si="20"/>
        <v>0</v>
      </c>
      <c r="AX77" s="76">
        <f t="shared" si="20"/>
        <v>0</v>
      </c>
      <c r="AY77" s="77">
        <f t="shared" ref="AY77:AY108" si="38">I77+AG77+AS77+AW77</f>
        <v>0.49</v>
      </c>
      <c r="AZ77" s="78">
        <f t="shared" ref="AZ77:AZ108" si="39">J77+AH77+AT77+AX77</f>
        <v>0</v>
      </c>
      <c r="BA77" s="2" t="s">
        <v>91</v>
      </c>
      <c r="BB77" s="2">
        <f t="shared" si="21"/>
        <v>0</v>
      </c>
      <c r="BE77"/>
      <c r="BF77"/>
    </row>
    <row r="78" spans="1:58" ht="15" customHeight="1">
      <c r="A78" s="50"/>
      <c r="B78" s="65"/>
      <c r="C78" s="83">
        <v>65</v>
      </c>
      <c r="D78" s="141" t="s">
        <v>222</v>
      </c>
      <c r="E78" s="142" t="s">
        <v>223</v>
      </c>
      <c r="F78" s="86" t="s">
        <v>121</v>
      </c>
      <c r="G78" s="68">
        <v>0.01</v>
      </c>
      <c r="H78" s="69">
        <f t="shared" si="5"/>
        <v>0</v>
      </c>
      <c r="I78" s="70">
        <f t="shared" si="37"/>
        <v>0.01</v>
      </c>
      <c r="J78" s="71">
        <f t="shared" si="37"/>
        <v>0</v>
      </c>
      <c r="K78" s="81">
        <v>0.01</v>
      </c>
      <c r="L78" s="80">
        <f t="shared" si="7"/>
        <v>0</v>
      </c>
      <c r="M78" s="80"/>
      <c r="N78" s="80">
        <f t="shared" si="34"/>
        <v>0</v>
      </c>
      <c r="O78" s="80"/>
      <c r="P78" s="80">
        <f t="shared" si="34"/>
        <v>0</v>
      </c>
      <c r="Q78" s="80"/>
      <c r="R78" s="80">
        <f t="shared" si="35"/>
        <v>0</v>
      </c>
      <c r="S78" s="80"/>
      <c r="T78" s="80">
        <f t="shared" si="35"/>
        <v>0</v>
      </c>
      <c r="U78" s="80"/>
      <c r="V78" s="80">
        <f t="shared" si="36"/>
        <v>0</v>
      </c>
      <c r="W78" s="80"/>
      <c r="X78" s="80">
        <f t="shared" si="36"/>
        <v>0</v>
      </c>
      <c r="Y78" s="80"/>
      <c r="Z78" s="80">
        <f t="shared" si="11"/>
        <v>0</v>
      </c>
      <c r="AA78" s="80">
        <v>0.02</v>
      </c>
      <c r="AB78" s="80">
        <f t="shared" si="12"/>
        <v>0</v>
      </c>
      <c r="AC78" s="80"/>
      <c r="AD78" s="80">
        <f t="shared" si="13"/>
        <v>0</v>
      </c>
      <c r="AE78" s="80"/>
      <c r="AF78" s="80">
        <f t="shared" si="14"/>
        <v>0</v>
      </c>
      <c r="AG78" s="74">
        <f t="shared" ref="AG78:AG116" si="40">K78+M78+O78+Q78+S78+U78+W78+AA78+Y78+AC78+AE78</f>
        <v>0.03</v>
      </c>
      <c r="AH78" s="209">
        <f t="shared" ref="AH78:AH116" si="41">L78+N78+P78+R78+T78+V78+X78+AB78+Z78+AD78+AF78</f>
        <v>0</v>
      </c>
      <c r="AI78" s="81"/>
      <c r="AJ78" s="80">
        <f t="shared" si="15"/>
        <v>0</v>
      </c>
      <c r="AK78" s="80">
        <v>0.03</v>
      </c>
      <c r="AL78" s="80">
        <f t="shared" si="16"/>
        <v>0</v>
      </c>
      <c r="AM78" s="80">
        <v>0.03</v>
      </c>
      <c r="AN78" s="80">
        <f t="shared" si="17"/>
        <v>0</v>
      </c>
      <c r="AO78" s="80">
        <v>0.05</v>
      </c>
      <c r="AP78" s="80">
        <f t="shared" si="18"/>
        <v>0</v>
      </c>
      <c r="AQ78" s="80">
        <v>0.06</v>
      </c>
      <c r="AR78" s="80">
        <f t="shared" si="19"/>
        <v>0</v>
      </c>
      <c r="AS78" s="74">
        <f t="shared" si="25"/>
        <v>0.17</v>
      </c>
      <c r="AT78" s="75">
        <f t="shared" si="25"/>
        <v>0</v>
      </c>
      <c r="AU78" s="81"/>
      <c r="AV78" s="80"/>
      <c r="AW78" s="74">
        <f t="shared" si="20"/>
        <v>0</v>
      </c>
      <c r="AX78" s="76">
        <f t="shared" si="20"/>
        <v>0</v>
      </c>
      <c r="AY78" s="77">
        <f t="shared" si="38"/>
        <v>0.21000000000000002</v>
      </c>
      <c r="AZ78" s="78">
        <f t="shared" si="39"/>
        <v>0</v>
      </c>
      <c r="BA78" s="2" t="s">
        <v>91</v>
      </c>
      <c r="BB78" s="2">
        <f t="shared" si="21"/>
        <v>0</v>
      </c>
      <c r="BE78"/>
      <c r="BF78"/>
    </row>
    <row r="79" spans="1:58" ht="15" customHeight="1">
      <c r="A79" s="50"/>
      <c r="B79" s="65"/>
      <c r="C79" s="144">
        <v>66</v>
      </c>
      <c r="D79" s="141" t="s">
        <v>224</v>
      </c>
      <c r="E79" s="142" t="s">
        <v>225</v>
      </c>
      <c r="F79" s="143" t="s">
        <v>131</v>
      </c>
      <c r="G79" s="68"/>
      <c r="H79" s="69">
        <f t="shared" si="5"/>
        <v>0</v>
      </c>
      <c r="I79" s="70">
        <f t="shared" si="37"/>
        <v>0</v>
      </c>
      <c r="J79" s="71">
        <f t="shared" si="37"/>
        <v>0</v>
      </c>
      <c r="K79" s="81"/>
      <c r="L79" s="80">
        <f t="shared" si="7"/>
        <v>0</v>
      </c>
      <c r="M79" s="80"/>
      <c r="N79" s="80">
        <f t="shared" si="34"/>
        <v>0</v>
      </c>
      <c r="O79" s="80"/>
      <c r="P79" s="80">
        <f t="shared" si="34"/>
        <v>0</v>
      </c>
      <c r="Q79" s="80"/>
      <c r="R79" s="80">
        <f t="shared" si="35"/>
        <v>0</v>
      </c>
      <c r="S79" s="80"/>
      <c r="T79" s="80">
        <f t="shared" si="35"/>
        <v>0</v>
      </c>
      <c r="U79" s="80"/>
      <c r="V79" s="80">
        <f t="shared" si="36"/>
        <v>0</v>
      </c>
      <c r="W79" s="80"/>
      <c r="X79" s="80">
        <f t="shared" si="36"/>
        <v>0</v>
      </c>
      <c r="Y79" s="80"/>
      <c r="Z79" s="80">
        <f t="shared" si="11"/>
        <v>0</v>
      </c>
      <c r="AA79" s="80"/>
      <c r="AB79" s="80">
        <f t="shared" si="12"/>
        <v>0</v>
      </c>
      <c r="AC79" s="80"/>
      <c r="AD79" s="80">
        <f t="shared" si="13"/>
        <v>0</v>
      </c>
      <c r="AE79" s="80"/>
      <c r="AF79" s="80">
        <f t="shared" si="14"/>
        <v>0</v>
      </c>
      <c r="AG79" s="74">
        <f t="shared" si="40"/>
        <v>0</v>
      </c>
      <c r="AH79" s="209">
        <f t="shared" si="41"/>
        <v>0</v>
      </c>
      <c r="AI79" s="81"/>
      <c r="AJ79" s="80">
        <f t="shared" si="15"/>
        <v>0</v>
      </c>
      <c r="AK79" s="80">
        <v>0.03</v>
      </c>
      <c r="AL79" s="80">
        <f t="shared" si="16"/>
        <v>0</v>
      </c>
      <c r="AM79" s="80">
        <v>0.03</v>
      </c>
      <c r="AN79" s="80">
        <f t="shared" si="17"/>
        <v>0</v>
      </c>
      <c r="AO79" s="80">
        <v>0.05</v>
      </c>
      <c r="AP79" s="80">
        <f t="shared" si="18"/>
        <v>0</v>
      </c>
      <c r="AQ79" s="80">
        <v>0.1</v>
      </c>
      <c r="AR79" s="80">
        <f t="shared" si="19"/>
        <v>0</v>
      </c>
      <c r="AS79" s="74">
        <f t="shared" ref="AS79:AT115" si="42">AI79+AK79+AO79+AQ79+AM79</f>
        <v>0.21</v>
      </c>
      <c r="AT79" s="75">
        <f t="shared" si="42"/>
        <v>0</v>
      </c>
      <c r="AU79" s="81"/>
      <c r="AV79" s="80"/>
      <c r="AW79" s="74">
        <f t="shared" si="20"/>
        <v>0</v>
      </c>
      <c r="AX79" s="76">
        <f t="shared" si="20"/>
        <v>0</v>
      </c>
      <c r="AY79" s="77">
        <f t="shared" si="38"/>
        <v>0.21</v>
      </c>
      <c r="AZ79" s="78">
        <f t="shared" si="39"/>
        <v>0</v>
      </c>
      <c r="BA79" s="2" t="s">
        <v>91</v>
      </c>
      <c r="BB79" s="2">
        <f t="shared" si="21"/>
        <v>0</v>
      </c>
      <c r="BE79"/>
      <c r="BF79"/>
    </row>
    <row r="80" spans="1:58" ht="15" customHeight="1">
      <c r="A80" s="50"/>
      <c r="B80" s="82" t="s">
        <v>226</v>
      </c>
      <c r="C80" s="83">
        <v>67</v>
      </c>
      <c r="D80" s="141" t="s">
        <v>227</v>
      </c>
      <c r="E80" s="142" t="s">
        <v>228</v>
      </c>
      <c r="F80" s="86" t="s">
        <v>113</v>
      </c>
      <c r="G80" s="68"/>
      <c r="H80" s="69">
        <f t="shared" si="5"/>
        <v>0</v>
      </c>
      <c r="I80" s="70">
        <f t="shared" si="37"/>
        <v>0</v>
      </c>
      <c r="J80" s="71">
        <f t="shared" si="37"/>
        <v>0</v>
      </c>
      <c r="K80" s="81"/>
      <c r="L80" s="80">
        <f t="shared" si="7"/>
        <v>0</v>
      </c>
      <c r="M80" s="80"/>
      <c r="N80" s="80">
        <f t="shared" si="34"/>
        <v>0</v>
      </c>
      <c r="O80" s="80"/>
      <c r="P80" s="80">
        <f t="shared" si="34"/>
        <v>0</v>
      </c>
      <c r="Q80" s="80"/>
      <c r="R80" s="80">
        <f t="shared" si="35"/>
        <v>0</v>
      </c>
      <c r="S80" s="80"/>
      <c r="T80" s="80">
        <f t="shared" si="35"/>
        <v>0</v>
      </c>
      <c r="U80" s="80"/>
      <c r="V80" s="80">
        <f t="shared" si="36"/>
        <v>0</v>
      </c>
      <c r="W80" s="80"/>
      <c r="X80" s="80">
        <f t="shared" si="36"/>
        <v>0</v>
      </c>
      <c r="Y80" s="80"/>
      <c r="Z80" s="80">
        <f t="shared" si="11"/>
        <v>0</v>
      </c>
      <c r="AA80" s="80">
        <v>0.02</v>
      </c>
      <c r="AB80" s="80">
        <f t="shared" si="12"/>
        <v>0</v>
      </c>
      <c r="AC80" s="80"/>
      <c r="AD80" s="80">
        <f t="shared" si="13"/>
        <v>0</v>
      </c>
      <c r="AE80" s="80"/>
      <c r="AF80" s="80">
        <f t="shared" si="14"/>
        <v>0</v>
      </c>
      <c r="AG80" s="74">
        <f t="shared" si="40"/>
        <v>0.02</v>
      </c>
      <c r="AH80" s="209">
        <f t="shared" si="41"/>
        <v>0</v>
      </c>
      <c r="AI80" s="81"/>
      <c r="AJ80" s="80">
        <f t="shared" si="15"/>
        <v>0</v>
      </c>
      <c r="AK80" s="80">
        <v>0.05</v>
      </c>
      <c r="AL80" s="80">
        <f t="shared" si="16"/>
        <v>0</v>
      </c>
      <c r="AM80" s="80">
        <v>0.05</v>
      </c>
      <c r="AN80" s="80">
        <f t="shared" si="17"/>
        <v>0</v>
      </c>
      <c r="AO80" s="80">
        <v>7.0000000000000007E-2</v>
      </c>
      <c r="AP80" s="80">
        <f t="shared" si="18"/>
        <v>0</v>
      </c>
      <c r="AQ80" s="80">
        <v>0.05</v>
      </c>
      <c r="AR80" s="80">
        <f t="shared" si="19"/>
        <v>0</v>
      </c>
      <c r="AS80" s="74">
        <f t="shared" si="42"/>
        <v>0.22000000000000003</v>
      </c>
      <c r="AT80" s="75">
        <f t="shared" si="42"/>
        <v>0</v>
      </c>
      <c r="AU80" s="81"/>
      <c r="AV80" s="80"/>
      <c r="AW80" s="74">
        <f t="shared" si="20"/>
        <v>0</v>
      </c>
      <c r="AX80" s="76">
        <f t="shared" si="20"/>
        <v>0</v>
      </c>
      <c r="AY80" s="77">
        <f t="shared" si="38"/>
        <v>0.24000000000000002</v>
      </c>
      <c r="AZ80" s="78">
        <f t="shared" si="39"/>
        <v>0</v>
      </c>
      <c r="BA80" s="2" t="s">
        <v>91</v>
      </c>
      <c r="BB80" s="2">
        <f t="shared" si="21"/>
        <v>0</v>
      </c>
      <c r="BE80"/>
      <c r="BF80"/>
    </row>
    <row r="81" spans="1:58" ht="15" customHeight="1">
      <c r="A81" s="50"/>
      <c r="B81" s="65" t="s">
        <v>229</v>
      </c>
      <c r="C81" s="83">
        <v>68</v>
      </c>
      <c r="D81" s="141" t="s">
        <v>230</v>
      </c>
      <c r="E81" s="142" t="s">
        <v>231</v>
      </c>
      <c r="F81" s="143" t="s">
        <v>131</v>
      </c>
      <c r="G81" s="68"/>
      <c r="H81" s="69">
        <f t="shared" ref="H81:H115" si="43">$H$13/$G$13*G81</f>
        <v>0</v>
      </c>
      <c r="I81" s="70">
        <f t="shared" si="37"/>
        <v>0</v>
      </c>
      <c r="J81" s="71">
        <f t="shared" si="37"/>
        <v>0</v>
      </c>
      <c r="K81" s="81"/>
      <c r="L81" s="80">
        <f t="shared" ref="L81:L115" si="44">L$13/K$13*K81</f>
        <v>0</v>
      </c>
      <c r="M81" s="80"/>
      <c r="N81" s="80">
        <f t="shared" ref="N81:P96" si="45">N$13/M$13*M81</f>
        <v>0</v>
      </c>
      <c r="O81" s="80"/>
      <c r="P81" s="80">
        <f t="shared" si="45"/>
        <v>0</v>
      </c>
      <c r="Q81" s="80"/>
      <c r="R81" s="80">
        <f t="shared" ref="R81:T96" si="46">R$13/Q$13*Q81</f>
        <v>0</v>
      </c>
      <c r="S81" s="80"/>
      <c r="T81" s="80">
        <f t="shared" si="46"/>
        <v>0</v>
      </c>
      <c r="U81" s="80"/>
      <c r="V81" s="80">
        <f t="shared" ref="V81:X96" si="47">V$13/U$13*U81</f>
        <v>0</v>
      </c>
      <c r="W81" s="80"/>
      <c r="X81" s="80">
        <f t="shared" si="47"/>
        <v>0</v>
      </c>
      <c r="Y81" s="80"/>
      <c r="Z81" s="80">
        <f t="shared" ref="Z81:Z115" si="48">Z$13/Y$13*Y81</f>
        <v>0</v>
      </c>
      <c r="AA81" s="80">
        <v>0.02</v>
      </c>
      <c r="AB81" s="80">
        <f t="shared" ref="AB81:AB115" si="49">AB$13/AA$13*AA81</f>
        <v>0</v>
      </c>
      <c r="AC81" s="80"/>
      <c r="AD81" s="80">
        <f t="shared" ref="AD81:AD115" si="50">AD$13/AC$13*AC81</f>
        <v>0</v>
      </c>
      <c r="AE81" s="80"/>
      <c r="AF81" s="80">
        <f t="shared" ref="AF81:AF115" si="51">AF$13/AE$13*AE81</f>
        <v>0</v>
      </c>
      <c r="AG81" s="74">
        <f t="shared" si="40"/>
        <v>0.02</v>
      </c>
      <c r="AH81" s="209">
        <f t="shared" si="41"/>
        <v>0</v>
      </c>
      <c r="AI81" s="81"/>
      <c r="AJ81" s="80">
        <f t="shared" ref="AJ81:AJ115" si="52">AJ$13/AI$13*AI81</f>
        <v>0</v>
      </c>
      <c r="AK81" s="80">
        <v>0.05</v>
      </c>
      <c r="AL81" s="80">
        <f t="shared" ref="AL81:AL115" si="53">AL$13/AK$13*AK81</f>
        <v>0</v>
      </c>
      <c r="AM81" s="80">
        <v>0.05</v>
      </c>
      <c r="AN81" s="80">
        <f t="shared" ref="AN81:AN115" si="54">AN$13/AM$13*AM81</f>
        <v>0</v>
      </c>
      <c r="AO81" s="80">
        <v>0.09</v>
      </c>
      <c r="AP81" s="80">
        <f t="shared" ref="AP81:AP115" si="55">AP$13/AO$13*AO81</f>
        <v>0</v>
      </c>
      <c r="AQ81" s="80">
        <v>0.11</v>
      </c>
      <c r="AR81" s="80">
        <f t="shared" ref="AR81:AR115" si="56">AR$13/AQ$13*AQ81</f>
        <v>0</v>
      </c>
      <c r="AS81" s="74">
        <f t="shared" si="42"/>
        <v>0.3</v>
      </c>
      <c r="AT81" s="75">
        <f t="shared" si="42"/>
        <v>0</v>
      </c>
      <c r="AU81" s="81"/>
      <c r="AV81" s="80"/>
      <c r="AW81" s="74">
        <f t="shared" ref="AW81:AX115" si="57">AU81</f>
        <v>0</v>
      </c>
      <c r="AX81" s="76">
        <f t="shared" si="57"/>
        <v>0</v>
      </c>
      <c r="AY81" s="77">
        <f t="shared" si="38"/>
        <v>0.32</v>
      </c>
      <c r="AZ81" s="78">
        <f t="shared" si="39"/>
        <v>0</v>
      </c>
      <c r="BA81" s="2" t="s">
        <v>91</v>
      </c>
      <c r="BB81" s="2">
        <f t="shared" ref="BB81:BB115" si="58">IF(BA81="●",AZ81,0)</f>
        <v>0</v>
      </c>
      <c r="BE81"/>
      <c r="BF81"/>
    </row>
    <row r="82" spans="1:58" ht="15" customHeight="1">
      <c r="A82" s="50"/>
      <c r="B82" s="65"/>
      <c r="C82" s="88">
        <v>69</v>
      </c>
      <c r="D82" s="141" t="s">
        <v>232</v>
      </c>
      <c r="E82" s="142" t="s">
        <v>233</v>
      </c>
      <c r="F82" s="143" t="s">
        <v>131</v>
      </c>
      <c r="G82" s="68"/>
      <c r="H82" s="69">
        <f t="shared" si="43"/>
        <v>0</v>
      </c>
      <c r="I82" s="70">
        <f t="shared" si="37"/>
        <v>0</v>
      </c>
      <c r="J82" s="71">
        <f t="shared" si="37"/>
        <v>0</v>
      </c>
      <c r="K82" s="81"/>
      <c r="L82" s="80">
        <f t="shared" si="44"/>
        <v>0</v>
      </c>
      <c r="M82" s="80"/>
      <c r="N82" s="80">
        <f t="shared" si="45"/>
        <v>0</v>
      </c>
      <c r="O82" s="80"/>
      <c r="P82" s="80">
        <f t="shared" si="45"/>
        <v>0</v>
      </c>
      <c r="Q82" s="80"/>
      <c r="R82" s="80">
        <f t="shared" si="46"/>
        <v>0</v>
      </c>
      <c r="S82" s="80"/>
      <c r="T82" s="80">
        <f t="shared" si="46"/>
        <v>0</v>
      </c>
      <c r="U82" s="80"/>
      <c r="V82" s="80">
        <f t="shared" si="47"/>
        <v>0</v>
      </c>
      <c r="W82" s="80"/>
      <c r="X82" s="80">
        <f t="shared" si="47"/>
        <v>0</v>
      </c>
      <c r="Y82" s="80"/>
      <c r="Z82" s="80">
        <f t="shared" si="48"/>
        <v>0</v>
      </c>
      <c r="AA82" s="80">
        <v>0.02</v>
      </c>
      <c r="AB82" s="80">
        <f t="shared" si="49"/>
        <v>0</v>
      </c>
      <c r="AC82" s="80"/>
      <c r="AD82" s="80">
        <f t="shared" si="50"/>
        <v>0</v>
      </c>
      <c r="AE82" s="80"/>
      <c r="AF82" s="80">
        <f t="shared" si="51"/>
        <v>0</v>
      </c>
      <c r="AG82" s="74">
        <f t="shared" si="40"/>
        <v>0.02</v>
      </c>
      <c r="AH82" s="209">
        <f t="shared" si="41"/>
        <v>0</v>
      </c>
      <c r="AI82" s="81"/>
      <c r="AJ82" s="80">
        <f t="shared" si="52"/>
        <v>0</v>
      </c>
      <c r="AK82" s="80">
        <v>0.05</v>
      </c>
      <c r="AL82" s="80">
        <f t="shared" si="53"/>
        <v>0</v>
      </c>
      <c r="AM82" s="80">
        <v>0.05</v>
      </c>
      <c r="AN82" s="80">
        <f t="shared" si="54"/>
        <v>0</v>
      </c>
      <c r="AO82" s="80">
        <v>0.05</v>
      </c>
      <c r="AP82" s="80">
        <f t="shared" si="55"/>
        <v>0</v>
      </c>
      <c r="AQ82" s="80">
        <v>0.05</v>
      </c>
      <c r="AR82" s="80">
        <f t="shared" si="56"/>
        <v>0</v>
      </c>
      <c r="AS82" s="74">
        <f t="shared" si="42"/>
        <v>0.2</v>
      </c>
      <c r="AT82" s="75">
        <f t="shared" si="42"/>
        <v>0</v>
      </c>
      <c r="AU82" s="81"/>
      <c r="AV82" s="80"/>
      <c r="AW82" s="74">
        <f t="shared" si="57"/>
        <v>0</v>
      </c>
      <c r="AX82" s="76">
        <f t="shared" si="57"/>
        <v>0</v>
      </c>
      <c r="AY82" s="77">
        <f t="shared" si="38"/>
        <v>0.22</v>
      </c>
      <c r="AZ82" s="78">
        <f t="shared" si="39"/>
        <v>0</v>
      </c>
      <c r="BA82" s="2" t="s">
        <v>91</v>
      </c>
      <c r="BB82" s="2">
        <f t="shared" si="58"/>
        <v>0</v>
      </c>
      <c r="BE82"/>
      <c r="BF82"/>
    </row>
    <row r="83" spans="1:58" ht="15" customHeight="1">
      <c r="A83" s="50"/>
      <c r="B83" s="65"/>
      <c r="C83" s="88">
        <v>70</v>
      </c>
      <c r="D83" s="141" t="s">
        <v>234</v>
      </c>
      <c r="E83" s="142" t="s">
        <v>235</v>
      </c>
      <c r="F83" s="143" t="s">
        <v>131</v>
      </c>
      <c r="G83" s="68"/>
      <c r="H83" s="69">
        <f t="shared" si="43"/>
        <v>0</v>
      </c>
      <c r="I83" s="70">
        <f t="shared" si="37"/>
        <v>0</v>
      </c>
      <c r="J83" s="71">
        <f t="shared" si="37"/>
        <v>0</v>
      </c>
      <c r="K83" s="81"/>
      <c r="L83" s="80">
        <f t="shared" si="44"/>
        <v>0</v>
      </c>
      <c r="M83" s="80"/>
      <c r="N83" s="80">
        <f t="shared" si="45"/>
        <v>0</v>
      </c>
      <c r="O83" s="80"/>
      <c r="P83" s="80">
        <f t="shared" si="45"/>
        <v>0</v>
      </c>
      <c r="Q83" s="80"/>
      <c r="R83" s="80">
        <f t="shared" si="46"/>
        <v>0</v>
      </c>
      <c r="S83" s="80"/>
      <c r="T83" s="80">
        <f t="shared" si="46"/>
        <v>0</v>
      </c>
      <c r="U83" s="80"/>
      <c r="V83" s="80">
        <f t="shared" si="47"/>
        <v>0</v>
      </c>
      <c r="W83" s="80"/>
      <c r="X83" s="80">
        <f t="shared" si="47"/>
        <v>0</v>
      </c>
      <c r="Y83" s="80"/>
      <c r="Z83" s="80">
        <f t="shared" si="48"/>
        <v>0</v>
      </c>
      <c r="AA83" s="80">
        <v>0.02</v>
      </c>
      <c r="AB83" s="80">
        <f t="shared" si="49"/>
        <v>0</v>
      </c>
      <c r="AC83" s="80"/>
      <c r="AD83" s="80">
        <f t="shared" si="50"/>
        <v>0</v>
      </c>
      <c r="AE83" s="80"/>
      <c r="AF83" s="80">
        <f t="shared" si="51"/>
        <v>0</v>
      </c>
      <c r="AG83" s="74">
        <f t="shared" si="40"/>
        <v>0.02</v>
      </c>
      <c r="AH83" s="209">
        <f t="shared" si="41"/>
        <v>0</v>
      </c>
      <c r="AI83" s="81"/>
      <c r="AJ83" s="80">
        <f t="shared" si="52"/>
        <v>0</v>
      </c>
      <c r="AK83" s="80">
        <v>0.05</v>
      </c>
      <c r="AL83" s="80">
        <f t="shared" si="53"/>
        <v>0</v>
      </c>
      <c r="AM83" s="80">
        <v>0.05</v>
      </c>
      <c r="AN83" s="80">
        <f t="shared" si="54"/>
        <v>0</v>
      </c>
      <c r="AO83" s="80">
        <v>0.03</v>
      </c>
      <c r="AP83" s="80">
        <f t="shared" si="55"/>
        <v>0</v>
      </c>
      <c r="AQ83" s="80">
        <v>0.03</v>
      </c>
      <c r="AR83" s="80">
        <f t="shared" si="56"/>
        <v>0</v>
      </c>
      <c r="AS83" s="74">
        <f t="shared" si="42"/>
        <v>0.16</v>
      </c>
      <c r="AT83" s="75">
        <f t="shared" si="42"/>
        <v>0</v>
      </c>
      <c r="AU83" s="81"/>
      <c r="AV83" s="80"/>
      <c r="AW83" s="74">
        <f t="shared" si="57"/>
        <v>0</v>
      </c>
      <c r="AX83" s="76">
        <f t="shared" si="57"/>
        <v>0</v>
      </c>
      <c r="AY83" s="77">
        <f t="shared" si="38"/>
        <v>0.18</v>
      </c>
      <c r="AZ83" s="78">
        <f t="shared" si="39"/>
        <v>0</v>
      </c>
      <c r="BA83" s="2" t="s">
        <v>91</v>
      </c>
      <c r="BB83" s="2">
        <f t="shared" si="58"/>
        <v>0</v>
      </c>
      <c r="BE83"/>
      <c r="BF83"/>
    </row>
    <row r="84" spans="1:58" ht="15" customHeight="1">
      <c r="A84" s="50"/>
      <c r="B84" s="65"/>
      <c r="C84" s="83">
        <v>71</v>
      </c>
      <c r="D84" s="141" t="s">
        <v>236</v>
      </c>
      <c r="E84" s="142" t="s">
        <v>237</v>
      </c>
      <c r="F84" s="143" t="s">
        <v>131</v>
      </c>
      <c r="G84" s="68"/>
      <c r="H84" s="69">
        <f t="shared" si="43"/>
        <v>0</v>
      </c>
      <c r="I84" s="70">
        <f t="shared" si="37"/>
        <v>0</v>
      </c>
      <c r="J84" s="71">
        <f t="shared" si="37"/>
        <v>0</v>
      </c>
      <c r="K84" s="81"/>
      <c r="L84" s="80">
        <f t="shared" si="44"/>
        <v>0</v>
      </c>
      <c r="M84" s="80">
        <v>0.01</v>
      </c>
      <c r="N84" s="80">
        <f t="shared" si="45"/>
        <v>0</v>
      </c>
      <c r="O84" s="80">
        <v>0.01</v>
      </c>
      <c r="P84" s="80">
        <f t="shared" si="45"/>
        <v>0</v>
      </c>
      <c r="Q84" s="80">
        <v>0.01</v>
      </c>
      <c r="R84" s="80">
        <f t="shared" si="46"/>
        <v>0</v>
      </c>
      <c r="S84" s="80">
        <v>0.01</v>
      </c>
      <c r="T84" s="80">
        <f t="shared" si="46"/>
        <v>0</v>
      </c>
      <c r="U84" s="80">
        <v>0.01</v>
      </c>
      <c r="V84" s="80">
        <f t="shared" si="47"/>
        <v>0</v>
      </c>
      <c r="W84" s="80">
        <v>0.01</v>
      </c>
      <c r="X84" s="80">
        <f t="shared" si="47"/>
        <v>0</v>
      </c>
      <c r="Y84" s="80">
        <v>0.01</v>
      </c>
      <c r="Z84" s="80">
        <f t="shared" si="48"/>
        <v>0</v>
      </c>
      <c r="AA84" s="80"/>
      <c r="AB84" s="80">
        <f t="shared" si="49"/>
        <v>0</v>
      </c>
      <c r="AC84" s="80"/>
      <c r="AD84" s="80">
        <f t="shared" si="50"/>
        <v>0</v>
      </c>
      <c r="AE84" s="80"/>
      <c r="AF84" s="80">
        <f t="shared" si="51"/>
        <v>0</v>
      </c>
      <c r="AG84" s="74">
        <f t="shared" si="40"/>
        <v>7.0000000000000007E-2</v>
      </c>
      <c r="AH84" s="209">
        <f t="shared" si="41"/>
        <v>0</v>
      </c>
      <c r="AI84" s="81"/>
      <c r="AJ84" s="80">
        <f t="shared" si="52"/>
        <v>0</v>
      </c>
      <c r="AK84" s="80"/>
      <c r="AL84" s="80">
        <f t="shared" si="53"/>
        <v>0</v>
      </c>
      <c r="AM84" s="80"/>
      <c r="AN84" s="80">
        <f t="shared" si="54"/>
        <v>0</v>
      </c>
      <c r="AO84" s="80"/>
      <c r="AP84" s="80">
        <f t="shared" si="55"/>
        <v>0</v>
      </c>
      <c r="AQ84" s="80"/>
      <c r="AR84" s="80">
        <f t="shared" si="56"/>
        <v>0</v>
      </c>
      <c r="AS84" s="74">
        <f t="shared" si="42"/>
        <v>0</v>
      </c>
      <c r="AT84" s="75">
        <f t="shared" si="42"/>
        <v>0</v>
      </c>
      <c r="AU84" s="81"/>
      <c r="AV84" s="80"/>
      <c r="AW84" s="74">
        <f t="shared" si="57"/>
        <v>0</v>
      </c>
      <c r="AX84" s="76">
        <f t="shared" si="57"/>
        <v>0</v>
      </c>
      <c r="AY84" s="77">
        <f t="shared" si="38"/>
        <v>7.0000000000000007E-2</v>
      </c>
      <c r="AZ84" s="78">
        <f t="shared" si="39"/>
        <v>0</v>
      </c>
      <c r="BA84" s="2" t="s">
        <v>91</v>
      </c>
      <c r="BB84" s="2">
        <f t="shared" si="58"/>
        <v>0</v>
      </c>
      <c r="BE84"/>
      <c r="BF84"/>
    </row>
    <row r="85" spans="1:58" ht="15" customHeight="1">
      <c r="A85" s="50"/>
      <c r="B85" s="65"/>
      <c r="C85" s="88">
        <v>72</v>
      </c>
      <c r="D85" s="141" t="s">
        <v>238</v>
      </c>
      <c r="E85" s="142" t="s">
        <v>239</v>
      </c>
      <c r="F85" s="86" t="s">
        <v>113</v>
      </c>
      <c r="G85" s="68"/>
      <c r="H85" s="69">
        <f t="shared" si="43"/>
        <v>0</v>
      </c>
      <c r="I85" s="70">
        <f t="shared" si="37"/>
        <v>0</v>
      </c>
      <c r="J85" s="71">
        <f t="shared" si="37"/>
        <v>0</v>
      </c>
      <c r="K85" s="81"/>
      <c r="L85" s="80">
        <f t="shared" si="44"/>
        <v>0</v>
      </c>
      <c r="M85" s="80"/>
      <c r="N85" s="80">
        <f t="shared" si="45"/>
        <v>0</v>
      </c>
      <c r="O85" s="80"/>
      <c r="P85" s="80">
        <f t="shared" si="45"/>
        <v>0</v>
      </c>
      <c r="Q85" s="80"/>
      <c r="R85" s="80">
        <f t="shared" si="46"/>
        <v>0</v>
      </c>
      <c r="S85" s="80"/>
      <c r="T85" s="80">
        <f t="shared" si="46"/>
        <v>0</v>
      </c>
      <c r="U85" s="80"/>
      <c r="V85" s="80">
        <f t="shared" si="47"/>
        <v>0</v>
      </c>
      <c r="W85" s="80"/>
      <c r="X85" s="80">
        <f t="shared" si="47"/>
        <v>0</v>
      </c>
      <c r="Y85" s="80"/>
      <c r="Z85" s="80">
        <f t="shared" si="48"/>
        <v>0</v>
      </c>
      <c r="AA85" s="80">
        <v>0.05</v>
      </c>
      <c r="AB85" s="80">
        <f t="shared" si="49"/>
        <v>0</v>
      </c>
      <c r="AC85" s="80"/>
      <c r="AD85" s="80">
        <f t="shared" si="50"/>
        <v>0</v>
      </c>
      <c r="AE85" s="80"/>
      <c r="AF85" s="80">
        <f t="shared" si="51"/>
        <v>0</v>
      </c>
      <c r="AG85" s="74">
        <f t="shared" si="40"/>
        <v>0.05</v>
      </c>
      <c r="AH85" s="209">
        <f t="shared" si="41"/>
        <v>0</v>
      </c>
      <c r="AI85" s="81"/>
      <c r="AJ85" s="80">
        <f t="shared" si="52"/>
        <v>0</v>
      </c>
      <c r="AK85" s="80">
        <v>0.03</v>
      </c>
      <c r="AL85" s="80">
        <f t="shared" si="53"/>
        <v>0</v>
      </c>
      <c r="AM85" s="80">
        <v>0.03</v>
      </c>
      <c r="AN85" s="80">
        <f t="shared" si="54"/>
        <v>0</v>
      </c>
      <c r="AO85" s="80">
        <v>0.04</v>
      </c>
      <c r="AP85" s="80">
        <f t="shared" si="55"/>
        <v>0</v>
      </c>
      <c r="AQ85" s="80">
        <v>0.04</v>
      </c>
      <c r="AR85" s="80">
        <f t="shared" si="56"/>
        <v>0</v>
      </c>
      <c r="AS85" s="74">
        <f t="shared" si="42"/>
        <v>0.14000000000000001</v>
      </c>
      <c r="AT85" s="75">
        <f t="shared" si="42"/>
        <v>0</v>
      </c>
      <c r="AU85" s="81"/>
      <c r="AV85" s="80"/>
      <c r="AW85" s="74">
        <f t="shared" si="57"/>
        <v>0</v>
      </c>
      <c r="AX85" s="76">
        <f t="shared" si="57"/>
        <v>0</v>
      </c>
      <c r="AY85" s="77">
        <f t="shared" si="38"/>
        <v>0.19</v>
      </c>
      <c r="AZ85" s="78">
        <f t="shared" si="39"/>
        <v>0</v>
      </c>
      <c r="BA85" s="2" t="s">
        <v>91</v>
      </c>
      <c r="BB85" s="2">
        <f t="shared" si="58"/>
        <v>0</v>
      </c>
      <c r="BE85"/>
      <c r="BF85"/>
    </row>
    <row r="86" spans="1:58" ht="15" customHeight="1">
      <c r="A86" s="50"/>
      <c r="B86" s="65"/>
      <c r="C86" s="83">
        <v>73</v>
      </c>
      <c r="D86" s="141" t="s">
        <v>240</v>
      </c>
      <c r="E86" s="142" t="s">
        <v>241</v>
      </c>
      <c r="F86" s="86" t="s">
        <v>121</v>
      </c>
      <c r="G86" s="68"/>
      <c r="H86" s="69">
        <f t="shared" si="43"/>
        <v>0</v>
      </c>
      <c r="I86" s="70">
        <f t="shared" si="37"/>
        <v>0</v>
      </c>
      <c r="J86" s="71">
        <f t="shared" si="37"/>
        <v>0</v>
      </c>
      <c r="K86" s="81"/>
      <c r="L86" s="80">
        <f t="shared" si="44"/>
        <v>0</v>
      </c>
      <c r="M86" s="80"/>
      <c r="N86" s="80">
        <f t="shared" si="45"/>
        <v>0</v>
      </c>
      <c r="O86" s="80"/>
      <c r="P86" s="80">
        <f t="shared" si="45"/>
        <v>0</v>
      </c>
      <c r="Q86" s="80"/>
      <c r="R86" s="80">
        <f t="shared" si="46"/>
        <v>0</v>
      </c>
      <c r="S86" s="80"/>
      <c r="T86" s="80">
        <f t="shared" si="46"/>
        <v>0</v>
      </c>
      <c r="U86" s="80"/>
      <c r="V86" s="80">
        <f t="shared" si="47"/>
        <v>0</v>
      </c>
      <c r="W86" s="80"/>
      <c r="X86" s="80">
        <f t="shared" si="47"/>
        <v>0</v>
      </c>
      <c r="Y86" s="80"/>
      <c r="Z86" s="80">
        <f t="shared" si="48"/>
        <v>0</v>
      </c>
      <c r="AA86" s="80">
        <v>0.01</v>
      </c>
      <c r="AB86" s="80">
        <f t="shared" si="49"/>
        <v>0</v>
      </c>
      <c r="AC86" s="80"/>
      <c r="AD86" s="80">
        <f t="shared" si="50"/>
        <v>0</v>
      </c>
      <c r="AE86" s="80"/>
      <c r="AF86" s="80">
        <f t="shared" si="51"/>
        <v>0</v>
      </c>
      <c r="AG86" s="74">
        <f t="shared" si="40"/>
        <v>0.01</v>
      </c>
      <c r="AH86" s="209">
        <f t="shared" si="41"/>
        <v>0</v>
      </c>
      <c r="AI86" s="81"/>
      <c r="AJ86" s="80">
        <f t="shared" si="52"/>
        <v>0</v>
      </c>
      <c r="AK86" s="80">
        <v>0.03</v>
      </c>
      <c r="AL86" s="80">
        <f t="shared" si="53"/>
        <v>0</v>
      </c>
      <c r="AM86" s="80">
        <v>0.03</v>
      </c>
      <c r="AN86" s="80">
        <f t="shared" si="54"/>
        <v>0</v>
      </c>
      <c r="AO86" s="80">
        <v>0.04</v>
      </c>
      <c r="AP86" s="80">
        <f t="shared" si="55"/>
        <v>0</v>
      </c>
      <c r="AQ86" s="80">
        <v>0.04</v>
      </c>
      <c r="AR86" s="80">
        <f t="shared" si="56"/>
        <v>0</v>
      </c>
      <c r="AS86" s="74">
        <f t="shared" si="42"/>
        <v>0.14000000000000001</v>
      </c>
      <c r="AT86" s="75">
        <f t="shared" si="42"/>
        <v>0</v>
      </c>
      <c r="AU86" s="81"/>
      <c r="AV86" s="80"/>
      <c r="AW86" s="74">
        <f t="shared" si="57"/>
        <v>0</v>
      </c>
      <c r="AX86" s="76">
        <f t="shared" si="57"/>
        <v>0</v>
      </c>
      <c r="AY86" s="77">
        <f t="shared" si="38"/>
        <v>0.15000000000000002</v>
      </c>
      <c r="AZ86" s="78">
        <f t="shared" si="39"/>
        <v>0</v>
      </c>
      <c r="BA86" s="2" t="s">
        <v>91</v>
      </c>
      <c r="BB86" s="2">
        <f t="shared" si="58"/>
        <v>0</v>
      </c>
      <c r="BE86"/>
      <c r="BF86"/>
    </row>
    <row r="87" spans="1:58" ht="15" customHeight="1" thickBot="1">
      <c r="A87" s="121"/>
      <c r="B87" s="122"/>
      <c r="C87" s="155">
        <v>74</v>
      </c>
      <c r="D87" s="156" t="s">
        <v>242</v>
      </c>
      <c r="E87" s="157" t="s">
        <v>243</v>
      </c>
      <c r="F87" s="126" t="s">
        <v>121</v>
      </c>
      <c r="G87" s="205">
        <v>0.01</v>
      </c>
      <c r="H87" s="127">
        <f t="shared" si="43"/>
        <v>0</v>
      </c>
      <c r="I87" s="128">
        <f t="shared" si="37"/>
        <v>0.01</v>
      </c>
      <c r="J87" s="129">
        <f t="shared" si="37"/>
        <v>0</v>
      </c>
      <c r="K87" s="130">
        <v>0.05</v>
      </c>
      <c r="L87" s="131">
        <f t="shared" si="44"/>
        <v>0</v>
      </c>
      <c r="M87" s="131">
        <v>0.01</v>
      </c>
      <c r="N87" s="131">
        <f t="shared" si="45"/>
        <v>0</v>
      </c>
      <c r="O87" s="131">
        <v>0.01</v>
      </c>
      <c r="P87" s="131">
        <f t="shared" si="45"/>
        <v>0</v>
      </c>
      <c r="Q87" s="131">
        <v>0.01</v>
      </c>
      <c r="R87" s="131">
        <f t="shared" si="46"/>
        <v>0</v>
      </c>
      <c r="S87" s="131">
        <v>0.01</v>
      </c>
      <c r="T87" s="131">
        <f t="shared" si="46"/>
        <v>0</v>
      </c>
      <c r="U87" s="131">
        <v>0.01</v>
      </c>
      <c r="V87" s="131">
        <f t="shared" si="47"/>
        <v>0</v>
      </c>
      <c r="W87" s="131">
        <v>0.01</v>
      </c>
      <c r="X87" s="131">
        <f t="shared" si="47"/>
        <v>0</v>
      </c>
      <c r="Y87" s="131">
        <v>0.01</v>
      </c>
      <c r="Z87" s="131">
        <f t="shared" si="48"/>
        <v>0</v>
      </c>
      <c r="AA87" s="131"/>
      <c r="AB87" s="131">
        <f t="shared" si="49"/>
        <v>0</v>
      </c>
      <c r="AC87" s="131"/>
      <c r="AD87" s="131">
        <f t="shared" si="50"/>
        <v>0</v>
      </c>
      <c r="AE87" s="131"/>
      <c r="AF87" s="131">
        <f t="shared" si="51"/>
        <v>0</v>
      </c>
      <c r="AG87" s="132">
        <f t="shared" si="40"/>
        <v>0.11999999999999998</v>
      </c>
      <c r="AH87" s="212">
        <f t="shared" si="41"/>
        <v>0</v>
      </c>
      <c r="AI87" s="130"/>
      <c r="AJ87" s="131">
        <f t="shared" si="52"/>
        <v>0</v>
      </c>
      <c r="AK87" s="131"/>
      <c r="AL87" s="131">
        <f t="shared" si="53"/>
        <v>0</v>
      </c>
      <c r="AM87" s="131"/>
      <c r="AN87" s="131">
        <f t="shared" si="54"/>
        <v>0</v>
      </c>
      <c r="AO87" s="131"/>
      <c r="AP87" s="131">
        <f t="shared" si="55"/>
        <v>0</v>
      </c>
      <c r="AQ87" s="131"/>
      <c r="AR87" s="131">
        <f t="shared" si="56"/>
        <v>0</v>
      </c>
      <c r="AS87" s="132">
        <f t="shared" si="42"/>
        <v>0</v>
      </c>
      <c r="AT87" s="133">
        <f t="shared" si="42"/>
        <v>0</v>
      </c>
      <c r="AU87" s="130"/>
      <c r="AV87" s="131"/>
      <c r="AW87" s="132">
        <f t="shared" si="57"/>
        <v>0</v>
      </c>
      <c r="AX87" s="134">
        <f t="shared" si="57"/>
        <v>0</v>
      </c>
      <c r="AY87" s="135">
        <f t="shared" si="38"/>
        <v>0.12999999999999998</v>
      </c>
      <c r="AZ87" s="136">
        <f t="shared" si="39"/>
        <v>0</v>
      </c>
      <c r="BA87" s="103" t="s">
        <v>91</v>
      </c>
      <c r="BB87" s="2">
        <f t="shared" si="58"/>
        <v>0</v>
      </c>
      <c r="BE87"/>
      <c r="BF87"/>
    </row>
    <row r="88" spans="1:58" ht="15" customHeight="1" thickTop="1">
      <c r="A88" s="50" t="s">
        <v>244</v>
      </c>
      <c r="B88" s="65" t="s">
        <v>244</v>
      </c>
      <c r="C88" s="88">
        <v>75</v>
      </c>
      <c r="D88" s="84" t="s">
        <v>245</v>
      </c>
      <c r="E88" s="85" t="s">
        <v>246</v>
      </c>
      <c r="F88" s="86" t="s">
        <v>131</v>
      </c>
      <c r="G88" s="203"/>
      <c r="H88" s="55">
        <f t="shared" si="43"/>
        <v>0</v>
      </c>
      <c r="I88" s="56">
        <f t="shared" si="37"/>
        <v>0</v>
      </c>
      <c r="J88" s="57">
        <f t="shared" si="37"/>
        <v>0</v>
      </c>
      <c r="K88" s="138"/>
      <c r="L88" s="139">
        <f t="shared" si="44"/>
        <v>0</v>
      </c>
      <c r="M88" s="139"/>
      <c r="N88" s="139">
        <f t="shared" si="45"/>
        <v>0</v>
      </c>
      <c r="O88" s="139"/>
      <c r="P88" s="139">
        <f t="shared" si="45"/>
        <v>0</v>
      </c>
      <c r="Q88" s="139"/>
      <c r="R88" s="139">
        <f t="shared" si="46"/>
        <v>0</v>
      </c>
      <c r="S88" s="139"/>
      <c r="T88" s="139">
        <f t="shared" si="46"/>
        <v>0</v>
      </c>
      <c r="U88" s="139"/>
      <c r="V88" s="139">
        <f t="shared" si="47"/>
        <v>0</v>
      </c>
      <c r="W88" s="139">
        <v>0.05</v>
      </c>
      <c r="X88" s="139">
        <f t="shared" si="47"/>
        <v>0</v>
      </c>
      <c r="Y88" s="139"/>
      <c r="Z88" s="139">
        <f t="shared" si="48"/>
        <v>0</v>
      </c>
      <c r="AA88" s="139"/>
      <c r="AB88" s="139">
        <f t="shared" si="49"/>
        <v>0</v>
      </c>
      <c r="AC88" s="139"/>
      <c r="AD88" s="139">
        <f t="shared" si="50"/>
        <v>0</v>
      </c>
      <c r="AE88" s="139"/>
      <c r="AF88" s="139">
        <f t="shared" si="51"/>
        <v>0</v>
      </c>
      <c r="AG88" s="60">
        <f t="shared" si="40"/>
        <v>0.05</v>
      </c>
      <c r="AH88" s="208">
        <f t="shared" si="41"/>
        <v>0</v>
      </c>
      <c r="AI88" s="138"/>
      <c r="AJ88" s="139">
        <f t="shared" si="52"/>
        <v>0</v>
      </c>
      <c r="AK88" s="139"/>
      <c r="AL88" s="139">
        <f t="shared" si="53"/>
        <v>0</v>
      </c>
      <c r="AM88" s="139"/>
      <c r="AN88" s="139">
        <f t="shared" si="54"/>
        <v>0</v>
      </c>
      <c r="AO88" s="139"/>
      <c r="AP88" s="139">
        <f t="shared" si="55"/>
        <v>0</v>
      </c>
      <c r="AQ88" s="139"/>
      <c r="AR88" s="139">
        <f t="shared" si="56"/>
        <v>0</v>
      </c>
      <c r="AS88" s="60">
        <f t="shared" si="42"/>
        <v>0</v>
      </c>
      <c r="AT88" s="61">
        <f t="shared" si="42"/>
        <v>0</v>
      </c>
      <c r="AU88" s="138"/>
      <c r="AV88" s="139"/>
      <c r="AW88" s="60">
        <f t="shared" si="57"/>
        <v>0</v>
      </c>
      <c r="AX88" s="62">
        <f t="shared" si="57"/>
        <v>0</v>
      </c>
      <c r="AY88" s="63">
        <f t="shared" si="38"/>
        <v>0.05</v>
      </c>
      <c r="AZ88" s="64">
        <f t="shared" si="39"/>
        <v>0</v>
      </c>
      <c r="BA88" s="120" t="s">
        <v>91</v>
      </c>
      <c r="BB88" s="2">
        <f t="shared" si="58"/>
        <v>0</v>
      </c>
      <c r="BE88"/>
      <c r="BF88"/>
    </row>
    <row r="89" spans="1:58" ht="15" customHeight="1">
      <c r="A89" s="50"/>
      <c r="B89" s="65"/>
      <c r="C89" s="88">
        <v>76</v>
      </c>
      <c r="D89" s="150" t="s">
        <v>162</v>
      </c>
      <c r="E89" s="151" t="s">
        <v>247</v>
      </c>
      <c r="F89" s="143" t="s">
        <v>131</v>
      </c>
      <c r="G89" s="68"/>
      <c r="H89" s="69">
        <f t="shared" si="43"/>
        <v>0</v>
      </c>
      <c r="I89" s="70">
        <f t="shared" si="37"/>
        <v>0</v>
      </c>
      <c r="J89" s="71">
        <f t="shared" si="37"/>
        <v>0</v>
      </c>
      <c r="K89" s="81"/>
      <c r="L89" s="80">
        <f t="shared" si="44"/>
        <v>0</v>
      </c>
      <c r="M89" s="80"/>
      <c r="N89" s="80">
        <f t="shared" si="45"/>
        <v>0</v>
      </c>
      <c r="O89" s="80"/>
      <c r="P89" s="80">
        <f t="shared" si="45"/>
        <v>0</v>
      </c>
      <c r="Q89" s="80"/>
      <c r="R89" s="80">
        <f t="shared" si="46"/>
        <v>0</v>
      </c>
      <c r="S89" s="80"/>
      <c r="T89" s="80">
        <f t="shared" si="46"/>
        <v>0</v>
      </c>
      <c r="U89" s="80"/>
      <c r="V89" s="80">
        <f t="shared" si="47"/>
        <v>0</v>
      </c>
      <c r="W89" s="80">
        <v>0.05</v>
      </c>
      <c r="X89" s="80">
        <f t="shared" si="47"/>
        <v>0</v>
      </c>
      <c r="Y89" s="80"/>
      <c r="Z89" s="80">
        <f t="shared" si="48"/>
        <v>0</v>
      </c>
      <c r="AA89" s="80"/>
      <c r="AB89" s="80">
        <f t="shared" si="49"/>
        <v>0</v>
      </c>
      <c r="AC89" s="80"/>
      <c r="AD89" s="80">
        <f t="shared" si="50"/>
        <v>0</v>
      </c>
      <c r="AE89" s="80"/>
      <c r="AF89" s="80">
        <f t="shared" si="51"/>
        <v>0</v>
      </c>
      <c r="AG89" s="74">
        <f t="shared" si="40"/>
        <v>0.05</v>
      </c>
      <c r="AH89" s="209">
        <f t="shared" si="41"/>
        <v>0</v>
      </c>
      <c r="AI89" s="81"/>
      <c r="AJ89" s="80">
        <f t="shared" si="52"/>
        <v>0</v>
      </c>
      <c r="AK89" s="80"/>
      <c r="AL89" s="80">
        <f t="shared" si="53"/>
        <v>0</v>
      </c>
      <c r="AM89" s="80"/>
      <c r="AN89" s="80">
        <f t="shared" si="54"/>
        <v>0</v>
      </c>
      <c r="AO89" s="80"/>
      <c r="AP89" s="80">
        <f t="shared" si="55"/>
        <v>0</v>
      </c>
      <c r="AQ89" s="80"/>
      <c r="AR89" s="80">
        <f t="shared" si="56"/>
        <v>0</v>
      </c>
      <c r="AS89" s="74">
        <f t="shared" si="42"/>
        <v>0</v>
      </c>
      <c r="AT89" s="75">
        <f t="shared" si="42"/>
        <v>0</v>
      </c>
      <c r="AU89" s="81"/>
      <c r="AV89" s="80"/>
      <c r="AW89" s="74">
        <f t="shared" si="57"/>
        <v>0</v>
      </c>
      <c r="AX89" s="76">
        <f t="shared" si="57"/>
        <v>0</v>
      </c>
      <c r="AY89" s="77">
        <f t="shared" si="38"/>
        <v>0.05</v>
      </c>
      <c r="AZ89" s="78">
        <f t="shared" si="39"/>
        <v>0</v>
      </c>
      <c r="BA89" s="2" t="s">
        <v>91</v>
      </c>
      <c r="BB89" s="2">
        <f t="shared" si="58"/>
        <v>0</v>
      </c>
      <c r="BE89"/>
      <c r="BF89"/>
    </row>
    <row r="90" spans="1:58" ht="15" customHeight="1" thickBot="1">
      <c r="A90" s="50"/>
      <c r="B90" s="65"/>
      <c r="C90" s="83">
        <v>77</v>
      </c>
      <c r="D90" s="150" t="s">
        <v>248</v>
      </c>
      <c r="E90" s="151" t="s">
        <v>249</v>
      </c>
      <c r="F90" s="152" t="s">
        <v>101</v>
      </c>
      <c r="G90" s="92">
        <v>0.01</v>
      </c>
      <c r="H90" s="93">
        <f t="shared" si="43"/>
        <v>0</v>
      </c>
      <c r="I90" s="94">
        <f t="shared" si="37"/>
        <v>0.01</v>
      </c>
      <c r="J90" s="95">
        <f t="shared" si="37"/>
        <v>0</v>
      </c>
      <c r="K90" s="96">
        <v>0.05</v>
      </c>
      <c r="L90" s="97">
        <f t="shared" si="44"/>
        <v>0</v>
      </c>
      <c r="M90" s="97"/>
      <c r="N90" s="97">
        <f t="shared" si="45"/>
        <v>0</v>
      </c>
      <c r="O90" s="97"/>
      <c r="P90" s="97">
        <f t="shared" si="45"/>
        <v>0</v>
      </c>
      <c r="Q90" s="97"/>
      <c r="R90" s="97">
        <f t="shared" si="46"/>
        <v>0</v>
      </c>
      <c r="S90" s="97"/>
      <c r="T90" s="97">
        <f t="shared" si="46"/>
        <v>0</v>
      </c>
      <c r="U90" s="97"/>
      <c r="V90" s="97">
        <f t="shared" si="47"/>
        <v>0</v>
      </c>
      <c r="W90" s="97"/>
      <c r="X90" s="97">
        <f t="shared" si="47"/>
        <v>0</v>
      </c>
      <c r="Y90" s="97"/>
      <c r="Z90" s="97">
        <f t="shared" si="48"/>
        <v>0</v>
      </c>
      <c r="AA90" s="97"/>
      <c r="AB90" s="97">
        <f t="shared" si="49"/>
        <v>0</v>
      </c>
      <c r="AC90" s="97"/>
      <c r="AD90" s="97">
        <f t="shared" si="50"/>
        <v>0</v>
      </c>
      <c r="AE90" s="97"/>
      <c r="AF90" s="97">
        <f t="shared" si="51"/>
        <v>0</v>
      </c>
      <c r="AG90" s="98">
        <f t="shared" si="40"/>
        <v>0.05</v>
      </c>
      <c r="AH90" s="210">
        <f t="shared" si="41"/>
        <v>0</v>
      </c>
      <c r="AI90" s="96"/>
      <c r="AJ90" s="97">
        <f t="shared" si="52"/>
        <v>0</v>
      </c>
      <c r="AK90" s="97"/>
      <c r="AL90" s="97">
        <f t="shared" si="53"/>
        <v>0</v>
      </c>
      <c r="AM90" s="97"/>
      <c r="AN90" s="97">
        <f t="shared" si="54"/>
        <v>0</v>
      </c>
      <c r="AO90" s="97"/>
      <c r="AP90" s="97">
        <f t="shared" si="55"/>
        <v>0</v>
      </c>
      <c r="AQ90" s="97"/>
      <c r="AR90" s="97">
        <f t="shared" si="56"/>
        <v>0</v>
      </c>
      <c r="AS90" s="98">
        <f t="shared" si="42"/>
        <v>0</v>
      </c>
      <c r="AT90" s="99">
        <f t="shared" si="42"/>
        <v>0</v>
      </c>
      <c r="AU90" s="96"/>
      <c r="AV90" s="97"/>
      <c r="AW90" s="98">
        <f t="shared" si="57"/>
        <v>0</v>
      </c>
      <c r="AX90" s="100">
        <f t="shared" si="57"/>
        <v>0</v>
      </c>
      <c r="AY90" s="101">
        <f t="shared" si="38"/>
        <v>6.0000000000000005E-2</v>
      </c>
      <c r="AZ90" s="102">
        <f t="shared" si="39"/>
        <v>0</v>
      </c>
      <c r="BA90" s="103" t="s">
        <v>91</v>
      </c>
      <c r="BB90" s="2">
        <f t="shared" si="58"/>
        <v>0</v>
      </c>
      <c r="BE90"/>
      <c r="BF90"/>
    </row>
    <row r="91" spans="1:58" ht="15" customHeight="1" thickTop="1">
      <c r="A91" s="104" t="s">
        <v>250</v>
      </c>
      <c r="B91" s="105" t="s">
        <v>251</v>
      </c>
      <c r="C91" s="158">
        <v>78</v>
      </c>
      <c r="D91" s="159" t="s">
        <v>252</v>
      </c>
      <c r="E91" s="160" t="s">
        <v>253</v>
      </c>
      <c r="F91" s="161" t="s">
        <v>98</v>
      </c>
      <c r="G91" s="204"/>
      <c r="H91" s="110">
        <f t="shared" si="43"/>
        <v>0</v>
      </c>
      <c r="I91" s="111">
        <f t="shared" si="37"/>
        <v>0</v>
      </c>
      <c r="J91" s="112">
        <f t="shared" si="37"/>
        <v>0</v>
      </c>
      <c r="K91" s="162"/>
      <c r="L91" s="163">
        <f t="shared" si="44"/>
        <v>0</v>
      </c>
      <c r="M91" s="163"/>
      <c r="N91" s="163">
        <f t="shared" si="45"/>
        <v>0</v>
      </c>
      <c r="O91" s="163"/>
      <c r="P91" s="163">
        <f t="shared" si="45"/>
        <v>0</v>
      </c>
      <c r="Q91" s="114"/>
      <c r="R91" s="114">
        <f t="shared" si="46"/>
        <v>0</v>
      </c>
      <c r="S91" s="114"/>
      <c r="T91" s="114">
        <f t="shared" si="46"/>
        <v>0</v>
      </c>
      <c r="U91" s="114"/>
      <c r="V91" s="114">
        <f t="shared" si="47"/>
        <v>0</v>
      </c>
      <c r="W91" s="114"/>
      <c r="X91" s="114">
        <f t="shared" si="47"/>
        <v>0</v>
      </c>
      <c r="Y91" s="114"/>
      <c r="Z91" s="114">
        <f t="shared" si="48"/>
        <v>0</v>
      </c>
      <c r="AA91" s="114"/>
      <c r="AB91" s="114">
        <f t="shared" si="49"/>
        <v>0</v>
      </c>
      <c r="AC91" s="114"/>
      <c r="AD91" s="114">
        <f t="shared" si="50"/>
        <v>0</v>
      </c>
      <c r="AE91" s="114"/>
      <c r="AF91" s="114">
        <f t="shared" si="51"/>
        <v>0</v>
      </c>
      <c r="AG91" s="115">
        <f t="shared" si="40"/>
        <v>0</v>
      </c>
      <c r="AH91" s="211">
        <f t="shared" si="41"/>
        <v>0</v>
      </c>
      <c r="AI91" s="113"/>
      <c r="AJ91" s="114">
        <f t="shared" si="52"/>
        <v>0</v>
      </c>
      <c r="AK91" s="114"/>
      <c r="AL91" s="114">
        <f t="shared" si="53"/>
        <v>0</v>
      </c>
      <c r="AM91" s="114"/>
      <c r="AN91" s="114">
        <f t="shared" si="54"/>
        <v>0</v>
      </c>
      <c r="AO91" s="163"/>
      <c r="AP91" s="163">
        <f t="shared" si="55"/>
        <v>0</v>
      </c>
      <c r="AQ91" s="163"/>
      <c r="AR91" s="163">
        <f t="shared" si="56"/>
        <v>0</v>
      </c>
      <c r="AS91" s="115">
        <f t="shared" si="42"/>
        <v>0</v>
      </c>
      <c r="AT91" s="116">
        <f t="shared" si="42"/>
        <v>0</v>
      </c>
      <c r="AU91" s="162"/>
      <c r="AV91" s="163"/>
      <c r="AW91" s="115">
        <f t="shared" si="57"/>
        <v>0</v>
      </c>
      <c r="AX91" s="117">
        <f t="shared" si="57"/>
        <v>0</v>
      </c>
      <c r="AY91" s="118">
        <f t="shared" si="38"/>
        <v>0</v>
      </c>
      <c r="AZ91" s="119">
        <f t="shared" si="39"/>
        <v>0</v>
      </c>
      <c r="BA91" s="120" t="s">
        <v>91</v>
      </c>
      <c r="BB91" s="2">
        <f t="shared" si="58"/>
        <v>0</v>
      </c>
      <c r="BE91"/>
      <c r="BF91"/>
    </row>
    <row r="92" spans="1:58" ht="15" customHeight="1" thickBot="1">
      <c r="A92" s="121"/>
      <c r="B92" s="164" t="s">
        <v>254</v>
      </c>
      <c r="C92" s="165">
        <v>79</v>
      </c>
      <c r="D92" s="164" t="s">
        <v>255</v>
      </c>
      <c r="E92" s="166" t="s">
        <v>95</v>
      </c>
      <c r="F92" s="167" t="s">
        <v>90</v>
      </c>
      <c r="G92" s="205"/>
      <c r="H92" s="127">
        <f t="shared" si="43"/>
        <v>0</v>
      </c>
      <c r="I92" s="128">
        <f t="shared" si="37"/>
        <v>0</v>
      </c>
      <c r="J92" s="129">
        <f t="shared" si="37"/>
        <v>0</v>
      </c>
      <c r="K92" s="168"/>
      <c r="L92" s="169">
        <f t="shared" si="44"/>
        <v>0</v>
      </c>
      <c r="M92" s="169"/>
      <c r="N92" s="169">
        <f t="shared" si="45"/>
        <v>0</v>
      </c>
      <c r="O92" s="169"/>
      <c r="P92" s="169">
        <f t="shared" si="45"/>
        <v>0</v>
      </c>
      <c r="Q92" s="131"/>
      <c r="R92" s="131">
        <f t="shared" si="46"/>
        <v>0</v>
      </c>
      <c r="S92" s="131"/>
      <c r="T92" s="131">
        <f t="shared" si="46"/>
        <v>0</v>
      </c>
      <c r="U92" s="131"/>
      <c r="V92" s="131">
        <f t="shared" si="47"/>
        <v>0</v>
      </c>
      <c r="W92" s="131"/>
      <c r="X92" s="131">
        <f t="shared" si="47"/>
        <v>0</v>
      </c>
      <c r="Y92" s="131"/>
      <c r="Z92" s="131">
        <f t="shared" si="48"/>
        <v>0</v>
      </c>
      <c r="AA92" s="131"/>
      <c r="AB92" s="131">
        <f t="shared" si="49"/>
        <v>0</v>
      </c>
      <c r="AC92" s="131"/>
      <c r="AD92" s="131">
        <f t="shared" si="50"/>
        <v>0</v>
      </c>
      <c r="AE92" s="131"/>
      <c r="AF92" s="131">
        <f t="shared" si="51"/>
        <v>0</v>
      </c>
      <c r="AG92" s="132">
        <f t="shared" si="40"/>
        <v>0</v>
      </c>
      <c r="AH92" s="212">
        <f t="shared" si="41"/>
        <v>0</v>
      </c>
      <c r="AI92" s="130"/>
      <c r="AJ92" s="131">
        <f t="shared" si="52"/>
        <v>0</v>
      </c>
      <c r="AK92" s="131"/>
      <c r="AL92" s="131">
        <f t="shared" si="53"/>
        <v>0</v>
      </c>
      <c r="AM92" s="131"/>
      <c r="AN92" s="131">
        <f t="shared" si="54"/>
        <v>0</v>
      </c>
      <c r="AO92" s="169"/>
      <c r="AP92" s="169">
        <f t="shared" si="55"/>
        <v>0</v>
      </c>
      <c r="AQ92" s="169"/>
      <c r="AR92" s="169">
        <f t="shared" si="56"/>
        <v>0</v>
      </c>
      <c r="AS92" s="132">
        <f t="shared" si="42"/>
        <v>0</v>
      </c>
      <c r="AT92" s="133">
        <f t="shared" si="42"/>
        <v>0</v>
      </c>
      <c r="AU92" s="168"/>
      <c r="AV92" s="169"/>
      <c r="AW92" s="132">
        <f t="shared" si="57"/>
        <v>0</v>
      </c>
      <c r="AX92" s="134">
        <f t="shared" si="57"/>
        <v>0</v>
      </c>
      <c r="AY92" s="135">
        <f t="shared" si="38"/>
        <v>0</v>
      </c>
      <c r="AZ92" s="136">
        <f t="shared" si="39"/>
        <v>0</v>
      </c>
      <c r="BA92" s="137" t="s">
        <v>91</v>
      </c>
      <c r="BB92" s="2">
        <f t="shared" si="58"/>
        <v>0</v>
      </c>
      <c r="BE92"/>
      <c r="BF92"/>
    </row>
    <row r="93" spans="1:58" ht="15" customHeight="1" thickTop="1">
      <c r="A93" s="170" t="s">
        <v>256</v>
      </c>
      <c r="B93" s="154" t="s">
        <v>257</v>
      </c>
      <c r="C93" s="79">
        <v>80</v>
      </c>
      <c r="D93" s="5" t="s">
        <v>258</v>
      </c>
      <c r="E93" s="171" t="s">
        <v>259</v>
      </c>
      <c r="F93" s="54" t="s">
        <v>131</v>
      </c>
      <c r="G93" s="203"/>
      <c r="H93" s="55">
        <f t="shared" si="43"/>
        <v>0</v>
      </c>
      <c r="I93" s="56">
        <f t="shared" si="37"/>
        <v>0</v>
      </c>
      <c r="J93" s="57">
        <f t="shared" si="37"/>
        <v>0</v>
      </c>
      <c r="K93" s="58">
        <v>0.01</v>
      </c>
      <c r="L93" s="59">
        <f t="shared" si="44"/>
        <v>0</v>
      </c>
      <c r="M93" s="59">
        <v>0.01</v>
      </c>
      <c r="N93" s="59">
        <f t="shared" si="45"/>
        <v>0</v>
      </c>
      <c r="O93" s="59">
        <v>0.01</v>
      </c>
      <c r="P93" s="59">
        <f t="shared" si="45"/>
        <v>0</v>
      </c>
      <c r="Q93" s="139">
        <v>0.01</v>
      </c>
      <c r="R93" s="139">
        <f t="shared" si="46"/>
        <v>0</v>
      </c>
      <c r="S93" s="139">
        <v>0.01</v>
      </c>
      <c r="T93" s="139">
        <f t="shared" si="46"/>
        <v>0</v>
      </c>
      <c r="U93" s="139">
        <v>0.01</v>
      </c>
      <c r="V93" s="139">
        <f t="shared" si="47"/>
        <v>0</v>
      </c>
      <c r="W93" s="139">
        <v>0.01</v>
      </c>
      <c r="X93" s="139">
        <f t="shared" si="47"/>
        <v>0</v>
      </c>
      <c r="Y93" s="139">
        <v>0.01</v>
      </c>
      <c r="Z93" s="139">
        <f t="shared" si="48"/>
        <v>0</v>
      </c>
      <c r="AA93" s="139">
        <v>0.01</v>
      </c>
      <c r="AB93" s="139">
        <f t="shared" si="49"/>
        <v>0</v>
      </c>
      <c r="AC93" s="139">
        <v>0.01</v>
      </c>
      <c r="AD93" s="139">
        <f t="shared" si="50"/>
        <v>0</v>
      </c>
      <c r="AE93" s="139">
        <v>0.01</v>
      </c>
      <c r="AF93" s="139">
        <f t="shared" si="51"/>
        <v>0</v>
      </c>
      <c r="AG93" s="60">
        <f t="shared" si="40"/>
        <v>0.10999999999999999</v>
      </c>
      <c r="AH93" s="208">
        <f t="shared" si="41"/>
        <v>0</v>
      </c>
      <c r="AI93" s="138"/>
      <c r="AJ93" s="139">
        <f t="shared" si="52"/>
        <v>0</v>
      </c>
      <c r="AK93" s="139"/>
      <c r="AL93" s="139">
        <f t="shared" si="53"/>
        <v>0</v>
      </c>
      <c r="AM93" s="139"/>
      <c r="AN93" s="139">
        <f t="shared" si="54"/>
        <v>0</v>
      </c>
      <c r="AO93" s="59"/>
      <c r="AP93" s="59">
        <f t="shared" si="55"/>
        <v>0</v>
      </c>
      <c r="AQ93" s="59"/>
      <c r="AR93" s="59">
        <f t="shared" si="56"/>
        <v>0</v>
      </c>
      <c r="AS93" s="60">
        <f t="shared" si="42"/>
        <v>0</v>
      </c>
      <c r="AT93" s="61">
        <f t="shared" si="42"/>
        <v>0</v>
      </c>
      <c r="AU93" s="58"/>
      <c r="AV93" s="59"/>
      <c r="AW93" s="60">
        <f t="shared" si="57"/>
        <v>0</v>
      </c>
      <c r="AX93" s="62">
        <f t="shared" si="57"/>
        <v>0</v>
      </c>
      <c r="AY93" s="63">
        <f t="shared" si="38"/>
        <v>0.10999999999999999</v>
      </c>
      <c r="AZ93" s="64">
        <f t="shared" si="39"/>
        <v>0</v>
      </c>
      <c r="BA93" s="140" t="s">
        <v>91</v>
      </c>
      <c r="BB93" s="2">
        <f t="shared" si="58"/>
        <v>0</v>
      </c>
      <c r="BE93"/>
      <c r="BF93"/>
    </row>
    <row r="94" spans="1:58" ht="15" customHeight="1">
      <c r="A94" s="170"/>
      <c r="B94" s="154"/>
      <c r="C94" s="79">
        <v>81</v>
      </c>
      <c r="D94" s="172" t="s">
        <v>260</v>
      </c>
      <c r="E94" s="172" t="s">
        <v>261</v>
      </c>
      <c r="F94" s="67" t="s">
        <v>131</v>
      </c>
      <c r="G94" s="68">
        <v>0.02</v>
      </c>
      <c r="H94" s="69">
        <f t="shared" si="43"/>
        <v>0</v>
      </c>
      <c r="I94" s="70">
        <f t="shared" si="37"/>
        <v>0.02</v>
      </c>
      <c r="J94" s="71">
        <f t="shared" si="37"/>
        <v>0</v>
      </c>
      <c r="K94" s="72">
        <v>0.05</v>
      </c>
      <c r="L94" s="73">
        <f t="shared" si="44"/>
        <v>0</v>
      </c>
      <c r="M94" s="73">
        <v>0.01</v>
      </c>
      <c r="N94" s="73">
        <f t="shared" si="45"/>
        <v>0</v>
      </c>
      <c r="O94" s="73">
        <v>0.01</v>
      </c>
      <c r="P94" s="73">
        <f t="shared" si="45"/>
        <v>0</v>
      </c>
      <c r="Q94" s="80">
        <v>0.01</v>
      </c>
      <c r="R94" s="80">
        <f t="shared" si="46"/>
        <v>0</v>
      </c>
      <c r="S94" s="80">
        <v>0.01</v>
      </c>
      <c r="T94" s="80">
        <f t="shared" si="46"/>
        <v>0</v>
      </c>
      <c r="U94" s="80">
        <v>0.01</v>
      </c>
      <c r="V94" s="80">
        <f t="shared" si="47"/>
        <v>0</v>
      </c>
      <c r="W94" s="80">
        <v>0.01</v>
      </c>
      <c r="X94" s="80">
        <f t="shared" si="47"/>
        <v>0</v>
      </c>
      <c r="Y94" s="80">
        <v>0.01</v>
      </c>
      <c r="Z94" s="80">
        <f t="shared" si="48"/>
        <v>0</v>
      </c>
      <c r="AA94" s="80">
        <v>0.01</v>
      </c>
      <c r="AB94" s="80">
        <f t="shared" si="49"/>
        <v>0</v>
      </c>
      <c r="AC94" s="80">
        <v>0.01</v>
      </c>
      <c r="AD94" s="80">
        <f t="shared" si="50"/>
        <v>0</v>
      </c>
      <c r="AE94" s="80">
        <v>0.01</v>
      </c>
      <c r="AF94" s="80">
        <f t="shared" si="51"/>
        <v>0</v>
      </c>
      <c r="AG94" s="74">
        <f t="shared" si="40"/>
        <v>0.15</v>
      </c>
      <c r="AH94" s="209">
        <f t="shared" si="41"/>
        <v>0</v>
      </c>
      <c r="AI94" s="81">
        <v>0.05</v>
      </c>
      <c r="AJ94" s="80">
        <f t="shared" si="52"/>
        <v>0</v>
      </c>
      <c r="AK94" s="80">
        <v>0.02</v>
      </c>
      <c r="AL94" s="80">
        <f t="shared" si="53"/>
        <v>0</v>
      </c>
      <c r="AM94" s="80">
        <v>0.02</v>
      </c>
      <c r="AN94" s="80">
        <f t="shared" si="54"/>
        <v>0</v>
      </c>
      <c r="AO94" s="73">
        <v>0.06</v>
      </c>
      <c r="AP94" s="73">
        <f t="shared" si="55"/>
        <v>0</v>
      </c>
      <c r="AQ94" s="73">
        <v>0.05</v>
      </c>
      <c r="AR94" s="73">
        <f t="shared" si="56"/>
        <v>0</v>
      </c>
      <c r="AS94" s="74">
        <f t="shared" si="42"/>
        <v>0.19999999999999998</v>
      </c>
      <c r="AT94" s="75">
        <f t="shared" si="42"/>
        <v>0</v>
      </c>
      <c r="AU94" s="72"/>
      <c r="AV94" s="73"/>
      <c r="AW94" s="74">
        <f t="shared" si="57"/>
        <v>0</v>
      </c>
      <c r="AX94" s="76">
        <f t="shared" si="57"/>
        <v>0</v>
      </c>
      <c r="AY94" s="77">
        <f t="shared" si="38"/>
        <v>0.37</v>
      </c>
      <c r="AZ94" s="78">
        <f t="shared" si="39"/>
        <v>0</v>
      </c>
      <c r="BA94" s="2" t="s">
        <v>91</v>
      </c>
      <c r="BB94" s="2">
        <f t="shared" si="58"/>
        <v>0</v>
      </c>
      <c r="BE94"/>
      <c r="BF94"/>
    </row>
    <row r="95" spans="1:58" ht="15" customHeight="1">
      <c r="A95" s="170"/>
      <c r="B95" s="154"/>
      <c r="C95" s="79">
        <v>82</v>
      </c>
      <c r="D95" s="172" t="s">
        <v>262</v>
      </c>
      <c r="E95" s="172" t="s">
        <v>263</v>
      </c>
      <c r="F95" s="67" t="s">
        <v>131</v>
      </c>
      <c r="G95" s="68">
        <v>0.01</v>
      </c>
      <c r="H95" s="69">
        <f t="shared" si="43"/>
        <v>0</v>
      </c>
      <c r="I95" s="70">
        <f t="shared" si="37"/>
        <v>0.01</v>
      </c>
      <c r="J95" s="71">
        <f t="shared" si="37"/>
        <v>0</v>
      </c>
      <c r="K95" s="72"/>
      <c r="L95" s="73">
        <f t="shared" si="44"/>
        <v>0</v>
      </c>
      <c r="M95" s="73"/>
      <c r="N95" s="73">
        <f t="shared" si="45"/>
        <v>0</v>
      </c>
      <c r="O95" s="73"/>
      <c r="P95" s="73">
        <f t="shared" si="45"/>
        <v>0</v>
      </c>
      <c r="Q95" s="80"/>
      <c r="R95" s="80">
        <f t="shared" si="46"/>
        <v>0</v>
      </c>
      <c r="S95" s="80"/>
      <c r="T95" s="80">
        <f t="shared" si="46"/>
        <v>0</v>
      </c>
      <c r="U95" s="80"/>
      <c r="V95" s="80">
        <f t="shared" si="47"/>
        <v>0</v>
      </c>
      <c r="W95" s="80"/>
      <c r="X95" s="80">
        <f t="shared" si="47"/>
        <v>0</v>
      </c>
      <c r="Y95" s="80"/>
      <c r="Z95" s="80">
        <f t="shared" si="48"/>
        <v>0</v>
      </c>
      <c r="AA95" s="80">
        <v>0.15</v>
      </c>
      <c r="AB95" s="80">
        <f t="shared" si="49"/>
        <v>0</v>
      </c>
      <c r="AC95" s="80">
        <v>0.02</v>
      </c>
      <c r="AD95" s="80">
        <f t="shared" si="50"/>
        <v>0</v>
      </c>
      <c r="AE95" s="80">
        <v>0.02</v>
      </c>
      <c r="AF95" s="80">
        <f t="shared" si="51"/>
        <v>0</v>
      </c>
      <c r="AG95" s="74">
        <f t="shared" si="40"/>
        <v>0.18999999999999997</v>
      </c>
      <c r="AH95" s="209">
        <f t="shared" si="41"/>
        <v>0</v>
      </c>
      <c r="AI95" s="81">
        <v>0.05</v>
      </c>
      <c r="AJ95" s="80">
        <f t="shared" si="52"/>
        <v>0</v>
      </c>
      <c r="AK95" s="80">
        <v>0.02</v>
      </c>
      <c r="AL95" s="80">
        <f t="shared" si="53"/>
        <v>0</v>
      </c>
      <c r="AM95" s="80">
        <v>0.02</v>
      </c>
      <c r="AN95" s="80">
        <f t="shared" si="54"/>
        <v>0</v>
      </c>
      <c r="AO95" s="73">
        <v>0.04</v>
      </c>
      <c r="AP95" s="73">
        <f t="shared" si="55"/>
        <v>0</v>
      </c>
      <c r="AQ95" s="73">
        <v>0.06</v>
      </c>
      <c r="AR95" s="73">
        <f t="shared" si="56"/>
        <v>0</v>
      </c>
      <c r="AS95" s="74">
        <f t="shared" si="42"/>
        <v>0.19</v>
      </c>
      <c r="AT95" s="75">
        <f t="shared" si="42"/>
        <v>0</v>
      </c>
      <c r="AU95" s="72"/>
      <c r="AV95" s="73"/>
      <c r="AW95" s="74">
        <f t="shared" si="57"/>
        <v>0</v>
      </c>
      <c r="AX95" s="76">
        <f t="shared" si="57"/>
        <v>0</v>
      </c>
      <c r="AY95" s="77">
        <f t="shared" si="38"/>
        <v>0.39</v>
      </c>
      <c r="AZ95" s="78">
        <f t="shared" si="39"/>
        <v>0</v>
      </c>
      <c r="BA95" s="2" t="s">
        <v>91</v>
      </c>
      <c r="BB95" s="2">
        <f t="shared" si="58"/>
        <v>0</v>
      </c>
      <c r="BE95"/>
      <c r="BF95"/>
    </row>
    <row r="96" spans="1:58" ht="15" customHeight="1">
      <c r="A96" s="170"/>
      <c r="B96" s="154"/>
      <c r="C96" s="66">
        <v>83</v>
      </c>
      <c r="D96" s="5" t="s">
        <v>264</v>
      </c>
      <c r="E96" s="171" t="s">
        <v>265</v>
      </c>
      <c r="F96" s="174" t="s">
        <v>131</v>
      </c>
      <c r="G96" s="68">
        <v>0.01</v>
      </c>
      <c r="H96" s="69">
        <f t="shared" si="43"/>
        <v>0</v>
      </c>
      <c r="I96" s="70">
        <f t="shared" si="37"/>
        <v>0.01</v>
      </c>
      <c r="J96" s="71">
        <f t="shared" si="37"/>
        <v>0</v>
      </c>
      <c r="K96" s="72">
        <v>0.01</v>
      </c>
      <c r="L96" s="73">
        <f t="shared" si="44"/>
        <v>0</v>
      </c>
      <c r="M96" s="73"/>
      <c r="N96" s="73">
        <f t="shared" si="45"/>
        <v>0</v>
      </c>
      <c r="O96" s="73"/>
      <c r="P96" s="73">
        <f t="shared" si="45"/>
        <v>0</v>
      </c>
      <c r="Q96" s="80"/>
      <c r="R96" s="80">
        <f t="shared" si="46"/>
        <v>0</v>
      </c>
      <c r="S96" s="80"/>
      <c r="T96" s="80">
        <f t="shared" si="46"/>
        <v>0</v>
      </c>
      <c r="U96" s="80"/>
      <c r="V96" s="80">
        <f t="shared" si="47"/>
        <v>0</v>
      </c>
      <c r="W96" s="80"/>
      <c r="X96" s="80">
        <f t="shared" si="47"/>
        <v>0</v>
      </c>
      <c r="Y96" s="80"/>
      <c r="Z96" s="80">
        <f t="shared" si="48"/>
        <v>0</v>
      </c>
      <c r="AA96" s="80">
        <v>0.3</v>
      </c>
      <c r="AB96" s="80">
        <f t="shared" si="49"/>
        <v>0</v>
      </c>
      <c r="AC96" s="80"/>
      <c r="AD96" s="80">
        <f t="shared" si="50"/>
        <v>0</v>
      </c>
      <c r="AE96" s="80"/>
      <c r="AF96" s="80">
        <f t="shared" si="51"/>
        <v>0</v>
      </c>
      <c r="AG96" s="74">
        <f t="shared" si="40"/>
        <v>0.31</v>
      </c>
      <c r="AH96" s="209">
        <f t="shared" si="41"/>
        <v>0</v>
      </c>
      <c r="AI96" s="81"/>
      <c r="AJ96" s="80">
        <f t="shared" si="52"/>
        <v>0</v>
      </c>
      <c r="AK96" s="80"/>
      <c r="AL96" s="80">
        <f t="shared" si="53"/>
        <v>0</v>
      </c>
      <c r="AM96" s="80">
        <v>0.15</v>
      </c>
      <c r="AN96" s="80">
        <f t="shared" si="54"/>
        <v>0</v>
      </c>
      <c r="AO96" s="73"/>
      <c r="AP96" s="73">
        <f t="shared" si="55"/>
        <v>0</v>
      </c>
      <c r="AQ96" s="73"/>
      <c r="AR96" s="73">
        <f t="shared" si="56"/>
        <v>0</v>
      </c>
      <c r="AS96" s="74">
        <f t="shared" si="42"/>
        <v>0.15</v>
      </c>
      <c r="AT96" s="75">
        <f t="shared" si="42"/>
        <v>0</v>
      </c>
      <c r="AU96" s="72"/>
      <c r="AV96" s="73"/>
      <c r="AW96" s="74">
        <f t="shared" si="57"/>
        <v>0</v>
      </c>
      <c r="AX96" s="76">
        <f t="shared" si="57"/>
        <v>0</v>
      </c>
      <c r="AY96" s="77">
        <f t="shared" si="38"/>
        <v>0.47</v>
      </c>
      <c r="AZ96" s="78">
        <f t="shared" si="39"/>
        <v>0</v>
      </c>
      <c r="BA96" s="2" t="s">
        <v>91</v>
      </c>
      <c r="BB96" s="2">
        <f t="shared" si="58"/>
        <v>0</v>
      </c>
      <c r="BE96"/>
      <c r="BF96"/>
    </row>
    <row r="97" spans="1:58" ht="15" customHeight="1">
      <c r="A97" s="170"/>
      <c r="B97" s="154"/>
      <c r="C97" s="52">
        <v>84</v>
      </c>
      <c r="D97" s="175" t="s">
        <v>266</v>
      </c>
      <c r="E97" s="172" t="s">
        <v>267</v>
      </c>
      <c r="F97" s="67" t="s">
        <v>268</v>
      </c>
      <c r="G97" s="68"/>
      <c r="H97" s="69">
        <f t="shared" si="43"/>
        <v>0</v>
      </c>
      <c r="I97" s="70">
        <f t="shared" si="37"/>
        <v>0</v>
      </c>
      <c r="J97" s="71">
        <f t="shared" si="37"/>
        <v>0</v>
      </c>
      <c r="K97" s="72"/>
      <c r="L97" s="73">
        <f t="shared" si="44"/>
        <v>0</v>
      </c>
      <c r="M97" s="73"/>
      <c r="N97" s="73">
        <f t="shared" ref="N97:P112" si="59">N$13/M$13*M97</f>
        <v>0</v>
      </c>
      <c r="O97" s="73"/>
      <c r="P97" s="73">
        <f t="shared" si="59"/>
        <v>0</v>
      </c>
      <c r="Q97" s="80"/>
      <c r="R97" s="80">
        <f t="shared" ref="R97:T112" si="60">R$13/Q$13*Q97</f>
        <v>0</v>
      </c>
      <c r="S97" s="80"/>
      <c r="T97" s="80">
        <f t="shared" si="60"/>
        <v>0</v>
      </c>
      <c r="U97" s="80"/>
      <c r="V97" s="80">
        <f t="shared" ref="V97:X112" si="61">V$13/U$13*U97</f>
        <v>0</v>
      </c>
      <c r="W97" s="80">
        <v>0.06</v>
      </c>
      <c r="X97" s="80">
        <f t="shared" si="61"/>
        <v>0</v>
      </c>
      <c r="Y97" s="80"/>
      <c r="Z97" s="80">
        <f t="shared" si="48"/>
        <v>0</v>
      </c>
      <c r="AA97" s="80"/>
      <c r="AB97" s="80">
        <f t="shared" si="49"/>
        <v>0</v>
      </c>
      <c r="AC97" s="80"/>
      <c r="AD97" s="80">
        <f t="shared" si="50"/>
        <v>0</v>
      </c>
      <c r="AE97" s="80"/>
      <c r="AF97" s="80">
        <f t="shared" si="51"/>
        <v>0</v>
      </c>
      <c r="AG97" s="74">
        <f t="shared" si="40"/>
        <v>0.06</v>
      </c>
      <c r="AH97" s="209">
        <f t="shared" si="41"/>
        <v>0</v>
      </c>
      <c r="AI97" s="81"/>
      <c r="AJ97" s="80">
        <f t="shared" si="52"/>
        <v>0</v>
      </c>
      <c r="AK97" s="80"/>
      <c r="AL97" s="80">
        <f t="shared" si="53"/>
        <v>0</v>
      </c>
      <c r="AM97" s="80"/>
      <c r="AN97" s="80">
        <f t="shared" si="54"/>
        <v>0</v>
      </c>
      <c r="AO97" s="73"/>
      <c r="AP97" s="73">
        <f t="shared" si="55"/>
        <v>0</v>
      </c>
      <c r="AQ97" s="73"/>
      <c r="AR97" s="73">
        <f t="shared" si="56"/>
        <v>0</v>
      </c>
      <c r="AS97" s="74">
        <f t="shared" si="42"/>
        <v>0</v>
      </c>
      <c r="AT97" s="75">
        <f t="shared" si="42"/>
        <v>0</v>
      </c>
      <c r="AU97" s="72"/>
      <c r="AV97" s="73"/>
      <c r="AW97" s="74">
        <f t="shared" si="57"/>
        <v>0</v>
      </c>
      <c r="AX97" s="76">
        <f t="shared" si="57"/>
        <v>0</v>
      </c>
      <c r="AY97" s="77">
        <f t="shared" si="38"/>
        <v>0.06</v>
      </c>
      <c r="AZ97" s="78">
        <f t="shared" si="39"/>
        <v>0</v>
      </c>
      <c r="BA97" s="2" t="s">
        <v>91</v>
      </c>
      <c r="BB97" s="2">
        <f t="shared" si="58"/>
        <v>0</v>
      </c>
      <c r="BE97"/>
      <c r="BF97"/>
    </row>
    <row r="98" spans="1:58" ht="15" customHeight="1">
      <c r="A98" s="170"/>
      <c r="B98" s="87" t="s">
        <v>269</v>
      </c>
      <c r="C98" s="66">
        <v>85</v>
      </c>
      <c r="D98" s="5" t="s">
        <v>270</v>
      </c>
      <c r="E98" s="171" t="s">
        <v>271</v>
      </c>
      <c r="F98" s="67" t="s">
        <v>101</v>
      </c>
      <c r="G98" s="68">
        <v>0.15</v>
      </c>
      <c r="H98" s="69">
        <f t="shared" si="43"/>
        <v>0</v>
      </c>
      <c r="I98" s="70">
        <f t="shared" si="37"/>
        <v>0.15</v>
      </c>
      <c r="J98" s="71">
        <f t="shared" si="37"/>
        <v>0</v>
      </c>
      <c r="K98" s="72">
        <v>0.12</v>
      </c>
      <c r="L98" s="73">
        <f t="shared" si="44"/>
        <v>0</v>
      </c>
      <c r="M98" s="73">
        <v>0.01</v>
      </c>
      <c r="N98" s="73">
        <f t="shared" si="59"/>
        <v>0</v>
      </c>
      <c r="O98" s="73">
        <v>0.01</v>
      </c>
      <c r="P98" s="73">
        <f t="shared" si="59"/>
        <v>0</v>
      </c>
      <c r="Q98" s="80">
        <v>0.01</v>
      </c>
      <c r="R98" s="80">
        <f t="shared" si="60"/>
        <v>0</v>
      </c>
      <c r="S98" s="80">
        <v>0.01</v>
      </c>
      <c r="T98" s="80">
        <f t="shared" si="60"/>
        <v>0</v>
      </c>
      <c r="U98" s="80">
        <v>0.01</v>
      </c>
      <c r="V98" s="80">
        <f t="shared" si="61"/>
        <v>0</v>
      </c>
      <c r="W98" s="80">
        <v>0.01</v>
      </c>
      <c r="X98" s="80">
        <f t="shared" si="61"/>
        <v>0</v>
      </c>
      <c r="Y98" s="80">
        <v>0.01</v>
      </c>
      <c r="Z98" s="80">
        <f t="shared" si="48"/>
        <v>0</v>
      </c>
      <c r="AA98" s="80"/>
      <c r="AB98" s="80">
        <f t="shared" si="49"/>
        <v>0</v>
      </c>
      <c r="AC98" s="80"/>
      <c r="AD98" s="80">
        <f t="shared" si="50"/>
        <v>0</v>
      </c>
      <c r="AE98" s="80"/>
      <c r="AF98" s="80">
        <f t="shared" si="51"/>
        <v>0</v>
      </c>
      <c r="AG98" s="74">
        <f t="shared" si="40"/>
        <v>0.19000000000000006</v>
      </c>
      <c r="AH98" s="209">
        <f t="shared" si="41"/>
        <v>0</v>
      </c>
      <c r="AI98" s="81"/>
      <c r="AJ98" s="80">
        <f t="shared" si="52"/>
        <v>0</v>
      </c>
      <c r="AK98" s="80"/>
      <c r="AL98" s="80">
        <f t="shared" si="53"/>
        <v>0</v>
      </c>
      <c r="AM98" s="80"/>
      <c r="AN98" s="80">
        <f t="shared" si="54"/>
        <v>0</v>
      </c>
      <c r="AO98" s="73"/>
      <c r="AP98" s="73">
        <f t="shared" si="55"/>
        <v>0</v>
      </c>
      <c r="AQ98" s="73"/>
      <c r="AR98" s="73">
        <f t="shared" si="56"/>
        <v>0</v>
      </c>
      <c r="AS98" s="74">
        <f t="shared" si="42"/>
        <v>0</v>
      </c>
      <c r="AT98" s="75">
        <f t="shared" si="42"/>
        <v>0</v>
      </c>
      <c r="AU98" s="72"/>
      <c r="AV98" s="73"/>
      <c r="AW98" s="74">
        <f t="shared" si="57"/>
        <v>0</v>
      </c>
      <c r="AX98" s="76">
        <f t="shared" si="57"/>
        <v>0</v>
      </c>
      <c r="AY98" s="77">
        <f t="shared" si="38"/>
        <v>0.34000000000000008</v>
      </c>
      <c r="AZ98" s="78">
        <f t="shared" si="39"/>
        <v>0</v>
      </c>
      <c r="BA98" s="2" t="s">
        <v>91</v>
      </c>
      <c r="BB98" s="2">
        <f t="shared" si="58"/>
        <v>0</v>
      </c>
      <c r="BE98"/>
      <c r="BF98"/>
    </row>
    <row r="99" spans="1:58" ht="15" customHeight="1">
      <c r="A99" s="170"/>
      <c r="B99" s="154"/>
      <c r="C99" s="66">
        <v>86</v>
      </c>
      <c r="D99" s="172" t="s">
        <v>272</v>
      </c>
      <c r="E99" s="172" t="s">
        <v>273</v>
      </c>
      <c r="F99" s="67" t="s">
        <v>101</v>
      </c>
      <c r="G99" s="68"/>
      <c r="H99" s="69">
        <f t="shared" si="43"/>
        <v>0</v>
      </c>
      <c r="I99" s="70">
        <f t="shared" si="37"/>
        <v>0</v>
      </c>
      <c r="J99" s="71">
        <f t="shared" si="37"/>
        <v>0</v>
      </c>
      <c r="K99" s="72"/>
      <c r="L99" s="73">
        <f t="shared" si="44"/>
        <v>0</v>
      </c>
      <c r="M99" s="73">
        <v>0.01</v>
      </c>
      <c r="N99" s="73">
        <f t="shared" si="59"/>
        <v>0</v>
      </c>
      <c r="O99" s="73">
        <v>0.01</v>
      </c>
      <c r="P99" s="73">
        <f t="shared" si="59"/>
        <v>0</v>
      </c>
      <c r="Q99" s="80">
        <v>0.01</v>
      </c>
      <c r="R99" s="80">
        <f t="shared" si="60"/>
        <v>0</v>
      </c>
      <c r="S99" s="80">
        <v>0.01</v>
      </c>
      <c r="T99" s="80">
        <f t="shared" si="60"/>
        <v>0</v>
      </c>
      <c r="U99" s="80">
        <v>0.01</v>
      </c>
      <c r="V99" s="80">
        <f t="shared" si="61"/>
        <v>0</v>
      </c>
      <c r="W99" s="80">
        <v>0.01</v>
      </c>
      <c r="X99" s="80">
        <f t="shared" si="61"/>
        <v>0</v>
      </c>
      <c r="Y99" s="80">
        <v>0.01</v>
      </c>
      <c r="Z99" s="80">
        <f t="shared" si="48"/>
        <v>0</v>
      </c>
      <c r="AA99" s="80"/>
      <c r="AB99" s="80">
        <f t="shared" si="49"/>
        <v>0</v>
      </c>
      <c r="AC99" s="80"/>
      <c r="AD99" s="80">
        <f t="shared" si="50"/>
        <v>0</v>
      </c>
      <c r="AE99" s="80"/>
      <c r="AF99" s="80">
        <f t="shared" si="51"/>
        <v>0</v>
      </c>
      <c r="AG99" s="74">
        <f t="shared" si="40"/>
        <v>7.0000000000000007E-2</v>
      </c>
      <c r="AH99" s="209">
        <f t="shared" si="41"/>
        <v>0</v>
      </c>
      <c r="AI99" s="81">
        <v>0.05</v>
      </c>
      <c r="AJ99" s="80">
        <f t="shared" si="52"/>
        <v>0</v>
      </c>
      <c r="AK99" s="80"/>
      <c r="AL99" s="80">
        <f t="shared" si="53"/>
        <v>0</v>
      </c>
      <c r="AM99" s="80"/>
      <c r="AN99" s="80">
        <f t="shared" si="54"/>
        <v>0</v>
      </c>
      <c r="AO99" s="73"/>
      <c r="AP99" s="73">
        <f t="shared" si="55"/>
        <v>0</v>
      </c>
      <c r="AQ99" s="73"/>
      <c r="AR99" s="73">
        <f t="shared" si="56"/>
        <v>0</v>
      </c>
      <c r="AS99" s="74">
        <f t="shared" si="42"/>
        <v>0.05</v>
      </c>
      <c r="AT99" s="75">
        <f t="shared" si="42"/>
        <v>0</v>
      </c>
      <c r="AU99" s="72"/>
      <c r="AV99" s="73"/>
      <c r="AW99" s="74">
        <f t="shared" si="57"/>
        <v>0</v>
      </c>
      <c r="AX99" s="76">
        <f t="shared" si="57"/>
        <v>0</v>
      </c>
      <c r="AY99" s="77">
        <f t="shared" si="38"/>
        <v>0.12000000000000001</v>
      </c>
      <c r="AZ99" s="78">
        <f t="shared" si="39"/>
        <v>0</v>
      </c>
      <c r="BA99" s="2" t="s">
        <v>91</v>
      </c>
      <c r="BB99" s="2">
        <f t="shared" si="58"/>
        <v>0</v>
      </c>
      <c r="BE99"/>
      <c r="BF99"/>
    </row>
    <row r="100" spans="1:58" ht="15" customHeight="1">
      <c r="A100" s="170"/>
      <c r="B100" s="154"/>
      <c r="C100" s="79">
        <v>87</v>
      </c>
      <c r="D100" s="172" t="s">
        <v>274</v>
      </c>
      <c r="E100" s="172" t="s">
        <v>275</v>
      </c>
      <c r="F100" s="67"/>
      <c r="G100" s="68">
        <v>0.05</v>
      </c>
      <c r="H100" s="69">
        <f t="shared" si="43"/>
        <v>0</v>
      </c>
      <c r="I100" s="70">
        <f t="shared" si="37"/>
        <v>0.05</v>
      </c>
      <c r="J100" s="71">
        <f t="shared" si="37"/>
        <v>0</v>
      </c>
      <c r="K100" s="72">
        <v>0.01</v>
      </c>
      <c r="L100" s="73">
        <f t="shared" si="44"/>
        <v>0</v>
      </c>
      <c r="M100" s="73">
        <v>0.01</v>
      </c>
      <c r="N100" s="73">
        <f t="shared" si="59"/>
        <v>0</v>
      </c>
      <c r="O100" s="73">
        <v>0.01</v>
      </c>
      <c r="P100" s="73">
        <f t="shared" si="59"/>
        <v>0</v>
      </c>
      <c r="Q100" s="80">
        <v>0.01</v>
      </c>
      <c r="R100" s="80">
        <f t="shared" si="60"/>
        <v>0</v>
      </c>
      <c r="S100" s="80">
        <v>0.01</v>
      </c>
      <c r="T100" s="80">
        <f t="shared" si="60"/>
        <v>0</v>
      </c>
      <c r="U100" s="80">
        <v>0.01</v>
      </c>
      <c r="V100" s="80">
        <f t="shared" si="61"/>
        <v>0</v>
      </c>
      <c r="W100" s="80">
        <v>0.01</v>
      </c>
      <c r="X100" s="80">
        <f t="shared" si="61"/>
        <v>0</v>
      </c>
      <c r="Y100" s="80">
        <v>0.01</v>
      </c>
      <c r="Z100" s="80">
        <f t="shared" si="48"/>
        <v>0</v>
      </c>
      <c r="AA100" s="80">
        <v>0.01</v>
      </c>
      <c r="AB100" s="80">
        <f t="shared" si="49"/>
        <v>0</v>
      </c>
      <c r="AC100" s="80">
        <v>0.01</v>
      </c>
      <c r="AD100" s="80">
        <f>AD$13/AC$13*AC100</f>
        <v>0</v>
      </c>
      <c r="AE100" s="80">
        <v>0.01</v>
      </c>
      <c r="AF100" s="80">
        <f t="shared" si="51"/>
        <v>0</v>
      </c>
      <c r="AG100" s="74">
        <f t="shared" si="40"/>
        <v>0.10999999999999999</v>
      </c>
      <c r="AH100" s="209">
        <f t="shared" si="41"/>
        <v>0</v>
      </c>
      <c r="AI100" s="81"/>
      <c r="AJ100" s="80">
        <f t="shared" si="52"/>
        <v>0</v>
      </c>
      <c r="AK100" s="80"/>
      <c r="AL100" s="80">
        <f t="shared" si="53"/>
        <v>0</v>
      </c>
      <c r="AM100" s="80"/>
      <c r="AN100" s="80">
        <f t="shared" si="54"/>
        <v>0</v>
      </c>
      <c r="AO100" s="73"/>
      <c r="AP100" s="73">
        <f t="shared" si="55"/>
        <v>0</v>
      </c>
      <c r="AQ100" s="73"/>
      <c r="AR100" s="73">
        <f t="shared" si="56"/>
        <v>0</v>
      </c>
      <c r="AS100" s="74">
        <f t="shared" si="42"/>
        <v>0</v>
      </c>
      <c r="AT100" s="75">
        <f t="shared" si="42"/>
        <v>0</v>
      </c>
      <c r="AU100" s="72"/>
      <c r="AV100" s="73"/>
      <c r="AW100" s="74">
        <f t="shared" si="57"/>
        <v>0</v>
      </c>
      <c r="AX100" s="76">
        <f t="shared" si="57"/>
        <v>0</v>
      </c>
      <c r="AY100" s="77">
        <f t="shared" si="38"/>
        <v>0.15999999999999998</v>
      </c>
      <c r="AZ100" s="78">
        <f t="shared" si="39"/>
        <v>0</v>
      </c>
      <c r="BA100" s="2" t="s">
        <v>91</v>
      </c>
      <c r="BB100" s="2">
        <f t="shared" si="58"/>
        <v>0</v>
      </c>
      <c r="BE100"/>
      <c r="BF100"/>
    </row>
    <row r="101" spans="1:58" ht="15" customHeight="1">
      <c r="A101" s="170"/>
      <c r="B101" s="154"/>
      <c r="C101" s="79">
        <v>88</v>
      </c>
      <c r="D101" s="5" t="s">
        <v>276</v>
      </c>
      <c r="E101" s="171" t="s">
        <v>277</v>
      </c>
      <c r="F101" s="54" t="s">
        <v>101</v>
      </c>
      <c r="G101" s="68">
        <v>0.05</v>
      </c>
      <c r="H101" s="69">
        <f t="shared" si="43"/>
        <v>0</v>
      </c>
      <c r="I101" s="70">
        <f t="shared" si="37"/>
        <v>0.05</v>
      </c>
      <c r="J101" s="71">
        <f t="shared" si="37"/>
        <v>0</v>
      </c>
      <c r="K101" s="72">
        <v>0.05</v>
      </c>
      <c r="L101" s="73">
        <f t="shared" si="44"/>
        <v>0</v>
      </c>
      <c r="M101" s="73"/>
      <c r="N101" s="73">
        <f t="shared" si="59"/>
        <v>0</v>
      </c>
      <c r="O101" s="73"/>
      <c r="P101" s="73">
        <f t="shared" si="59"/>
        <v>0</v>
      </c>
      <c r="Q101" s="80"/>
      <c r="R101" s="80">
        <f t="shared" si="60"/>
        <v>0</v>
      </c>
      <c r="S101" s="80"/>
      <c r="T101" s="80">
        <f t="shared" si="60"/>
        <v>0</v>
      </c>
      <c r="U101" s="80"/>
      <c r="V101" s="80">
        <f t="shared" si="61"/>
        <v>0</v>
      </c>
      <c r="W101" s="80"/>
      <c r="X101" s="80">
        <f t="shared" si="61"/>
        <v>0</v>
      </c>
      <c r="Y101" s="80"/>
      <c r="Z101" s="80">
        <f t="shared" si="48"/>
        <v>0</v>
      </c>
      <c r="AA101" s="80"/>
      <c r="AB101" s="80">
        <f t="shared" si="49"/>
        <v>0</v>
      </c>
      <c r="AC101" s="80"/>
      <c r="AD101" s="80">
        <f t="shared" si="50"/>
        <v>0</v>
      </c>
      <c r="AE101" s="80"/>
      <c r="AF101" s="80">
        <f t="shared" si="51"/>
        <v>0</v>
      </c>
      <c r="AG101" s="74">
        <f t="shared" si="40"/>
        <v>0.05</v>
      </c>
      <c r="AH101" s="209">
        <f t="shared" si="41"/>
        <v>0</v>
      </c>
      <c r="AI101" s="81"/>
      <c r="AJ101" s="80">
        <f t="shared" si="52"/>
        <v>0</v>
      </c>
      <c r="AK101" s="80"/>
      <c r="AL101" s="80">
        <f t="shared" si="53"/>
        <v>0</v>
      </c>
      <c r="AM101" s="80"/>
      <c r="AN101" s="80">
        <f t="shared" si="54"/>
        <v>0</v>
      </c>
      <c r="AO101" s="73"/>
      <c r="AP101" s="73">
        <f t="shared" si="55"/>
        <v>0</v>
      </c>
      <c r="AQ101" s="73"/>
      <c r="AR101" s="73">
        <f t="shared" si="56"/>
        <v>0</v>
      </c>
      <c r="AS101" s="74">
        <f t="shared" si="42"/>
        <v>0</v>
      </c>
      <c r="AT101" s="75">
        <f t="shared" si="42"/>
        <v>0</v>
      </c>
      <c r="AU101" s="72"/>
      <c r="AV101" s="73"/>
      <c r="AW101" s="74">
        <f t="shared" si="57"/>
        <v>0</v>
      </c>
      <c r="AX101" s="76">
        <f t="shared" si="57"/>
        <v>0</v>
      </c>
      <c r="AY101" s="77">
        <f t="shared" si="38"/>
        <v>0.1</v>
      </c>
      <c r="AZ101" s="78">
        <f t="shared" si="39"/>
        <v>0</v>
      </c>
      <c r="BA101" s="2" t="s">
        <v>91</v>
      </c>
      <c r="BB101" s="2">
        <f t="shared" si="58"/>
        <v>0</v>
      </c>
      <c r="BE101"/>
      <c r="BF101"/>
    </row>
    <row r="102" spans="1:58" ht="15" customHeight="1">
      <c r="A102" s="170"/>
      <c r="B102" s="154"/>
      <c r="C102" s="66">
        <v>89</v>
      </c>
      <c r="D102" s="172" t="s">
        <v>278</v>
      </c>
      <c r="E102" s="172" t="s">
        <v>279</v>
      </c>
      <c r="F102" s="67" t="s">
        <v>101</v>
      </c>
      <c r="G102" s="68">
        <v>0.05</v>
      </c>
      <c r="H102" s="69">
        <f t="shared" si="43"/>
        <v>0</v>
      </c>
      <c r="I102" s="70">
        <f t="shared" si="37"/>
        <v>0.05</v>
      </c>
      <c r="J102" s="71">
        <f t="shared" si="37"/>
        <v>0</v>
      </c>
      <c r="K102" s="72">
        <v>0.05</v>
      </c>
      <c r="L102" s="73">
        <f t="shared" si="44"/>
        <v>0</v>
      </c>
      <c r="M102" s="73"/>
      <c r="N102" s="73">
        <f t="shared" si="59"/>
        <v>0</v>
      </c>
      <c r="O102" s="73"/>
      <c r="P102" s="73">
        <f t="shared" si="59"/>
        <v>0</v>
      </c>
      <c r="Q102" s="80"/>
      <c r="R102" s="80">
        <f t="shared" si="60"/>
        <v>0</v>
      </c>
      <c r="S102" s="80"/>
      <c r="T102" s="80">
        <f t="shared" si="60"/>
        <v>0</v>
      </c>
      <c r="U102" s="80"/>
      <c r="V102" s="80">
        <f t="shared" si="61"/>
        <v>0</v>
      </c>
      <c r="W102" s="80"/>
      <c r="X102" s="80">
        <f t="shared" si="61"/>
        <v>0</v>
      </c>
      <c r="Y102" s="80"/>
      <c r="Z102" s="80">
        <f t="shared" si="48"/>
        <v>0</v>
      </c>
      <c r="AA102" s="80"/>
      <c r="AB102" s="80">
        <f t="shared" si="49"/>
        <v>0</v>
      </c>
      <c r="AC102" s="80"/>
      <c r="AD102" s="80">
        <f t="shared" si="50"/>
        <v>0</v>
      </c>
      <c r="AE102" s="80"/>
      <c r="AF102" s="80">
        <f t="shared" si="51"/>
        <v>0</v>
      </c>
      <c r="AG102" s="74">
        <f t="shared" si="40"/>
        <v>0.05</v>
      </c>
      <c r="AH102" s="209">
        <f t="shared" si="41"/>
        <v>0</v>
      </c>
      <c r="AI102" s="81"/>
      <c r="AJ102" s="80">
        <f t="shared" si="52"/>
        <v>0</v>
      </c>
      <c r="AK102" s="80"/>
      <c r="AL102" s="80">
        <f t="shared" si="53"/>
        <v>0</v>
      </c>
      <c r="AM102" s="80"/>
      <c r="AN102" s="80">
        <f t="shared" si="54"/>
        <v>0</v>
      </c>
      <c r="AO102" s="73"/>
      <c r="AP102" s="73">
        <f t="shared" si="55"/>
        <v>0</v>
      </c>
      <c r="AQ102" s="73"/>
      <c r="AR102" s="73">
        <f t="shared" si="56"/>
        <v>0</v>
      </c>
      <c r="AS102" s="74">
        <f t="shared" si="42"/>
        <v>0</v>
      </c>
      <c r="AT102" s="75">
        <f t="shared" si="42"/>
        <v>0</v>
      </c>
      <c r="AU102" s="72"/>
      <c r="AV102" s="73"/>
      <c r="AW102" s="74">
        <f t="shared" si="57"/>
        <v>0</v>
      </c>
      <c r="AX102" s="76">
        <f t="shared" si="57"/>
        <v>0</v>
      </c>
      <c r="AY102" s="77">
        <f t="shared" si="38"/>
        <v>0.1</v>
      </c>
      <c r="AZ102" s="78">
        <f t="shared" si="39"/>
        <v>0</v>
      </c>
      <c r="BA102" s="2" t="s">
        <v>91</v>
      </c>
      <c r="BB102" s="2">
        <f t="shared" si="58"/>
        <v>0</v>
      </c>
      <c r="BE102"/>
      <c r="BF102"/>
    </row>
    <row r="103" spans="1:58" ht="15" customHeight="1">
      <c r="A103" s="170"/>
      <c r="B103" s="154"/>
      <c r="C103" s="79">
        <v>90</v>
      </c>
      <c r="D103" s="5" t="s">
        <v>280</v>
      </c>
      <c r="E103" s="171" t="s">
        <v>281</v>
      </c>
      <c r="F103" s="67" t="s">
        <v>101</v>
      </c>
      <c r="G103" s="68">
        <v>0.05</v>
      </c>
      <c r="H103" s="69">
        <f t="shared" si="43"/>
        <v>0</v>
      </c>
      <c r="I103" s="70">
        <f t="shared" si="37"/>
        <v>0.05</v>
      </c>
      <c r="J103" s="71">
        <f t="shared" si="37"/>
        <v>0</v>
      </c>
      <c r="K103" s="72">
        <v>0.04</v>
      </c>
      <c r="L103" s="73">
        <f t="shared" si="44"/>
        <v>0</v>
      </c>
      <c r="M103" s="73"/>
      <c r="N103" s="73">
        <f t="shared" si="59"/>
        <v>0</v>
      </c>
      <c r="O103" s="73"/>
      <c r="P103" s="73">
        <f t="shared" si="59"/>
        <v>0</v>
      </c>
      <c r="Q103" s="80"/>
      <c r="R103" s="80">
        <f t="shared" si="60"/>
        <v>0</v>
      </c>
      <c r="S103" s="80"/>
      <c r="T103" s="80">
        <f t="shared" si="60"/>
        <v>0</v>
      </c>
      <c r="U103" s="80"/>
      <c r="V103" s="80">
        <f t="shared" si="61"/>
        <v>0</v>
      </c>
      <c r="W103" s="80"/>
      <c r="X103" s="80">
        <f t="shared" si="61"/>
        <v>0</v>
      </c>
      <c r="Y103" s="80"/>
      <c r="Z103" s="80">
        <f t="shared" si="48"/>
        <v>0</v>
      </c>
      <c r="AA103" s="80"/>
      <c r="AB103" s="80">
        <f t="shared" si="49"/>
        <v>0</v>
      </c>
      <c r="AC103" s="80"/>
      <c r="AD103" s="80">
        <f t="shared" si="50"/>
        <v>0</v>
      </c>
      <c r="AE103" s="80"/>
      <c r="AF103" s="80">
        <f t="shared" si="51"/>
        <v>0</v>
      </c>
      <c r="AG103" s="74">
        <f t="shared" si="40"/>
        <v>0.04</v>
      </c>
      <c r="AH103" s="209">
        <f t="shared" si="41"/>
        <v>0</v>
      </c>
      <c r="AI103" s="81"/>
      <c r="AJ103" s="80">
        <f t="shared" si="52"/>
        <v>0</v>
      </c>
      <c r="AK103" s="80"/>
      <c r="AL103" s="80">
        <f t="shared" si="53"/>
        <v>0</v>
      </c>
      <c r="AM103" s="80"/>
      <c r="AN103" s="80">
        <f t="shared" si="54"/>
        <v>0</v>
      </c>
      <c r="AO103" s="73"/>
      <c r="AP103" s="73">
        <f t="shared" si="55"/>
        <v>0</v>
      </c>
      <c r="AQ103" s="73"/>
      <c r="AR103" s="73">
        <f t="shared" si="56"/>
        <v>0</v>
      </c>
      <c r="AS103" s="74">
        <f t="shared" si="42"/>
        <v>0</v>
      </c>
      <c r="AT103" s="75">
        <f t="shared" si="42"/>
        <v>0</v>
      </c>
      <c r="AU103" s="72"/>
      <c r="AV103" s="73"/>
      <c r="AW103" s="74">
        <f t="shared" si="57"/>
        <v>0</v>
      </c>
      <c r="AX103" s="76">
        <f t="shared" si="57"/>
        <v>0</v>
      </c>
      <c r="AY103" s="77">
        <f t="shared" si="38"/>
        <v>0.09</v>
      </c>
      <c r="AZ103" s="78">
        <f t="shared" si="39"/>
        <v>0</v>
      </c>
      <c r="BA103" s="2" t="s">
        <v>91</v>
      </c>
      <c r="BB103" s="2">
        <f t="shared" si="58"/>
        <v>0</v>
      </c>
      <c r="BE103"/>
      <c r="BF103"/>
    </row>
    <row r="104" spans="1:58" ht="15" customHeight="1">
      <c r="A104" s="170"/>
      <c r="B104" s="154"/>
      <c r="C104" s="52">
        <v>91</v>
      </c>
      <c r="D104" s="172" t="s">
        <v>282</v>
      </c>
      <c r="E104" s="172" t="s">
        <v>283</v>
      </c>
      <c r="F104" s="67" t="s">
        <v>101</v>
      </c>
      <c r="G104" s="68"/>
      <c r="H104" s="69">
        <f t="shared" si="43"/>
        <v>0</v>
      </c>
      <c r="I104" s="70">
        <f t="shared" si="37"/>
        <v>0</v>
      </c>
      <c r="J104" s="71">
        <f t="shared" si="37"/>
        <v>0</v>
      </c>
      <c r="K104" s="72"/>
      <c r="L104" s="73">
        <f t="shared" si="44"/>
        <v>0</v>
      </c>
      <c r="M104" s="73"/>
      <c r="N104" s="73">
        <f t="shared" si="59"/>
        <v>0</v>
      </c>
      <c r="O104" s="73"/>
      <c r="P104" s="73">
        <f t="shared" si="59"/>
        <v>0</v>
      </c>
      <c r="Q104" s="80"/>
      <c r="R104" s="80">
        <f t="shared" si="60"/>
        <v>0</v>
      </c>
      <c r="S104" s="80"/>
      <c r="T104" s="80">
        <f t="shared" si="60"/>
        <v>0</v>
      </c>
      <c r="U104" s="80"/>
      <c r="V104" s="80">
        <f t="shared" si="61"/>
        <v>0</v>
      </c>
      <c r="W104" s="80">
        <v>0.1</v>
      </c>
      <c r="X104" s="80">
        <f t="shared" si="61"/>
        <v>0</v>
      </c>
      <c r="Y104" s="80"/>
      <c r="Z104" s="80">
        <f t="shared" si="48"/>
        <v>0</v>
      </c>
      <c r="AA104" s="80"/>
      <c r="AB104" s="80">
        <f t="shared" si="49"/>
        <v>0</v>
      </c>
      <c r="AC104" s="80"/>
      <c r="AD104" s="80">
        <f t="shared" si="50"/>
        <v>0</v>
      </c>
      <c r="AE104" s="80"/>
      <c r="AF104" s="80">
        <f t="shared" si="51"/>
        <v>0</v>
      </c>
      <c r="AG104" s="74">
        <f t="shared" si="40"/>
        <v>0.1</v>
      </c>
      <c r="AH104" s="209">
        <f t="shared" si="41"/>
        <v>0</v>
      </c>
      <c r="AI104" s="81"/>
      <c r="AJ104" s="80">
        <f t="shared" si="52"/>
        <v>0</v>
      </c>
      <c r="AK104" s="80"/>
      <c r="AL104" s="80">
        <f t="shared" si="53"/>
        <v>0</v>
      </c>
      <c r="AM104" s="80"/>
      <c r="AN104" s="80">
        <f t="shared" si="54"/>
        <v>0</v>
      </c>
      <c r="AO104" s="73"/>
      <c r="AP104" s="73">
        <f t="shared" si="55"/>
        <v>0</v>
      </c>
      <c r="AQ104" s="73"/>
      <c r="AR104" s="73">
        <f t="shared" si="56"/>
        <v>0</v>
      </c>
      <c r="AS104" s="74">
        <f t="shared" si="42"/>
        <v>0</v>
      </c>
      <c r="AT104" s="75">
        <f t="shared" si="42"/>
        <v>0</v>
      </c>
      <c r="AU104" s="72"/>
      <c r="AV104" s="73"/>
      <c r="AW104" s="74">
        <f t="shared" si="57"/>
        <v>0</v>
      </c>
      <c r="AX104" s="76">
        <f t="shared" si="57"/>
        <v>0</v>
      </c>
      <c r="AY104" s="77">
        <f t="shared" si="38"/>
        <v>0.1</v>
      </c>
      <c r="AZ104" s="78">
        <f t="shared" si="39"/>
        <v>0</v>
      </c>
      <c r="BA104" s="2" t="s">
        <v>91</v>
      </c>
      <c r="BB104" s="2">
        <f t="shared" si="58"/>
        <v>0</v>
      </c>
      <c r="BE104"/>
      <c r="BF104"/>
    </row>
    <row r="105" spans="1:58" ht="15" customHeight="1">
      <c r="A105" s="170"/>
      <c r="B105" s="87" t="s">
        <v>284</v>
      </c>
      <c r="C105" s="66">
        <v>92</v>
      </c>
      <c r="D105" s="172" t="s">
        <v>285</v>
      </c>
      <c r="E105" s="172" t="s">
        <v>286</v>
      </c>
      <c r="F105" s="67" t="s">
        <v>90</v>
      </c>
      <c r="G105" s="68">
        <v>0.02</v>
      </c>
      <c r="H105" s="69">
        <f t="shared" si="43"/>
        <v>0</v>
      </c>
      <c r="I105" s="70">
        <f t="shared" si="37"/>
        <v>0.02</v>
      </c>
      <c r="J105" s="71">
        <f t="shared" si="37"/>
        <v>0</v>
      </c>
      <c r="K105" s="72">
        <v>0.01</v>
      </c>
      <c r="L105" s="73">
        <f t="shared" si="44"/>
        <v>0</v>
      </c>
      <c r="M105" s="73"/>
      <c r="N105" s="73">
        <f t="shared" si="59"/>
        <v>0</v>
      </c>
      <c r="O105" s="73"/>
      <c r="P105" s="73">
        <f t="shared" si="59"/>
        <v>0</v>
      </c>
      <c r="Q105" s="80"/>
      <c r="R105" s="80">
        <f t="shared" si="60"/>
        <v>0</v>
      </c>
      <c r="S105" s="80"/>
      <c r="T105" s="80">
        <f t="shared" si="60"/>
        <v>0</v>
      </c>
      <c r="U105" s="80"/>
      <c r="V105" s="80">
        <f t="shared" si="61"/>
        <v>0</v>
      </c>
      <c r="W105" s="80"/>
      <c r="X105" s="80">
        <f t="shared" si="61"/>
        <v>0</v>
      </c>
      <c r="Y105" s="80"/>
      <c r="Z105" s="80">
        <f t="shared" si="48"/>
        <v>0</v>
      </c>
      <c r="AA105" s="80"/>
      <c r="AB105" s="80">
        <f t="shared" si="49"/>
        <v>0</v>
      </c>
      <c r="AC105" s="80"/>
      <c r="AD105" s="80">
        <f t="shared" si="50"/>
        <v>0</v>
      </c>
      <c r="AE105" s="80"/>
      <c r="AF105" s="80">
        <f t="shared" si="51"/>
        <v>0</v>
      </c>
      <c r="AG105" s="74">
        <f t="shared" si="40"/>
        <v>0.01</v>
      </c>
      <c r="AH105" s="209">
        <f t="shared" si="41"/>
        <v>0</v>
      </c>
      <c r="AI105" s="81"/>
      <c r="AJ105" s="80">
        <f t="shared" si="52"/>
        <v>0</v>
      </c>
      <c r="AK105" s="80"/>
      <c r="AL105" s="80">
        <f t="shared" si="53"/>
        <v>0</v>
      </c>
      <c r="AM105" s="80"/>
      <c r="AN105" s="80">
        <f t="shared" si="54"/>
        <v>0</v>
      </c>
      <c r="AO105" s="73"/>
      <c r="AP105" s="73">
        <f t="shared" si="55"/>
        <v>0</v>
      </c>
      <c r="AQ105" s="73"/>
      <c r="AR105" s="73">
        <f t="shared" si="56"/>
        <v>0</v>
      </c>
      <c r="AS105" s="74">
        <f t="shared" si="42"/>
        <v>0</v>
      </c>
      <c r="AT105" s="75">
        <f t="shared" si="42"/>
        <v>0</v>
      </c>
      <c r="AU105" s="72"/>
      <c r="AV105" s="73"/>
      <c r="AW105" s="74">
        <f t="shared" si="57"/>
        <v>0</v>
      </c>
      <c r="AX105" s="76">
        <f t="shared" si="57"/>
        <v>0</v>
      </c>
      <c r="AY105" s="77">
        <f t="shared" si="38"/>
        <v>0.03</v>
      </c>
      <c r="AZ105" s="78">
        <f t="shared" si="39"/>
        <v>0</v>
      </c>
      <c r="BA105" s="2" t="s">
        <v>91</v>
      </c>
      <c r="BB105" s="2">
        <f t="shared" si="58"/>
        <v>0</v>
      </c>
      <c r="BE105"/>
      <c r="BF105"/>
    </row>
    <row r="106" spans="1:58" ht="15" customHeight="1">
      <c r="A106" s="170"/>
      <c r="B106" s="154"/>
      <c r="C106" s="79">
        <v>93</v>
      </c>
      <c r="D106" s="5" t="s">
        <v>287</v>
      </c>
      <c r="E106" s="172" t="s">
        <v>288</v>
      </c>
      <c r="F106" s="67" t="s">
        <v>90</v>
      </c>
      <c r="G106" s="68"/>
      <c r="H106" s="69">
        <f t="shared" si="43"/>
        <v>0</v>
      </c>
      <c r="I106" s="70">
        <f t="shared" si="37"/>
        <v>0</v>
      </c>
      <c r="J106" s="71">
        <f t="shared" si="37"/>
        <v>0</v>
      </c>
      <c r="K106" s="72">
        <v>0.01</v>
      </c>
      <c r="L106" s="73">
        <f t="shared" si="44"/>
        <v>0</v>
      </c>
      <c r="M106" s="73"/>
      <c r="N106" s="73">
        <f t="shared" si="59"/>
        <v>0</v>
      </c>
      <c r="O106" s="73"/>
      <c r="P106" s="73">
        <f t="shared" si="59"/>
        <v>0</v>
      </c>
      <c r="Q106" s="80"/>
      <c r="R106" s="80">
        <f t="shared" si="60"/>
        <v>0</v>
      </c>
      <c r="S106" s="80"/>
      <c r="T106" s="80">
        <f t="shared" si="60"/>
        <v>0</v>
      </c>
      <c r="U106" s="80"/>
      <c r="V106" s="80">
        <f t="shared" si="61"/>
        <v>0</v>
      </c>
      <c r="W106" s="80"/>
      <c r="X106" s="80">
        <f t="shared" si="61"/>
        <v>0</v>
      </c>
      <c r="Y106" s="80"/>
      <c r="Z106" s="80">
        <f t="shared" si="48"/>
        <v>0</v>
      </c>
      <c r="AA106" s="80"/>
      <c r="AB106" s="80">
        <f t="shared" si="49"/>
        <v>0</v>
      </c>
      <c r="AC106" s="80"/>
      <c r="AD106" s="80">
        <f t="shared" si="50"/>
        <v>0</v>
      </c>
      <c r="AE106" s="80"/>
      <c r="AF106" s="80">
        <f t="shared" si="51"/>
        <v>0</v>
      </c>
      <c r="AG106" s="74">
        <f t="shared" si="40"/>
        <v>0.01</v>
      </c>
      <c r="AH106" s="209">
        <f t="shared" si="41"/>
        <v>0</v>
      </c>
      <c r="AI106" s="81"/>
      <c r="AJ106" s="80">
        <f t="shared" si="52"/>
        <v>0</v>
      </c>
      <c r="AK106" s="80"/>
      <c r="AL106" s="80">
        <f t="shared" si="53"/>
        <v>0</v>
      </c>
      <c r="AM106" s="80"/>
      <c r="AN106" s="80">
        <f t="shared" si="54"/>
        <v>0</v>
      </c>
      <c r="AO106" s="73"/>
      <c r="AP106" s="73">
        <f t="shared" si="55"/>
        <v>0</v>
      </c>
      <c r="AQ106" s="73"/>
      <c r="AR106" s="73">
        <f t="shared" si="56"/>
        <v>0</v>
      </c>
      <c r="AS106" s="74">
        <f t="shared" si="42"/>
        <v>0</v>
      </c>
      <c r="AT106" s="75">
        <f t="shared" si="42"/>
        <v>0</v>
      </c>
      <c r="AU106" s="72"/>
      <c r="AV106" s="73"/>
      <c r="AW106" s="74">
        <f t="shared" si="57"/>
        <v>0</v>
      </c>
      <c r="AX106" s="76">
        <f t="shared" si="57"/>
        <v>0</v>
      </c>
      <c r="AY106" s="77">
        <f t="shared" si="38"/>
        <v>0.01</v>
      </c>
      <c r="AZ106" s="78">
        <f t="shared" si="39"/>
        <v>0</v>
      </c>
      <c r="BA106" s="2" t="s">
        <v>91</v>
      </c>
      <c r="BB106" s="2">
        <f t="shared" si="58"/>
        <v>0</v>
      </c>
      <c r="BE106"/>
      <c r="BF106"/>
    </row>
    <row r="107" spans="1:58" ht="15" customHeight="1">
      <c r="A107" s="170"/>
      <c r="B107" s="154"/>
      <c r="C107" s="79">
        <v>94</v>
      </c>
      <c r="D107" s="172" t="s">
        <v>289</v>
      </c>
      <c r="E107" s="53" t="s">
        <v>290</v>
      </c>
      <c r="F107" s="67" t="s">
        <v>90</v>
      </c>
      <c r="G107" s="68"/>
      <c r="H107" s="69">
        <f t="shared" si="43"/>
        <v>0</v>
      </c>
      <c r="I107" s="70">
        <f t="shared" si="37"/>
        <v>0</v>
      </c>
      <c r="J107" s="71">
        <f t="shared" si="37"/>
        <v>0</v>
      </c>
      <c r="K107" s="72">
        <v>0.01</v>
      </c>
      <c r="L107" s="73">
        <f t="shared" si="44"/>
        <v>0</v>
      </c>
      <c r="M107" s="73"/>
      <c r="N107" s="73">
        <f t="shared" si="59"/>
        <v>0</v>
      </c>
      <c r="O107" s="73"/>
      <c r="P107" s="73">
        <f t="shared" si="59"/>
        <v>0</v>
      </c>
      <c r="Q107" s="80"/>
      <c r="R107" s="80">
        <f t="shared" si="60"/>
        <v>0</v>
      </c>
      <c r="S107" s="80"/>
      <c r="T107" s="80">
        <f t="shared" si="60"/>
        <v>0</v>
      </c>
      <c r="U107" s="80"/>
      <c r="V107" s="80">
        <f t="shared" si="61"/>
        <v>0</v>
      </c>
      <c r="W107" s="80"/>
      <c r="X107" s="80">
        <f t="shared" si="61"/>
        <v>0</v>
      </c>
      <c r="Y107" s="80"/>
      <c r="Z107" s="80">
        <f t="shared" si="48"/>
        <v>0</v>
      </c>
      <c r="AA107" s="80"/>
      <c r="AB107" s="80">
        <f t="shared" si="49"/>
        <v>0</v>
      </c>
      <c r="AC107" s="80"/>
      <c r="AD107" s="80">
        <f t="shared" si="50"/>
        <v>0</v>
      </c>
      <c r="AE107" s="80"/>
      <c r="AF107" s="80">
        <f t="shared" si="51"/>
        <v>0</v>
      </c>
      <c r="AG107" s="74">
        <f t="shared" si="40"/>
        <v>0.01</v>
      </c>
      <c r="AH107" s="209">
        <f t="shared" si="41"/>
        <v>0</v>
      </c>
      <c r="AI107" s="81"/>
      <c r="AJ107" s="80">
        <f t="shared" si="52"/>
        <v>0</v>
      </c>
      <c r="AK107" s="80"/>
      <c r="AL107" s="80">
        <f t="shared" si="53"/>
        <v>0</v>
      </c>
      <c r="AM107" s="80"/>
      <c r="AN107" s="80">
        <f t="shared" si="54"/>
        <v>0</v>
      </c>
      <c r="AO107" s="73"/>
      <c r="AP107" s="73">
        <f t="shared" si="55"/>
        <v>0</v>
      </c>
      <c r="AQ107" s="73"/>
      <c r="AR107" s="73">
        <f t="shared" si="56"/>
        <v>0</v>
      </c>
      <c r="AS107" s="74">
        <f t="shared" si="42"/>
        <v>0</v>
      </c>
      <c r="AT107" s="75">
        <f t="shared" si="42"/>
        <v>0</v>
      </c>
      <c r="AU107" s="72"/>
      <c r="AV107" s="73"/>
      <c r="AW107" s="74">
        <f t="shared" si="57"/>
        <v>0</v>
      </c>
      <c r="AX107" s="76">
        <f t="shared" si="57"/>
        <v>0</v>
      </c>
      <c r="AY107" s="77">
        <f t="shared" si="38"/>
        <v>0.01</v>
      </c>
      <c r="AZ107" s="78">
        <f t="shared" si="39"/>
        <v>0</v>
      </c>
      <c r="BA107" s="2" t="s">
        <v>91</v>
      </c>
      <c r="BB107" s="2">
        <f t="shared" si="58"/>
        <v>0</v>
      </c>
      <c r="BE107"/>
      <c r="BF107"/>
    </row>
    <row r="108" spans="1:58" ht="15" customHeight="1">
      <c r="A108" s="170"/>
      <c r="B108" s="154"/>
      <c r="C108" s="66">
        <v>95</v>
      </c>
      <c r="D108" s="176" t="s">
        <v>291</v>
      </c>
      <c r="E108" s="171" t="s">
        <v>292</v>
      </c>
      <c r="F108" s="67" t="s">
        <v>90</v>
      </c>
      <c r="G108" s="68"/>
      <c r="H108" s="69">
        <f t="shared" si="43"/>
        <v>0</v>
      </c>
      <c r="I108" s="70">
        <f t="shared" si="37"/>
        <v>0</v>
      </c>
      <c r="J108" s="71">
        <f t="shared" si="37"/>
        <v>0</v>
      </c>
      <c r="K108" s="72">
        <v>0.01</v>
      </c>
      <c r="L108" s="73">
        <f t="shared" si="44"/>
        <v>0</v>
      </c>
      <c r="M108" s="73"/>
      <c r="N108" s="73">
        <f t="shared" si="59"/>
        <v>0</v>
      </c>
      <c r="O108" s="73"/>
      <c r="P108" s="73">
        <f t="shared" si="59"/>
        <v>0</v>
      </c>
      <c r="Q108" s="80"/>
      <c r="R108" s="80">
        <f t="shared" si="60"/>
        <v>0</v>
      </c>
      <c r="S108" s="80"/>
      <c r="T108" s="80">
        <f t="shared" si="60"/>
        <v>0</v>
      </c>
      <c r="U108" s="80"/>
      <c r="V108" s="80">
        <f t="shared" si="61"/>
        <v>0</v>
      </c>
      <c r="W108" s="80"/>
      <c r="X108" s="80">
        <f t="shared" si="61"/>
        <v>0</v>
      </c>
      <c r="Y108" s="80"/>
      <c r="Z108" s="80">
        <f t="shared" si="48"/>
        <v>0</v>
      </c>
      <c r="AA108" s="80"/>
      <c r="AB108" s="80">
        <f t="shared" si="49"/>
        <v>0</v>
      </c>
      <c r="AC108" s="80"/>
      <c r="AD108" s="80">
        <f t="shared" si="50"/>
        <v>0</v>
      </c>
      <c r="AE108" s="80"/>
      <c r="AF108" s="80">
        <f t="shared" si="51"/>
        <v>0</v>
      </c>
      <c r="AG108" s="74">
        <f t="shared" si="40"/>
        <v>0.01</v>
      </c>
      <c r="AH108" s="209">
        <f t="shared" si="41"/>
        <v>0</v>
      </c>
      <c r="AI108" s="81"/>
      <c r="AJ108" s="80">
        <f t="shared" si="52"/>
        <v>0</v>
      </c>
      <c r="AK108" s="80"/>
      <c r="AL108" s="80">
        <f t="shared" si="53"/>
        <v>0</v>
      </c>
      <c r="AM108" s="80"/>
      <c r="AN108" s="80">
        <f t="shared" si="54"/>
        <v>0</v>
      </c>
      <c r="AO108" s="73"/>
      <c r="AP108" s="73">
        <f t="shared" si="55"/>
        <v>0</v>
      </c>
      <c r="AQ108" s="73"/>
      <c r="AR108" s="73">
        <f t="shared" si="56"/>
        <v>0</v>
      </c>
      <c r="AS108" s="74">
        <f t="shared" si="42"/>
        <v>0</v>
      </c>
      <c r="AT108" s="75">
        <f t="shared" si="42"/>
        <v>0</v>
      </c>
      <c r="AU108" s="72"/>
      <c r="AV108" s="73"/>
      <c r="AW108" s="74">
        <f t="shared" si="57"/>
        <v>0</v>
      </c>
      <c r="AX108" s="76">
        <f t="shared" si="57"/>
        <v>0</v>
      </c>
      <c r="AY108" s="77">
        <f t="shared" si="38"/>
        <v>0.01</v>
      </c>
      <c r="AZ108" s="78">
        <f t="shared" si="39"/>
        <v>0</v>
      </c>
      <c r="BA108" s="2" t="s">
        <v>91</v>
      </c>
      <c r="BB108" s="2">
        <f t="shared" si="58"/>
        <v>0</v>
      </c>
      <c r="BE108"/>
      <c r="BF108"/>
    </row>
    <row r="109" spans="1:58" ht="15" customHeight="1">
      <c r="A109" s="170"/>
      <c r="B109" s="154"/>
      <c r="C109" s="79">
        <v>96</v>
      </c>
      <c r="D109" s="5" t="s">
        <v>293</v>
      </c>
      <c r="E109" s="172" t="s">
        <v>294</v>
      </c>
      <c r="F109" s="67" t="s">
        <v>90</v>
      </c>
      <c r="G109" s="68"/>
      <c r="H109" s="69">
        <f t="shared" si="43"/>
        <v>0</v>
      </c>
      <c r="I109" s="70">
        <f t="shared" si="37"/>
        <v>0</v>
      </c>
      <c r="J109" s="71">
        <f t="shared" si="37"/>
        <v>0</v>
      </c>
      <c r="K109" s="72">
        <v>0.01</v>
      </c>
      <c r="L109" s="73">
        <f t="shared" si="44"/>
        <v>0</v>
      </c>
      <c r="M109" s="73"/>
      <c r="N109" s="73">
        <f t="shared" si="59"/>
        <v>0</v>
      </c>
      <c r="O109" s="73"/>
      <c r="P109" s="73">
        <f t="shared" si="59"/>
        <v>0</v>
      </c>
      <c r="Q109" s="80"/>
      <c r="R109" s="80">
        <f t="shared" si="60"/>
        <v>0</v>
      </c>
      <c r="S109" s="80"/>
      <c r="T109" s="80">
        <f t="shared" si="60"/>
        <v>0</v>
      </c>
      <c r="U109" s="80"/>
      <c r="V109" s="80">
        <f t="shared" si="61"/>
        <v>0</v>
      </c>
      <c r="W109" s="80"/>
      <c r="X109" s="80">
        <f t="shared" si="61"/>
        <v>0</v>
      </c>
      <c r="Y109" s="80"/>
      <c r="Z109" s="80">
        <f t="shared" si="48"/>
        <v>0</v>
      </c>
      <c r="AA109" s="80"/>
      <c r="AB109" s="80">
        <f t="shared" si="49"/>
        <v>0</v>
      </c>
      <c r="AC109" s="80"/>
      <c r="AD109" s="80">
        <f t="shared" si="50"/>
        <v>0</v>
      </c>
      <c r="AE109" s="80"/>
      <c r="AF109" s="80">
        <f t="shared" si="51"/>
        <v>0</v>
      </c>
      <c r="AG109" s="74">
        <f t="shared" si="40"/>
        <v>0.01</v>
      </c>
      <c r="AH109" s="209">
        <f t="shared" si="41"/>
        <v>0</v>
      </c>
      <c r="AI109" s="81"/>
      <c r="AJ109" s="80">
        <f t="shared" si="52"/>
        <v>0</v>
      </c>
      <c r="AK109" s="80"/>
      <c r="AL109" s="80">
        <f t="shared" si="53"/>
        <v>0</v>
      </c>
      <c r="AM109" s="80"/>
      <c r="AN109" s="80">
        <f t="shared" si="54"/>
        <v>0</v>
      </c>
      <c r="AO109" s="73"/>
      <c r="AP109" s="73">
        <f t="shared" si="55"/>
        <v>0</v>
      </c>
      <c r="AQ109" s="73"/>
      <c r="AR109" s="73">
        <f t="shared" si="56"/>
        <v>0</v>
      </c>
      <c r="AS109" s="74">
        <f t="shared" si="42"/>
        <v>0</v>
      </c>
      <c r="AT109" s="75">
        <f t="shared" si="42"/>
        <v>0</v>
      </c>
      <c r="AU109" s="72"/>
      <c r="AV109" s="73"/>
      <c r="AW109" s="74">
        <f t="shared" si="57"/>
        <v>0</v>
      </c>
      <c r="AX109" s="76">
        <f t="shared" si="57"/>
        <v>0</v>
      </c>
      <c r="AY109" s="77">
        <f t="shared" ref="AY109:AY115" si="62">I109+AG109+AS109+AW109</f>
        <v>0.01</v>
      </c>
      <c r="AZ109" s="78">
        <f t="shared" ref="AZ109:AZ115" si="63">J109+AH109+AT109+AX109</f>
        <v>0</v>
      </c>
      <c r="BA109" s="2" t="s">
        <v>91</v>
      </c>
      <c r="BB109" s="2">
        <f t="shared" si="58"/>
        <v>0</v>
      </c>
      <c r="BE109"/>
      <c r="BF109"/>
    </row>
    <row r="110" spans="1:58" ht="15" customHeight="1">
      <c r="A110" s="170"/>
      <c r="B110" s="154"/>
      <c r="C110" s="79">
        <v>97</v>
      </c>
      <c r="D110" s="172" t="s">
        <v>295</v>
      </c>
      <c r="E110" s="171" t="s">
        <v>296</v>
      </c>
      <c r="F110" s="67" t="s">
        <v>90</v>
      </c>
      <c r="G110" s="68"/>
      <c r="H110" s="69">
        <f t="shared" si="43"/>
        <v>0</v>
      </c>
      <c r="I110" s="70">
        <f t="shared" si="37"/>
        <v>0</v>
      </c>
      <c r="J110" s="71">
        <f t="shared" si="37"/>
        <v>0</v>
      </c>
      <c r="K110" s="72"/>
      <c r="L110" s="73">
        <f t="shared" si="44"/>
        <v>0</v>
      </c>
      <c r="M110" s="73">
        <v>0.01</v>
      </c>
      <c r="N110" s="73">
        <f t="shared" si="59"/>
        <v>0</v>
      </c>
      <c r="O110" s="73">
        <v>0.01</v>
      </c>
      <c r="P110" s="73">
        <f t="shared" si="59"/>
        <v>0</v>
      </c>
      <c r="Q110" s="80">
        <v>0.01</v>
      </c>
      <c r="R110" s="80">
        <f t="shared" si="60"/>
        <v>0</v>
      </c>
      <c r="S110" s="80">
        <v>0.01</v>
      </c>
      <c r="T110" s="80">
        <f t="shared" si="60"/>
        <v>0</v>
      </c>
      <c r="U110" s="80">
        <v>0.01</v>
      </c>
      <c r="V110" s="80">
        <f t="shared" si="61"/>
        <v>0</v>
      </c>
      <c r="W110" s="80">
        <v>0.01</v>
      </c>
      <c r="X110" s="80">
        <f t="shared" si="61"/>
        <v>0</v>
      </c>
      <c r="Y110" s="80">
        <v>0.01</v>
      </c>
      <c r="Z110" s="80">
        <f t="shared" si="48"/>
        <v>0</v>
      </c>
      <c r="AA110" s="80"/>
      <c r="AB110" s="80">
        <f t="shared" si="49"/>
        <v>0</v>
      </c>
      <c r="AC110" s="80"/>
      <c r="AD110" s="80">
        <f t="shared" si="50"/>
        <v>0</v>
      </c>
      <c r="AE110" s="80"/>
      <c r="AF110" s="80">
        <f t="shared" si="51"/>
        <v>0</v>
      </c>
      <c r="AG110" s="74">
        <f t="shared" si="40"/>
        <v>7.0000000000000007E-2</v>
      </c>
      <c r="AH110" s="209">
        <f t="shared" si="41"/>
        <v>0</v>
      </c>
      <c r="AI110" s="81"/>
      <c r="AJ110" s="80">
        <f t="shared" si="52"/>
        <v>0</v>
      </c>
      <c r="AK110" s="80"/>
      <c r="AL110" s="80">
        <f t="shared" si="53"/>
        <v>0</v>
      </c>
      <c r="AM110" s="80"/>
      <c r="AN110" s="80">
        <f t="shared" si="54"/>
        <v>0</v>
      </c>
      <c r="AO110" s="73"/>
      <c r="AP110" s="73">
        <f t="shared" si="55"/>
        <v>0</v>
      </c>
      <c r="AQ110" s="73"/>
      <c r="AR110" s="73">
        <f t="shared" si="56"/>
        <v>0</v>
      </c>
      <c r="AS110" s="74">
        <f t="shared" si="42"/>
        <v>0</v>
      </c>
      <c r="AT110" s="75">
        <f t="shared" si="42"/>
        <v>0</v>
      </c>
      <c r="AU110" s="72"/>
      <c r="AV110" s="73"/>
      <c r="AW110" s="74">
        <f t="shared" si="57"/>
        <v>0</v>
      </c>
      <c r="AX110" s="76">
        <f t="shared" si="57"/>
        <v>0</v>
      </c>
      <c r="AY110" s="77">
        <f t="shared" si="62"/>
        <v>7.0000000000000007E-2</v>
      </c>
      <c r="AZ110" s="78">
        <f t="shared" si="63"/>
        <v>0</v>
      </c>
      <c r="BA110" s="2" t="s">
        <v>91</v>
      </c>
      <c r="BB110" s="2">
        <f t="shared" si="58"/>
        <v>0</v>
      </c>
      <c r="BE110"/>
      <c r="BF110"/>
    </row>
    <row r="111" spans="1:58" ht="15" customHeight="1">
      <c r="A111" s="170"/>
      <c r="B111" s="154"/>
      <c r="C111" s="66">
        <v>98</v>
      </c>
      <c r="D111" s="176" t="s">
        <v>297</v>
      </c>
      <c r="E111" s="172" t="s">
        <v>298</v>
      </c>
      <c r="F111" s="67" t="s">
        <v>90</v>
      </c>
      <c r="G111" s="68"/>
      <c r="H111" s="69">
        <f t="shared" si="43"/>
        <v>0</v>
      </c>
      <c r="I111" s="70">
        <f t="shared" si="37"/>
        <v>0</v>
      </c>
      <c r="J111" s="71">
        <f t="shared" si="37"/>
        <v>0</v>
      </c>
      <c r="K111" s="72">
        <v>0.01</v>
      </c>
      <c r="L111" s="73">
        <f t="shared" si="44"/>
        <v>0</v>
      </c>
      <c r="M111" s="73">
        <v>0.01</v>
      </c>
      <c r="N111" s="73">
        <f t="shared" si="59"/>
        <v>0</v>
      </c>
      <c r="O111" s="73">
        <v>0.01</v>
      </c>
      <c r="P111" s="73">
        <f t="shared" si="59"/>
        <v>0</v>
      </c>
      <c r="Q111" s="80">
        <v>0.01</v>
      </c>
      <c r="R111" s="80">
        <f t="shared" si="60"/>
        <v>0</v>
      </c>
      <c r="S111" s="80">
        <v>0.01</v>
      </c>
      <c r="T111" s="80">
        <f t="shared" si="60"/>
        <v>0</v>
      </c>
      <c r="U111" s="80">
        <v>0.1</v>
      </c>
      <c r="V111" s="80">
        <f t="shared" si="61"/>
        <v>0</v>
      </c>
      <c r="W111" s="80">
        <v>0.01</v>
      </c>
      <c r="X111" s="80">
        <f t="shared" si="61"/>
        <v>0</v>
      </c>
      <c r="Y111" s="80">
        <v>0.01</v>
      </c>
      <c r="Z111" s="80">
        <f t="shared" si="48"/>
        <v>0</v>
      </c>
      <c r="AA111" s="80"/>
      <c r="AB111" s="80">
        <f t="shared" si="49"/>
        <v>0</v>
      </c>
      <c r="AC111" s="80"/>
      <c r="AD111" s="80">
        <f t="shared" si="50"/>
        <v>0</v>
      </c>
      <c r="AE111" s="80"/>
      <c r="AF111" s="80">
        <f t="shared" si="51"/>
        <v>0</v>
      </c>
      <c r="AG111" s="74">
        <f t="shared" si="40"/>
        <v>0.17000000000000004</v>
      </c>
      <c r="AH111" s="209">
        <f t="shared" si="41"/>
        <v>0</v>
      </c>
      <c r="AI111" s="81"/>
      <c r="AJ111" s="80">
        <f t="shared" si="52"/>
        <v>0</v>
      </c>
      <c r="AK111" s="80"/>
      <c r="AL111" s="80">
        <f t="shared" si="53"/>
        <v>0</v>
      </c>
      <c r="AM111" s="80"/>
      <c r="AN111" s="80">
        <f t="shared" si="54"/>
        <v>0</v>
      </c>
      <c r="AO111" s="73"/>
      <c r="AP111" s="73">
        <f t="shared" si="55"/>
        <v>0</v>
      </c>
      <c r="AQ111" s="73"/>
      <c r="AR111" s="73">
        <f t="shared" si="56"/>
        <v>0</v>
      </c>
      <c r="AS111" s="74">
        <f t="shared" si="42"/>
        <v>0</v>
      </c>
      <c r="AT111" s="75">
        <f t="shared" si="42"/>
        <v>0</v>
      </c>
      <c r="AU111" s="72"/>
      <c r="AV111" s="73"/>
      <c r="AW111" s="74">
        <f t="shared" si="57"/>
        <v>0</v>
      </c>
      <c r="AX111" s="76">
        <f t="shared" si="57"/>
        <v>0</v>
      </c>
      <c r="AY111" s="77">
        <f t="shared" si="62"/>
        <v>0.17000000000000004</v>
      </c>
      <c r="AZ111" s="78">
        <f t="shared" si="63"/>
        <v>0</v>
      </c>
      <c r="BA111" s="2" t="s">
        <v>91</v>
      </c>
      <c r="BB111" s="2">
        <f t="shared" si="58"/>
        <v>0</v>
      </c>
      <c r="BE111"/>
      <c r="BF111"/>
    </row>
    <row r="112" spans="1:58" ht="15" customHeight="1">
      <c r="A112" s="170"/>
      <c r="B112" s="154"/>
      <c r="C112" s="79">
        <v>99</v>
      </c>
      <c r="D112" s="53" t="s">
        <v>299</v>
      </c>
      <c r="E112" s="53" t="s">
        <v>300</v>
      </c>
      <c r="F112" s="67" t="s">
        <v>90</v>
      </c>
      <c r="G112" s="68"/>
      <c r="H112" s="69">
        <f t="shared" si="43"/>
        <v>0</v>
      </c>
      <c r="I112" s="70">
        <f t="shared" si="37"/>
        <v>0</v>
      </c>
      <c r="J112" s="71">
        <f t="shared" si="37"/>
        <v>0</v>
      </c>
      <c r="K112" s="72"/>
      <c r="L112" s="73">
        <f t="shared" si="44"/>
        <v>0</v>
      </c>
      <c r="M112" s="73"/>
      <c r="N112" s="73">
        <f t="shared" si="59"/>
        <v>0</v>
      </c>
      <c r="O112" s="73"/>
      <c r="P112" s="73">
        <f t="shared" si="59"/>
        <v>0</v>
      </c>
      <c r="Q112" s="80">
        <v>0.01</v>
      </c>
      <c r="R112" s="80">
        <f t="shared" si="60"/>
        <v>0</v>
      </c>
      <c r="S112" s="80"/>
      <c r="T112" s="80">
        <f t="shared" si="60"/>
        <v>0</v>
      </c>
      <c r="U112" s="80"/>
      <c r="V112" s="80">
        <f t="shared" si="61"/>
        <v>0</v>
      </c>
      <c r="W112" s="80"/>
      <c r="X112" s="80">
        <f t="shared" si="61"/>
        <v>0</v>
      </c>
      <c r="Y112" s="80"/>
      <c r="Z112" s="80">
        <f t="shared" si="48"/>
        <v>0</v>
      </c>
      <c r="AA112" s="80">
        <v>0.05</v>
      </c>
      <c r="AB112" s="80">
        <f t="shared" si="49"/>
        <v>0</v>
      </c>
      <c r="AC112" s="80"/>
      <c r="AD112" s="80">
        <f t="shared" si="50"/>
        <v>0</v>
      </c>
      <c r="AE112" s="80"/>
      <c r="AF112" s="80">
        <f t="shared" si="51"/>
        <v>0</v>
      </c>
      <c r="AG112" s="74">
        <f t="shared" si="40"/>
        <v>6.0000000000000005E-2</v>
      </c>
      <c r="AH112" s="209">
        <f t="shared" si="41"/>
        <v>0</v>
      </c>
      <c r="AI112" s="81"/>
      <c r="AJ112" s="80">
        <f t="shared" si="52"/>
        <v>0</v>
      </c>
      <c r="AK112" s="80"/>
      <c r="AL112" s="80">
        <f t="shared" si="53"/>
        <v>0</v>
      </c>
      <c r="AM112" s="80"/>
      <c r="AN112" s="80">
        <f t="shared" si="54"/>
        <v>0</v>
      </c>
      <c r="AO112" s="73"/>
      <c r="AP112" s="73">
        <f t="shared" si="55"/>
        <v>0</v>
      </c>
      <c r="AQ112" s="73"/>
      <c r="AR112" s="73">
        <f t="shared" si="56"/>
        <v>0</v>
      </c>
      <c r="AS112" s="74">
        <f t="shared" si="42"/>
        <v>0</v>
      </c>
      <c r="AT112" s="75">
        <f t="shared" si="42"/>
        <v>0</v>
      </c>
      <c r="AU112" s="72"/>
      <c r="AV112" s="73"/>
      <c r="AW112" s="74">
        <f t="shared" si="57"/>
        <v>0</v>
      </c>
      <c r="AX112" s="76">
        <f t="shared" si="57"/>
        <v>0</v>
      </c>
      <c r="AY112" s="77">
        <f t="shared" si="62"/>
        <v>6.0000000000000005E-2</v>
      </c>
      <c r="AZ112" s="78">
        <f t="shared" si="63"/>
        <v>0</v>
      </c>
      <c r="BA112" s="2" t="s">
        <v>91</v>
      </c>
      <c r="BB112" s="2">
        <f t="shared" si="58"/>
        <v>0</v>
      </c>
      <c r="BE112"/>
      <c r="BF112"/>
    </row>
    <row r="113" spans="1:61" ht="15" customHeight="1">
      <c r="A113" s="170"/>
      <c r="B113" s="154"/>
      <c r="C113" s="66">
        <v>100</v>
      </c>
      <c r="D113" s="53" t="s">
        <v>299</v>
      </c>
      <c r="E113" s="172" t="s">
        <v>301</v>
      </c>
      <c r="F113" s="67" t="s">
        <v>90</v>
      </c>
      <c r="G113" s="68">
        <v>0.01</v>
      </c>
      <c r="H113" s="69">
        <f t="shared" si="43"/>
        <v>0</v>
      </c>
      <c r="I113" s="70">
        <f t="shared" si="37"/>
        <v>0.01</v>
      </c>
      <c r="J113" s="71">
        <f t="shared" si="37"/>
        <v>0</v>
      </c>
      <c r="K113" s="72">
        <v>0.01</v>
      </c>
      <c r="L113" s="73">
        <f t="shared" si="44"/>
        <v>0</v>
      </c>
      <c r="M113" s="73"/>
      <c r="N113" s="73">
        <f t="shared" ref="N113:P115" si="64">N$13/M$13*M113</f>
        <v>0</v>
      </c>
      <c r="O113" s="73"/>
      <c r="P113" s="73">
        <f t="shared" si="64"/>
        <v>0</v>
      </c>
      <c r="Q113" s="80">
        <v>0.01</v>
      </c>
      <c r="R113" s="80">
        <f t="shared" ref="R113:T115" si="65">R$13/Q$13*Q113</f>
        <v>0</v>
      </c>
      <c r="S113" s="80"/>
      <c r="T113" s="80">
        <f t="shared" si="65"/>
        <v>0</v>
      </c>
      <c r="U113" s="80"/>
      <c r="V113" s="80">
        <f t="shared" ref="V113:X115" si="66">V$13/U$13*U113</f>
        <v>0</v>
      </c>
      <c r="W113" s="80"/>
      <c r="X113" s="80">
        <f t="shared" si="66"/>
        <v>0</v>
      </c>
      <c r="Y113" s="80"/>
      <c r="Z113" s="80">
        <f t="shared" si="48"/>
        <v>0</v>
      </c>
      <c r="AA113" s="80">
        <v>0.02</v>
      </c>
      <c r="AB113" s="80">
        <f t="shared" si="49"/>
        <v>0</v>
      </c>
      <c r="AC113" s="80"/>
      <c r="AD113" s="80">
        <f t="shared" si="50"/>
        <v>0</v>
      </c>
      <c r="AE113" s="80"/>
      <c r="AF113" s="80">
        <f t="shared" si="51"/>
        <v>0</v>
      </c>
      <c r="AG113" s="74">
        <f t="shared" si="40"/>
        <v>0.04</v>
      </c>
      <c r="AH113" s="209">
        <f t="shared" si="41"/>
        <v>0</v>
      </c>
      <c r="AI113" s="81"/>
      <c r="AJ113" s="80">
        <f t="shared" si="52"/>
        <v>0</v>
      </c>
      <c r="AK113" s="80">
        <v>0.01</v>
      </c>
      <c r="AL113" s="80">
        <f t="shared" si="53"/>
        <v>0</v>
      </c>
      <c r="AM113" s="80">
        <v>0.01</v>
      </c>
      <c r="AN113" s="80">
        <f t="shared" si="54"/>
        <v>0</v>
      </c>
      <c r="AO113" s="73">
        <v>0.01</v>
      </c>
      <c r="AP113" s="73">
        <f t="shared" si="55"/>
        <v>0</v>
      </c>
      <c r="AQ113" s="73">
        <v>0.01</v>
      </c>
      <c r="AR113" s="73">
        <f t="shared" si="56"/>
        <v>0</v>
      </c>
      <c r="AS113" s="74">
        <f t="shared" si="42"/>
        <v>0.04</v>
      </c>
      <c r="AT113" s="75">
        <f t="shared" si="42"/>
        <v>0</v>
      </c>
      <c r="AU113" s="72"/>
      <c r="AV113" s="73"/>
      <c r="AW113" s="74">
        <f t="shared" si="57"/>
        <v>0</v>
      </c>
      <c r="AX113" s="76">
        <f t="shared" si="57"/>
        <v>0</v>
      </c>
      <c r="AY113" s="77">
        <f t="shared" si="62"/>
        <v>0.09</v>
      </c>
      <c r="AZ113" s="78">
        <f t="shared" si="63"/>
        <v>0</v>
      </c>
      <c r="BA113" s="2" t="s">
        <v>91</v>
      </c>
      <c r="BB113" s="2">
        <f t="shared" si="58"/>
        <v>0</v>
      </c>
      <c r="BE113"/>
      <c r="BF113"/>
    </row>
    <row r="114" spans="1:61" ht="15" customHeight="1">
      <c r="A114" s="170"/>
      <c r="B114" s="154"/>
      <c r="C114" s="66">
        <v>101</v>
      </c>
      <c r="D114" s="53" t="s">
        <v>302</v>
      </c>
      <c r="E114" s="171" t="s">
        <v>303</v>
      </c>
      <c r="F114" s="54" t="s">
        <v>90</v>
      </c>
      <c r="G114" s="68">
        <v>0.01</v>
      </c>
      <c r="H114" s="173">
        <f t="shared" si="43"/>
        <v>0</v>
      </c>
      <c r="I114" s="70">
        <f t="shared" si="37"/>
        <v>0.01</v>
      </c>
      <c r="J114" s="71">
        <f t="shared" si="37"/>
        <v>0</v>
      </c>
      <c r="K114" s="72">
        <v>0.01</v>
      </c>
      <c r="L114" s="73">
        <f t="shared" si="44"/>
        <v>0</v>
      </c>
      <c r="M114" s="73"/>
      <c r="N114" s="73">
        <f t="shared" si="64"/>
        <v>0</v>
      </c>
      <c r="O114" s="73"/>
      <c r="P114" s="73">
        <f t="shared" si="64"/>
        <v>0</v>
      </c>
      <c r="Q114" s="80"/>
      <c r="R114" s="80">
        <f t="shared" si="65"/>
        <v>0</v>
      </c>
      <c r="S114" s="80"/>
      <c r="T114" s="80">
        <f t="shared" si="65"/>
        <v>0</v>
      </c>
      <c r="U114" s="80"/>
      <c r="V114" s="80">
        <f t="shared" si="66"/>
        <v>0</v>
      </c>
      <c r="W114" s="80"/>
      <c r="X114" s="80">
        <f t="shared" si="66"/>
        <v>0</v>
      </c>
      <c r="Y114" s="80"/>
      <c r="Z114" s="80">
        <f t="shared" si="48"/>
        <v>0</v>
      </c>
      <c r="AA114" s="80"/>
      <c r="AB114" s="80">
        <f t="shared" si="49"/>
        <v>0</v>
      </c>
      <c r="AC114" s="80"/>
      <c r="AD114" s="80">
        <f t="shared" si="50"/>
        <v>0</v>
      </c>
      <c r="AE114" s="80"/>
      <c r="AF114" s="80">
        <f t="shared" si="51"/>
        <v>0</v>
      </c>
      <c r="AG114" s="74">
        <f t="shared" si="40"/>
        <v>0.01</v>
      </c>
      <c r="AH114" s="209">
        <f t="shared" si="41"/>
        <v>0</v>
      </c>
      <c r="AI114" s="81"/>
      <c r="AJ114" s="80">
        <f t="shared" si="52"/>
        <v>0</v>
      </c>
      <c r="AK114" s="80"/>
      <c r="AL114" s="80">
        <f t="shared" si="53"/>
        <v>0</v>
      </c>
      <c r="AM114" s="80"/>
      <c r="AN114" s="80">
        <f t="shared" si="54"/>
        <v>0</v>
      </c>
      <c r="AO114" s="73"/>
      <c r="AP114" s="73">
        <f t="shared" si="55"/>
        <v>0</v>
      </c>
      <c r="AQ114" s="73"/>
      <c r="AR114" s="73">
        <f t="shared" si="56"/>
        <v>0</v>
      </c>
      <c r="AS114" s="74">
        <f t="shared" si="42"/>
        <v>0</v>
      </c>
      <c r="AT114" s="75">
        <f t="shared" si="42"/>
        <v>0</v>
      </c>
      <c r="AU114" s="72"/>
      <c r="AV114" s="73"/>
      <c r="AW114" s="74">
        <f t="shared" si="57"/>
        <v>0</v>
      </c>
      <c r="AX114" s="76">
        <f t="shared" si="57"/>
        <v>0</v>
      </c>
      <c r="AY114" s="77">
        <f t="shared" si="62"/>
        <v>0.02</v>
      </c>
      <c r="AZ114" s="78">
        <f t="shared" si="63"/>
        <v>0</v>
      </c>
      <c r="BA114" s="2" t="s">
        <v>91</v>
      </c>
      <c r="BB114" s="2">
        <f t="shared" si="58"/>
        <v>0</v>
      </c>
      <c r="BE114"/>
      <c r="BF114"/>
    </row>
    <row r="115" spans="1:61" ht="15" customHeight="1" thickBot="1">
      <c r="A115" s="170"/>
      <c r="B115" s="154"/>
      <c r="C115" s="79">
        <v>102</v>
      </c>
      <c r="D115" s="87" t="s">
        <v>304</v>
      </c>
      <c r="E115" s="177" t="s">
        <v>305</v>
      </c>
      <c r="F115" s="174" t="s">
        <v>90</v>
      </c>
      <c r="G115" s="92">
        <v>0.01</v>
      </c>
      <c r="H115" s="178">
        <f t="shared" si="43"/>
        <v>0</v>
      </c>
      <c r="I115" s="94">
        <f t="shared" si="37"/>
        <v>0.01</v>
      </c>
      <c r="J115" s="95">
        <f t="shared" si="37"/>
        <v>0</v>
      </c>
      <c r="K115" s="179">
        <v>0.01</v>
      </c>
      <c r="L115" s="180">
        <f t="shared" si="44"/>
        <v>0</v>
      </c>
      <c r="M115" s="180"/>
      <c r="N115" s="180">
        <f t="shared" si="64"/>
        <v>0</v>
      </c>
      <c r="O115" s="180"/>
      <c r="P115" s="180">
        <f t="shared" si="64"/>
        <v>0</v>
      </c>
      <c r="Q115" s="97"/>
      <c r="R115" s="97">
        <f t="shared" si="65"/>
        <v>0</v>
      </c>
      <c r="S115" s="97"/>
      <c r="T115" s="97">
        <f t="shared" si="65"/>
        <v>0</v>
      </c>
      <c r="U115" s="97"/>
      <c r="V115" s="97">
        <f t="shared" si="66"/>
        <v>0</v>
      </c>
      <c r="W115" s="97"/>
      <c r="X115" s="97">
        <f t="shared" si="66"/>
        <v>0</v>
      </c>
      <c r="Y115" s="97"/>
      <c r="Z115" s="97">
        <f t="shared" si="48"/>
        <v>0</v>
      </c>
      <c r="AA115" s="97"/>
      <c r="AB115" s="97">
        <f t="shared" si="49"/>
        <v>0</v>
      </c>
      <c r="AC115" s="97"/>
      <c r="AD115" s="97">
        <f t="shared" si="50"/>
        <v>0</v>
      </c>
      <c r="AE115" s="97"/>
      <c r="AF115" s="97">
        <f t="shared" si="51"/>
        <v>0</v>
      </c>
      <c r="AG115" s="98">
        <f t="shared" si="40"/>
        <v>0.01</v>
      </c>
      <c r="AH115" s="210">
        <f t="shared" si="41"/>
        <v>0</v>
      </c>
      <c r="AI115" s="96"/>
      <c r="AJ115" s="97">
        <f t="shared" si="52"/>
        <v>0</v>
      </c>
      <c r="AK115" s="97"/>
      <c r="AL115" s="97">
        <f t="shared" si="53"/>
        <v>0</v>
      </c>
      <c r="AM115" s="97"/>
      <c r="AN115" s="97">
        <f t="shared" si="54"/>
        <v>0</v>
      </c>
      <c r="AO115" s="180"/>
      <c r="AP115" s="180">
        <f t="shared" si="55"/>
        <v>0</v>
      </c>
      <c r="AQ115" s="180"/>
      <c r="AR115" s="180">
        <f t="shared" si="56"/>
        <v>0</v>
      </c>
      <c r="AS115" s="98">
        <f t="shared" si="42"/>
        <v>0</v>
      </c>
      <c r="AT115" s="99">
        <f t="shared" si="42"/>
        <v>0</v>
      </c>
      <c r="AU115" s="179"/>
      <c r="AV115" s="180"/>
      <c r="AW115" s="98">
        <f t="shared" si="57"/>
        <v>0</v>
      </c>
      <c r="AX115" s="100">
        <f t="shared" si="57"/>
        <v>0</v>
      </c>
      <c r="AY115" s="101">
        <f t="shared" si="62"/>
        <v>0.02</v>
      </c>
      <c r="AZ115" s="102">
        <f t="shared" si="63"/>
        <v>0</v>
      </c>
      <c r="BA115" s="103" t="s">
        <v>91</v>
      </c>
      <c r="BB115" s="2">
        <f t="shared" si="58"/>
        <v>0</v>
      </c>
      <c r="BE115"/>
      <c r="BF115"/>
    </row>
    <row r="116" spans="1:61" ht="15" customHeight="1" thickBot="1">
      <c r="A116" s="181" t="s">
        <v>306</v>
      </c>
      <c r="B116" s="182"/>
      <c r="C116" s="183"/>
      <c r="D116" s="182"/>
      <c r="E116" s="184"/>
      <c r="F116" s="185"/>
      <c r="G116" s="186">
        <f>SUM(G14:G115)</f>
        <v>1.0000000000000004</v>
      </c>
      <c r="H116" s="187">
        <f>SUM(H14:H115)</f>
        <v>0</v>
      </c>
      <c r="I116" s="188">
        <f t="shared" si="37"/>
        <v>1.0000000000000004</v>
      </c>
      <c r="J116" s="189">
        <f t="shared" si="37"/>
        <v>0</v>
      </c>
      <c r="K116" s="190">
        <f t="shared" ref="K116:AD116" si="67">SUM(K14:K115)</f>
        <v>1.0000000000000004</v>
      </c>
      <c r="L116" s="191">
        <f t="shared" si="67"/>
        <v>0</v>
      </c>
      <c r="M116" s="191">
        <f t="shared" si="67"/>
        <v>1.0000000000000002</v>
      </c>
      <c r="N116" s="191">
        <f t="shared" si="67"/>
        <v>0</v>
      </c>
      <c r="O116" s="191">
        <f t="shared" si="67"/>
        <v>1.0000000000000002</v>
      </c>
      <c r="P116" s="191">
        <f t="shared" si="67"/>
        <v>0</v>
      </c>
      <c r="Q116" s="191">
        <f t="shared" si="67"/>
        <v>1.0000000000000002</v>
      </c>
      <c r="R116" s="191">
        <f t="shared" si="67"/>
        <v>0</v>
      </c>
      <c r="S116" s="191">
        <f t="shared" si="67"/>
        <v>1.0000000000000002</v>
      </c>
      <c r="T116" s="191">
        <f t="shared" si="67"/>
        <v>0</v>
      </c>
      <c r="U116" s="191">
        <f t="shared" si="67"/>
        <v>1.0000000000000002</v>
      </c>
      <c r="V116" s="191">
        <f t="shared" si="67"/>
        <v>0</v>
      </c>
      <c r="W116" s="191">
        <f t="shared" si="67"/>
        <v>1.0000000000000002</v>
      </c>
      <c r="X116" s="191">
        <f t="shared" si="67"/>
        <v>0</v>
      </c>
      <c r="Y116" s="191">
        <f>SUM(Y14:Y115)</f>
        <v>1.0000000000000002</v>
      </c>
      <c r="Z116" s="191">
        <f t="shared" ref="Z116" si="68">SUM(Z14:Z115)</f>
        <v>0</v>
      </c>
      <c r="AA116" s="191">
        <f t="shared" si="67"/>
        <v>1.0000000000000002</v>
      </c>
      <c r="AB116" s="191">
        <f t="shared" si="67"/>
        <v>0</v>
      </c>
      <c r="AC116" s="191">
        <f t="shared" si="67"/>
        <v>1</v>
      </c>
      <c r="AD116" s="191">
        <f t="shared" si="67"/>
        <v>0</v>
      </c>
      <c r="AE116" s="191">
        <f t="shared" ref="AE116:AF116" si="69">SUM(AE14:AE115)</f>
        <v>1</v>
      </c>
      <c r="AF116" s="191">
        <f t="shared" si="69"/>
        <v>0</v>
      </c>
      <c r="AG116" s="192">
        <f t="shared" si="40"/>
        <v>11.000000000000002</v>
      </c>
      <c r="AH116" s="213">
        <f t="shared" si="41"/>
        <v>0</v>
      </c>
      <c r="AI116" s="190">
        <f t="shared" ref="AI116:AX116" si="70">SUM(AI14:AI115)</f>
        <v>1.0000000000000002</v>
      </c>
      <c r="AJ116" s="191">
        <f t="shared" si="70"/>
        <v>0</v>
      </c>
      <c r="AK116" s="191">
        <f t="shared" si="70"/>
        <v>1.0000000000000004</v>
      </c>
      <c r="AL116" s="191">
        <f t="shared" si="70"/>
        <v>0</v>
      </c>
      <c r="AM116" s="191">
        <f t="shared" si="70"/>
        <v>1.0000000000000002</v>
      </c>
      <c r="AN116" s="191">
        <f t="shared" si="70"/>
        <v>0</v>
      </c>
      <c r="AO116" s="191">
        <f t="shared" si="70"/>
        <v>1.0000000000000002</v>
      </c>
      <c r="AP116" s="191">
        <f t="shared" si="70"/>
        <v>0</v>
      </c>
      <c r="AQ116" s="191">
        <f t="shared" si="70"/>
        <v>1.0000000000000002</v>
      </c>
      <c r="AR116" s="191">
        <f t="shared" si="70"/>
        <v>0</v>
      </c>
      <c r="AS116" s="192">
        <f t="shared" si="70"/>
        <v>5.0000000000000009</v>
      </c>
      <c r="AT116" s="193">
        <f t="shared" si="70"/>
        <v>0</v>
      </c>
      <c r="AU116" s="190">
        <f t="shared" si="70"/>
        <v>1</v>
      </c>
      <c r="AV116" s="191">
        <f t="shared" si="70"/>
        <v>0</v>
      </c>
      <c r="AW116" s="192">
        <f t="shared" si="70"/>
        <v>1</v>
      </c>
      <c r="AX116" s="194">
        <f t="shared" si="70"/>
        <v>0</v>
      </c>
      <c r="AY116" s="195">
        <f>I116+AW116+AG116+AS116</f>
        <v>18.000000000000004</v>
      </c>
      <c r="AZ116" s="196">
        <f>SUM(AZ14:AZ115)</f>
        <v>0</v>
      </c>
      <c r="BA116" s="197">
        <f>COUNTIF(BA14:BA115,"●")</f>
        <v>7</v>
      </c>
      <c r="BB116" s="198">
        <f>SUM(BB14:BB115)</f>
        <v>0</v>
      </c>
      <c r="BE116"/>
      <c r="BF116"/>
    </row>
    <row r="117" spans="1:61">
      <c r="D117" s="199" t="s">
        <v>307</v>
      </c>
      <c r="BB117" s="248">
        <f>BB116*1000</f>
        <v>0</v>
      </c>
      <c r="BH117" s="200"/>
      <c r="BI117" s="201"/>
    </row>
    <row r="118" spans="1:61">
      <c r="D118" s="202" t="s">
        <v>308</v>
      </c>
    </row>
    <row r="119" spans="1:61">
      <c r="D119" s="202" t="s">
        <v>309</v>
      </c>
    </row>
  </sheetData>
  <autoFilter ref="A12:BI119" xr:uid="{3CA845C3-E599-4FC8-9512-83339AED9B64}"/>
  <mergeCells count="31">
    <mergeCell ref="W11:X11"/>
    <mergeCell ref="Y11:Z11"/>
    <mergeCell ref="AS11:AT11"/>
    <mergeCell ref="AU11:AV11"/>
    <mergeCell ref="AW11:AX11"/>
    <mergeCell ref="AG11:AH11"/>
    <mergeCell ref="AI11:AJ11"/>
    <mergeCell ref="AK11:AL11"/>
    <mergeCell ref="AM11:AN11"/>
    <mergeCell ref="AO11:AP11"/>
    <mergeCell ref="AQ11:AR11"/>
    <mergeCell ref="AY10:AZ11"/>
    <mergeCell ref="G11:H11"/>
    <mergeCell ref="I11:J11"/>
    <mergeCell ref="K11:L11"/>
    <mergeCell ref="M11:N11"/>
    <mergeCell ref="O11:P11"/>
    <mergeCell ref="AE11:AF11"/>
    <mergeCell ref="AC11:AD11"/>
    <mergeCell ref="AA11:AB11"/>
    <mergeCell ref="G10:J10"/>
    <mergeCell ref="K10:AH10"/>
    <mergeCell ref="AI10:AT10"/>
    <mergeCell ref="AU10:AX10"/>
    <mergeCell ref="Q11:R11"/>
    <mergeCell ref="S11:T11"/>
    <mergeCell ref="U11:V11"/>
    <mergeCell ref="Y8:Z8"/>
    <mergeCell ref="AE8:AF8"/>
    <mergeCell ref="AC8:AD8"/>
    <mergeCell ref="AA8:AB8"/>
  </mergeCells>
  <dataValidations count="1">
    <dataValidation type="list" allowBlank="1" showInputMessage="1" showErrorMessage="1" sqref="BA14:BA58 BA62:BA115" xr:uid="{01FAF5B7-A1F0-4385-84E3-1067B65FAD3E}">
      <formula1>$BF$15:$BF$16</formula1>
    </dataValidation>
  </dataValidations>
  <printOptions horizontalCentered="1"/>
  <pageMargins left="0" right="0" top="0.39370078740157483" bottom="0" header="0" footer="0"/>
  <pageSetup paperSize="8" scale="43" orientation="landscape" r:id="rId1"/>
  <headerFooter>
    <oddHeader>&amp;L&amp;F&amp;”/”&amp;A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B156-418B-444D-BADC-26953D15C6FC}">
  <sheetPr>
    <pageSetUpPr fitToPage="1"/>
  </sheetPr>
  <dimension ref="A2:A13"/>
  <sheetViews>
    <sheetView showGridLines="0" zoomScale="55" zoomScaleNormal="55" workbookViewId="0">
      <selection activeCell="AB45" sqref="AB45"/>
    </sheetView>
  </sheetViews>
  <sheetFormatPr defaultRowHeight="14.4"/>
  <sheetData>
    <row r="2" spans="1:1">
      <c r="A2" t="s">
        <v>331</v>
      </c>
    </row>
    <row r="3" spans="1:1">
      <c r="A3" t="s">
        <v>332</v>
      </c>
    </row>
    <row r="6" spans="1:1">
      <c r="A6" t="s">
        <v>333</v>
      </c>
    </row>
    <row r="13" spans="1:1">
      <c r="A13" s="1"/>
    </row>
  </sheetData>
  <phoneticPr fontId="2"/>
  <pageMargins left="0.23622047244094491" right="0.23622047244094491" top="0.74803149606299213" bottom="0.74803149606299213" header="0.31496062992125984" footer="0.31496062992125984"/>
  <pageSetup paperSize="9" scale="47" orientation="portrait" r:id="rId1"/>
  <headerFooter>
    <oddHeader>&amp;L&amp;A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C0D35B3FDFF245BC811781E578D927" ma:contentTypeVersion="14" ma:contentTypeDescription="新しいドキュメントを作成します。" ma:contentTypeScope="" ma:versionID="575c72974ab6203c065b6bc73cc17ef9">
  <xsd:schema xmlns:xsd="http://www.w3.org/2001/XMLSchema" xmlns:xs="http://www.w3.org/2001/XMLSchema" xmlns:p="http://schemas.microsoft.com/office/2006/metadata/properties" xmlns:ns2="ddb17828-5cf6-4296-bb8c-53885dd0ecd8" xmlns:ns3="75b92c42-a6b2-4630-982f-c81563264bae" targetNamespace="http://schemas.microsoft.com/office/2006/metadata/properties" ma:root="true" ma:fieldsID="e2f42ec4add050618d0faadb05e0f7c8" ns2:_="" ns3:_="">
    <xsd:import namespace="ddb17828-5cf6-4296-bb8c-53885dd0ecd8"/>
    <xsd:import namespace="75b92c42-a6b2-4630-982f-c81563264b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17828-5cf6-4296-bb8c-53885dd0ec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b57d275c-3725-4674-934e-92c991657a27}" ma:internalName="TaxCatchAll" ma:showField="CatchAllData" ma:web="ddb17828-5cf6-4296-bb8c-53885dd0e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92c42-a6b2-4630-982f-c81563264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fd5ddeb-6a09-454e-8303-770f669cf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db17828-5cf6-4296-bb8c-53885dd0ecd8">KP5DPPH4TP2U-1821442116-15151</_dlc_DocId>
    <lcf76f155ced4ddcb4097134ff3c332f xmlns="75b92c42-a6b2-4630-982f-c81563264bae">
      <Terms xmlns="http://schemas.microsoft.com/office/infopath/2007/PartnerControls"/>
    </lcf76f155ced4ddcb4097134ff3c332f>
    <TaxCatchAll xmlns="ddb17828-5cf6-4296-bb8c-53885dd0ecd8" xsi:nil="true"/>
    <_dlc_DocIdUrl xmlns="ddb17828-5cf6-4296-bb8c-53885dd0ecd8">
      <Url>https://toraygroup01.sharepoint.com/sites/JP-TI-00002/_layouts/15/DocIdRedir.aspx?ID=KP5DPPH4TP2U-1821442116-15151</Url>
      <Description>KP5DPPH4TP2U-1821442116-15151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584793-28C2-4C9D-A7EF-AE02FB46CB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17828-5cf6-4296-bb8c-53885dd0ecd8"/>
    <ds:schemaRef ds:uri="75b92c42-a6b2-4630-982f-c81563264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DF13FD-F302-4AE7-82BD-9512A2F1E82C}">
  <ds:schemaRefs>
    <ds:schemaRef ds:uri="http://schemas.microsoft.com/office/2006/metadata/properties"/>
    <ds:schemaRef ds:uri="http://schemas.microsoft.com/office/infopath/2007/PartnerControls"/>
    <ds:schemaRef ds:uri="ddb17828-5cf6-4296-bb8c-53885dd0ecd8"/>
    <ds:schemaRef ds:uri="75b92c42-a6b2-4630-982f-c81563264bae"/>
  </ds:schemaRefs>
</ds:datastoreItem>
</file>

<file path=customXml/itemProps3.xml><?xml version="1.0" encoding="utf-8"?>
<ds:datastoreItem xmlns:ds="http://schemas.openxmlformats.org/officeDocument/2006/customXml" ds:itemID="{C02DBF2E-95B1-4653-A707-CB89744B413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382945-374D-4486-AE5D-4145CA917FEE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天方氏型番ごと生産数</vt:lpstr>
      <vt:lpstr>&lt;更新&gt;天方氏担当品番_26SS</vt:lpstr>
      <vt:lpstr>&lt;更新&gt;APIC(2026年度上期) </vt:lpstr>
      <vt:lpstr>包括評価申告_受理書</vt:lpstr>
      <vt:lpstr>'&lt;更新&gt;APIC(2026年度上期)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Arai, Aiko/TI(JP)/荒井 愛子(アパレル事業管理室 アパレル物流課)</dc:creator>
  <cp:keywords/>
  <dc:description/>
  <cp:lastModifiedBy>Hori, Shotaro/TIVN(VN)</cp:lastModifiedBy>
  <cp:revision/>
  <cp:lastPrinted>2025-04-22T08:20:29Z</cp:lastPrinted>
  <dcterms:created xsi:type="dcterms:W3CDTF">2024-03-22T05:11:33Z</dcterms:created>
  <dcterms:modified xsi:type="dcterms:W3CDTF">2026-08-11T11:53:20Z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0x0101008AC0D35B3FDFF245BC811781E578D927</vt:lpwstr>
  </property>
  <property fmtid="{D5CDD505-2E9C-101B-9397-08002B2CF9AE}" pid="4" name="_dlc_DocIdItemGuid">
    <vt:lpwstr>4e9493aa-c51c-48b0-8b57-33197bc85b3e</vt:lpwstr>
  </property>
</Properties>
</file>