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oraygroup01.sharepoint.com/sites/AP2departmentAPIC.TIVN.tm/Shared Documents/General/業務分担/翻訳業務時間/"/>
    </mc:Choice>
  </mc:AlternateContent>
  <xr:revisionPtr revIDLastSave="3659" documentId="8_{3A01AD4E-4C68-4C0C-BF6B-7FEEF3511AE2}" xr6:coauthVersionLast="47" xr6:coauthVersionMax="47" xr10:uidLastSave="{F6EAD5F9-89D0-4FC1-AF3B-8AA1CC434EE4}"/>
  <bookViews>
    <workbookView xWindow="28680" yWindow="-120" windowWidth="29040" windowHeight="15720" tabRatio="815" xr2:uid="{CDECF78A-AE48-4749-99C5-94E90C3D2CD0}"/>
  </bookViews>
  <sheets>
    <sheet name="通訳作業時間" sheetId="14" r:id="rId1"/>
    <sheet name="Pivot" sheetId="26" r:id="rId2"/>
    <sheet name="グラフ" sheetId="28" r:id="rId3"/>
    <sheet name="纏め" sheetId="16" r:id="rId4"/>
    <sheet name="Thuan" sheetId="25" r:id="rId5"/>
    <sheet name="Phong" sheetId="24" r:id="rId6"/>
    <sheet name="Cuong" sheetId="15" r:id="rId7"/>
    <sheet name="Hien" sheetId="18" r:id="rId8"/>
    <sheet name="Nhu" sheetId="20" r:id="rId9"/>
    <sheet name="Luan " sheetId="13" r:id="rId10"/>
    <sheet name="Khanh" sheetId="19" r:id="rId11"/>
    <sheet name="V.Huy" sheetId="27" r:id="rId12"/>
    <sheet name="Q.Huy" sheetId="23" r:id="rId13"/>
    <sheet name="H.Trang" sheetId="21" r:id="rId14"/>
    <sheet name="B.Trang" sheetId="22" r:id="rId15"/>
  </sheets>
  <definedNames>
    <definedName name="_xlnm._FilterDatabase" localSheetId="0" hidden="1">通訳作業時間!$C$5:$J$47</definedName>
    <definedName name="_xlcn.WorksheetConnection_スタッフ翻訳業務時間19FW26FWBULK260310.xlsx纏め" hidden="1">纏め[]</definedName>
    <definedName name="brand" localSheetId="14">通訳作業時間[　　　　　担当案件Brand]</definedName>
    <definedName name="brand" localSheetId="6">通訳作業時間[　　　　　担当案件Brand]</definedName>
    <definedName name="brand" localSheetId="13">通訳作業時間[　　　　　担当案件Brand]</definedName>
    <definedName name="brand" localSheetId="7">通訳作業時間[　　　　　担当案件Brand]</definedName>
    <definedName name="brand" localSheetId="10">通訳作業時間[　　　　　担当案件Brand]</definedName>
    <definedName name="brand" localSheetId="8">通訳作業時間[　　　　　担当案件Brand]</definedName>
    <definedName name="brand" localSheetId="5">通訳作業時間[　　　　　担当案件Brand]</definedName>
    <definedName name="brand" localSheetId="12">通訳作業時間[　　　　　担当案件Brand]</definedName>
    <definedName name="brand" localSheetId="4">通訳作業時間[　　　　　担当案件Brand]</definedName>
    <definedName name="brand" localSheetId="11">通訳作業時間[　　　　　担当案件Brand]</definedName>
    <definedName name="brand">通訳作業時間[　　　　　担当案件Brand]</definedName>
    <definedName name="ExternalData_2" localSheetId="3" hidden="1">纏め!$A$1:$O$218</definedName>
    <definedName name="_xlnm.Print_Area" localSheetId="2">グラフ!$A$1:$AP$96</definedName>
    <definedName name="_xlnm.Print_Area" localSheetId="0">通訳作業時間!$A$1:$AG$48</definedName>
    <definedName name="スライサー_シーズン">#N/A</definedName>
    <definedName name="スライサー_ブランド担当者">#N/A</definedName>
  </definedNames>
  <calcPr calcId="191028"/>
  <pivotCaches>
    <pivotCache cacheId="0" r:id="rId16"/>
    <pivotCache cacheId="1" r:id="rId17"/>
  </pivotCaches>
  <extLst>
    <ext xmlns:x14="http://schemas.microsoft.com/office/spreadsheetml/2009/9/main" uri="{876F7934-8845-4945-9796-88D515C7AA90}">
      <x14:pivotCaches>
        <pivotCache cacheId="2" r:id="rId18"/>
      </x14:pivotCaches>
    </ext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纏め_873d0c42-a8c1-45a8-8ddd-ff65bef03f27" name="纏め" connection="クエリ - 纏め"/>
          <x15:modelTable id="SeasonTotal_eab87e7b-a772-4f00-b629-57fb39328aa9" name="SeasonTotal" connection="クエリ - SeasonTotal"/>
          <x15:modelTable id="纏め 1" name="纏め 1" connection="WorksheetConnection_スタッフ翻訳業務時間 19FW-26FW BULK 260310.xlsx!纏め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4" l="1"/>
  <c r="V46" i="14"/>
  <c r="A53" i="15"/>
  <c r="D27" i="18"/>
  <c r="A27" i="15"/>
  <c r="A20" i="15"/>
  <c r="A30" i="20"/>
  <c r="A32" i="20"/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0" i="23"/>
  <c r="N2" i="14" l="1"/>
  <c r="O2" i="14"/>
  <c r="P2" i="14"/>
  <c r="Q2" i="14"/>
  <c r="R2" i="14"/>
  <c r="S2" i="14"/>
  <c r="T2" i="14"/>
  <c r="U2" i="14"/>
  <c r="M2" i="14"/>
  <c r="G6" i="21" l="1"/>
  <c r="A4" i="21"/>
  <c r="A5" i="21"/>
  <c r="A6" i="21"/>
  <c r="A24" i="23"/>
  <c r="A4" i="27"/>
  <c r="A5" i="27"/>
  <c r="A6" i="27"/>
  <c r="A39" i="20"/>
  <c r="A38" i="20"/>
  <c r="A36" i="20"/>
  <c r="A37" i="20"/>
  <c r="A35" i="20"/>
  <c r="A34" i="20"/>
  <c r="A33" i="20"/>
  <c r="A29" i="20"/>
  <c r="A31" i="20"/>
  <c r="A26" i="20"/>
  <c r="A27" i="20"/>
  <c r="A28" i="20"/>
  <c r="A24" i="20"/>
  <c r="A25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44" i="18"/>
  <c r="A45" i="18"/>
  <c r="A46" i="18"/>
  <c r="A41" i="18"/>
  <c r="A42" i="18"/>
  <c r="A43" i="18"/>
  <c r="A36" i="18"/>
  <c r="A37" i="18"/>
  <c r="A38" i="18"/>
  <c r="A39" i="18"/>
  <c r="A40" i="18"/>
  <c r="A32" i="18"/>
  <c r="A33" i="18"/>
  <c r="A34" i="18"/>
  <c r="A35" i="18"/>
  <c r="A29" i="18"/>
  <c r="A30" i="18"/>
  <c r="A31" i="18"/>
  <c r="A26" i="18"/>
  <c r="A27" i="18"/>
  <c r="A28" i="18"/>
  <c r="A24" i="18"/>
  <c r="A25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1" i="23"/>
  <c r="A22" i="23"/>
  <c r="A23" i="23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4" i="19"/>
  <c r="A5" i="19"/>
  <c r="A6" i="19"/>
  <c r="A7" i="19"/>
  <c r="A8" i="19"/>
  <c r="A9" i="19"/>
  <c r="A10" i="19"/>
  <c r="A11" i="19"/>
  <c r="A12" i="19"/>
  <c r="A13" i="19"/>
  <c r="A14" i="19"/>
  <c r="A15" i="19"/>
  <c r="A54" i="15" l="1"/>
  <c r="A55" i="15"/>
  <c r="A56" i="15"/>
  <c r="A51" i="15"/>
  <c r="A52" i="15"/>
  <c r="A48" i="15"/>
  <c r="A49" i="15"/>
  <c r="A50" i="15"/>
  <c r="A44" i="15"/>
  <c r="A45" i="15"/>
  <c r="A46" i="15"/>
  <c r="A47" i="15"/>
  <c r="A41" i="15"/>
  <c r="A42" i="15"/>
  <c r="A4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1" i="15"/>
  <c r="A22" i="15"/>
  <c r="A23" i="15"/>
  <c r="A24" i="15"/>
  <c r="A25" i="15"/>
  <c r="A26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V47" i="14"/>
  <c r="V42" i="14"/>
  <c r="V41" i="14"/>
  <c r="V40" i="14"/>
  <c r="V39" i="14"/>
  <c r="V38" i="14"/>
  <c r="V37" i="14"/>
  <c r="V36" i="14"/>
  <c r="V35" i="14"/>
  <c r="V34" i="14"/>
  <c r="V33" i="14"/>
  <c r="V32" i="14"/>
  <c r="V31" i="14"/>
  <c r="V30" i="14"/>
  <c r="V29" i="14"/>
  <c r="V28" i="14"/>
  <c r="V27" i="14"/>
  <c r="V26" i="14"/>
  <c r="V25" i="14"/>
  <c r="V24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V11" i="14"/>
  <c r="V10" i="14"/>
  <c r="V9" i="14"/>
  <c r="V8" i="14"/>
  <c r="V7" i="14"/>
  <c r="V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tc={812CD071-D693-4B9E-BFE2-AB91714CCF98}</author>
  </authors>
  <commentList>
    <comment ref="C46" authorId="0" shapeId="0" xr:uid="{812CD071-D693-4B9E-BFE2-AB91714CCF98}">
      <text>
        <t>[Threaded comment]
Your version of Excel allows you to read this threaded comment; however, any edits to it will get removed if the file is opened in a newer version of Excel. Learn more: https://go.microsoft.com/fwlink/?linkid=870924
Comment:
    dcc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CDEA0-6447-4951-A98B-2B75B43FCD35}" keepAlive="1" name="ModelConnection_ExternalData_2" description="データ モデル" type="5" refreshedVersion="8" minRefreshableVersion="5" saveData="1">
    <dbPr connection="Data Model Connection" command="纏め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D10E144-3125-4910-9037-95DF43C609F7}" keepAlive="1" name="ThisWorkbookDataModel" description="データ モデル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DADB043-F1D9-4683-B2FD-AA677FC2F326}" name="WorksheetConnection_スタッフ翻訳業務時間 19FW-26FW BULK 260310.xlsx!纏め" type="102" refreshedVersion="8" minRefreshableVersion="5">
    <extLst>
      <ext xmlns:x15="http://schemas.microsoft.com/office/spreadsheetml/2010/11/main" uri="{DE250136-89BD-433C-8126-D09CA5730AF9}">
        <x15:connection id="纏め 1" autoDelete="1">
          <x15:rangePr sourceName="_xlcn.WorksheetConnection_スタッフ翻訳業務時間19FW26FWBULK260310.xlsx纏め"/>
        </x15:connection>
      </ext>
    </extLst>
  </connection>
  <connection id="4" xr16:uid="{6D080B19-1C12-4BD7-BD8D-6C7AC78FF66A}" name="クエリ - SeasonTotal" description="ブック内の 'SeasonTotal' クエリへの接続です。" type="100" refreshedVersion="8" minRefreshableVersion="5">
    <extLst>
      <ext xmlns:x15="http://schemas.microsoft.com/office/spreadsheetml/2010/11/main" uri="{DE250136-89BD-433C-8126-D09CA5730AF9}">
        <x15:connection id="5441b098-6a4a-45f5-a6b2-1258a6d2af56">
          <x15:oledbPr connection="Provider=Microsoft.Mashup.OleDb.1;Data Source=$Workbook$;Location=SeasonTotal;Extended Properties=&quot;&quot;">
            <x15:dbTables>
              <x15:dbTable name="SeasonTotal"/>
            </x15:dbTables>
          </x15:oledbPr>
        </x15:connection>
      </ext>
    </extLst>
  </connection>
  <connection id="5" xr16:uid="{63C60FF6-1500-4464-9B4C-FB1668370C13}" name="クエリ - 纏め" description="ブック内の '纏め' クエリへの接続です。" type="100" refreshedVersion="8" minRefreshableVersion="5">
    <extLst>
      <ext xmlns:x15="http://schemas.microsoft.com/office/spreadsheetml/2010/11/main" uri="{DE250136-89BD-433C-8126-D09CA5730AF9}">
        <x15:connection id="d7210182-1173-4479-86c6-6a9f9d9024fc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纏め 1].[ブランド担当者].[All]}"/>
    <s v="{[纏め 1].[シーズン].&amp;[27S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<sst xmlns="http://schemas.openxmlformats.org/spreadsheetml/2006/main" count="1622" uniqueCount="158">
  <si>
    <t>（平均分）</t>
  </si>
  <si>
    <t>平均時間</t>
  </si>
  <si>
    <t>APIC 翻訳業務時間</t>
    <rPh sb="5" eb="7">
      <t>ホンヤク</t>
    </rPh>
    <rPh sb="7" eb="9">
      <t>ギョウム</t>
    </rPh>
    <rPh sb="9" eb="11">
      <t>ジカン</t>
    </rPh>
    <phoneticPr fontId="1"/>
  </si>
  <si>
    <t>TIVN</t>
    <phoneticPr fontId="1"/>
  </si>
  <si>
    <t>管理</t>
    <rPh sb="0" eb="2">
      <t>カンリ</t>
    </rPh>
    <phoneticPr fontId="1"/>
  </si>
  <si>
    <t>翻訳業務比(%)</t>
    <rPh sb="0" eb="2">
      <t>ホンヤク</t>
    </rPh>
    <phoneticPr fontId="1"/>
  </si>
  <si>
    <t>翻訳(ネット作業時間）(分)　</t>
    <rPh sb="6" eb="8">
      <t>サギョウ</t>
    </rPh>
    <rPh sb="8" eb="10">
      <t>ジカン</t>
    </rPh>
    <phoneticPr fontId="1"/>
  </si>
  <si>
    <t>各ステージにおける翻訳資料</t>
    <rPh sb="0" eb="1">
      <t>カク</t>
    </rPh>
    <rPh sb="9" eb="11">
      <t>ホンヤク</t>
    </rPh>
    <rPh sb="11" eb="13">
      <t>シリョウ</t>
    </rPh>
    <phoneticPr fontId="1"/>
  </si>
  <si>
    <t>　　　　　担当案件Brand</t>
  </si>
  <si>
    <t>Huy</t>
  </si>
  <si>
    <t xml:space="preserve">Luan </t>
  </si>
  <si>
    <t xml:space="preserve">Cuong </t>
  </si>
  <si>
    <t>Khanh</t>
  </si>
  <si>
    <t xml:space="preserve">Hien </t>
  </si>
  <si>
    <t>H.Trang</t>
  </si>
  <si>
    <t>Nhu</t>
  </si>
  <si>
    <t>B.Trang</t>
  </si>
  <si>
    <t>翻訳業務</t>
  </si>
  <si>
    <t>他業務</t>
  </si>
  <si>
    <t>仕様書</t>
  </si>
  <si>
    <t>規格書</t>
  </si>
  <si>
    <t>バーツリスト</t>
  </si>
  <si>
    <t>加工指示書</t>
  </si>
  <si>
    <t>寸法表</t>
  </si>
  <si>
    <t>コメント</t>
  </si>
  <si>
    <t>工場コメント</t>
  </si>
  <si>
    <t>用尺表</t>
  </si>
  <si>
    <t xml:space="preserve">BOM </t>
  </si>
  <si>
    <t>合計　時間　　(時間)</t>
  </si>
  <si>
    <t>品番毎平均ページ数</t>
  </si>
  <si>
    <t>1st</t>
  </si>
  <si>
    <t>2nd</t>
  </si>
  <si>
    <t>3rd</t>
  </si>
  <si>
    <t>SMS</t>
  </si>
  <si>
    <t>SIZE SET</t>
  </si>
  <si>
    <t>Re-SIZESET</t>
  </si>
  <si>
    <t>PPS</t>
  </si>
  <si>
    <t>Re-PPS</t>
  </si>
  <si>
    <t>BULK</t>
  </si>
  <si>
    <t>備考</t>
  </si>
  <si>
    <t>TNF(GTC企画)</t>
  </si>
  <si>
    <t>●</t>
  </si>
  <si>
    <t>TNF(東京企画)</t>
  </si>
  <si>
    <t>TNF(東京企画、GTC企画共通)サンプル</t>
  </si>
  <si>
    <t>dưng</t>
  </si>
  <si>
    <t>TNF別注　富山</t>
  </si>
  <si>
    <t>TNF別注　東京</t>
  </si>
  <si>
    <t>NW</t>
  </si>
  <si>
    <t>UTMF</t>
  </si>
  <si>
    <t>5～7</t>
  </si>
  <si>
    <t>BOYS/DTN</t>
  </si>
  <si>
    <t>4～6</t>
  </si>
  <si>
    <t>Gymphlex</t>
  </si>
  <si>
    <t>NANGA</t>
  </si>
  <si>
    <t>DANTON</t>
  </si>
  <si>
    <t>TETON BROS</t>
  </si>
  <si>
    <t>ALLTERRAIN</t>
  </si>
  <si>
    <t>AIGLE</t>
  </si>
  <si>
    <t>ORCIVAL</t>
  </si>
  <si>
    <t>HH</t>
  </si>
  <si>
    <t>WOOLRICH</t>
  </si>
  <si>
    <t>CHAMPION</t>
  </si>
  <si>
    <t>SNOWPEAK</t>
  </si>
  <si>
    <t>4～5</t>
  </si>
  <si>
    <t>LECOQ</t>
  </si>
  <si>
    <t>SRIXON</t>
  </si>
  <si>
    <t>5～10</t>
  </si>
  <si>
    <t>MACKINTOSH</t>
  </si>
  <si>
    <t>MARMOT</t>
  </si>
  <si>
    <t>8～12</t>
  </si>
  <si>
    <t>DESCENT</t>
  </si>
  <si>
    <t>6～10</t>
  </si>
  <si>
    <t>C3FIT</t>
  </si>
  <si>
    <t>MONTBELL</t>
  </si>
  <si>
    <t>15～17</t>
  </si>
  <si>
    <t>MILLET</t>
  </si>
  <si>
    <t xml:space="preserve">GOLDWINサンプル </t>
  </si>
  <si>
    <t>GOLDWIN</t>
  </si>
  <si>
    <t>GSM</t>
  </si>
  <si>
    <t>5～9</t>
  </si>
  <si>
    <t>RESURRECTION</t>
  </si>
  <si>
    <t>CANTERBURY</t>
  </si>
  <si>
    <t>5～11</t>
  </si>
  <si>
    <t>HYKE</t>
  </si>
  <si>
    <t>5～13</t>
  </si>
  <si>
    <t>5～14</t>
  </si>
  <si>
    <t xml:space="preserve">HAT + </t>
  </si>
  <si>
    <t>LL.BEAN</t>
  </si>
  <si>
    <t>5～15</t>
  </si>
  <si>
    <t> </t>
  </si>
  <si>
    <t>FOXFIRE</t>
  </si>
  <si>
    <t>TATRAS</t>
  </si>
  <si>
    <t>KASCO</t>
  </si>
  <si>
    <t>YONEX</t>
  </si>
  <si>
    <t>KOTI</t>
  </si>
  <si>
    <t>ブランド担当者</t>
  </si>
  <si>
    <t>All</t>
  </si>
  <si>
    <t>シーズン</t>
  </si>
  <si>
    <t>27SS</t>
  </si>
  <si>
    <t>Season_Order</t>
  </si>
  <si>
    <t>合計 / 生産数</t>
  </si>
  <si>
    <t>合計 / 品番数</t>
  </si>
  <si>
    <t>合計 / 平均秒数</t>
  </si>
  <si>
    <t>Cuong</t>
  </si>
  <si>
    <t>Hien</t>
  </si>
  <si>
    <t>Grand Total</t>
  </si>
  <si>
    <t>Luan</t>
  </si>
  <si>
    <t>Q.Huy</t>
  </si>
  <si>
    <t>ブランド</t>
  </si>
  <si>
    <t>生産数</t>
  </si>
  <si>
    <t>品番数</t>
  </si>
  <si>
    <t>平均秒数</t>
  </si>
  <si>
    <t>稼働日数</t>
  </si>
  <si>
    <t>Total生産数</t>
  </si>
  <si>
    <t>Total品番数</t>
  </si>
  <si>
    <t>Total稼働日数</t>
  </si>
  <si>
    <t>生産数%</t>
  </si>
  <si>
    <t>品番数%</t>
  </si>
  <si>
    <t>稼働日数%</t>
  </si>
  <si>
    <t>Thuan</t>
  </si>
  <si>
    <t>19FW</t>
  </si>
  <si>
    <t>UMBRO</t>
  </si>
  <si>
    <t>INOV8</t>
  </si>
  <si>
    <t>MAMMUT</t>
  </si>
  <si>
    <t>Phong</t>
  </si>
  <si>
    <t>MUNSINGWEAR</t>
  </si>
  <si>
    <t>UNDER ARMOUR</t>
  </si>
  <si>
    <t>241</t>
  </si>
  <si>
    <t>SCHOFEEL</t>
  </si>
  <si>
    <t>20SS</t>
  </si>
  <si>
    <t>20FW</t>
  </si>
  <si>
    <t>DESCENTE</t>
  </si>
  <si>
    <t>21SS</t>
  </si>
  <si>
    <t>TOKYO MARATHON</t>
  </si>
  <si>
    <t>21FW</t>
  </si>
  <si>
    <t>ARENA</t>
  </si>
  <si>
    <t>Foxfire</t>
  </si>
  <si>
    <t>KUIU</t>
  </si>
  <si>
    <t>22SS</t>
  </si>
  <si>
    <t>22FW</t>
  </si>
  <si>
    <t>V.Huy</t>
  </si>
  <si>
    <t>23SS</t>
  </si>
  <si>
    <t>23FW</t>
  </si>
  <si>
    <t>24SS</t>
  </si>
  <si>
    <t>24FW</t>
  </si>
  <si>
    <t>25SS</t>
  </si>
  <si>
    <t>HAT +</t>
  </si>
  <si>
    <t>141</t>
  </si>
  <si>
    <t>25FW</t>
  </si>
  <si>
    <t>26SS</t>
  </si>
  <si>
    <t>26FW</t>
  </si>
  <si>
    <t>TNF別注</t>
  </si>
  <si>
    <t>SPL　Line</t>
  </si>
  <si>
    <t>Trừ các mã PS + 2 mã mới bổ sung chưa có trên PT</t>
  </si>
  <si>
    <t>Bổ sung 4 mã đặt riêng</t>
  </si>
  <si>
    <t>生産数34136→36373、品番数40→56</t>
  </si>
  <si>
    <t>各シーズンの実績</t>
  </si>
  <si>
    <t>担当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</si>
</sst>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);[Red]\(0.00\)"/>
    <numFmt numFmtId="165" formatCode="0.0%"/>
    <numFmt numFmtId="166" formatCode="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8"/>
      <name val="Calibri"/>
      <family val="2"/>
      <scheme val="minor"/>
    </font>
    <font>
      <sz val="2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0"/>
      <name val="ＭＳ Ｐゴシック"/>
    </font>
    <font>
      <sz val="11"/>
      <name val="ＭＳ Ｐゴシック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3" fillId="2" borderId="0" xfId="1" applyFont="1" applyFill="1" applyAlignment="1">
      <alignment horizontal="left" vertical="top"/>
    </xf>
    <xf numFmtId="0" fontId="3" fillId="2" borderId="0" xfId="1" applyFont="1" applyFill="1">
      <alignment vertical="center"/>
    </xf>
    <xf numFmtId="164" fontId="3" fillId="2" borderId="0" xfId="1" applyNumberFormat="1" applyFont="1" applyFill="1" applyAlignment="1">
      <alignment horizontal="right"/>
    </xf>
    <xf numFmtId="165" fontId="3" fillId="2" borderId="0" xfId="1" applyNumberFormat="1" applyFont="1" applyFill="1">
      <alignment vertical="center"/>
    </xf>
    <xf numFmtId="0" fontId="4" fillId="2" borderId="1" xfId="1" applyFont="1" applyFill="1" applyBorder="1">
      <alignment vertical="center"/>
    </xf>
    <xf numFmtId="0" fontId="5" fillId="2" borderId="1" xfId="1" applyFont="1" applyFill="1" applyBorder="1">
      <alignment vertical="center"/>
    </xf>
    <xf numFmtId="0" fontId="5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right" vertical="top"/>
    </xf>
    <xf numFmtId="0" fontId="3" fillId="2" borderId="3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4" xfId="1" applyFont="1" applyFill="1" applyBorder="1">
      <alignment vertical="center"/>
    </xf>
    <xf numFmtId="164" fontId="3" fillId="2" borderId="4" xfId="1" applyNumberFormat="1" applyFont="1" applyFill="1" applyBorder="1" applyAlignment="1">
      <alignment horizontal="right"/>
    </xf>
    <xf numFmtId="0" fontId="3" fillId="2" borderId="0" xfId="1" applyFont="1" applyFill="1" applyAlignment="1">
      <alignment horizontal="center" vertical="center"/>
    </xf>
    <xf numFmtId="0" fontId="3" fillId="2" borderId="13" xfId="1" applyFont="1" applyFill="1" applyBorder="1" applyAlignment="1">
      <alignment horizontal="center" vertical="center" wrapText="1" shrinkToFit="1"/>
    </xf>
    <xf numFmtId="164" fontId="3" fillId="2" borderId="15" xfId="1" applyNumberFormat="1" applyFont="1" applyFill="1" applyBorder="1" applyAlignment="1">
      <alignment horizontal="center" vertical="center" wrapText="1" shrinkToFit="1"/>
    </xf>
    <xf numFmtId="0" fontId="3" fillId="2" borderId="15" xfId="1" applyFont="1" applyFill="1" applyBorder="1" applyAlignment="1">
      <alignment horizontal="left" vertical="top" wrapText="1" shrinkToFit="1"/>
    </xf>
    <xf numFmtId="0" fontId="3" fillId="2" borderId="12" xfId="1" applyFont="1" applyFill="1" applyBorder="1" applyAlignment="1">
      <alignment horizontal="center" vertical="center" shrinkToFit="1"/>
    </xf>
    <xf numFmtId="0" fontId="3" fillId="2" borderId="13" xfId="1" applyFont="1" applyFill="1" applyBorder="1" applyAlignment="1">
      <alignment horizontal="center" vertical="center" shrinkToFi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shrinkToFit="1"/>
    </xf>
    <xf numFmtId="0" fontId="8" fillId="2" borderId="0" xfId="1" applyFont="1" applyFill="1" applyAlignment="1">
      <alignment horizontal="left" vertical="top"/>
    </xf>
    <xf numFmtId="0" fontId="8" fillId="2" borderId="0" xfId="1" applyFont="1" applyFill="1">
      <alignment vertical="center"/>
    </xf>
    <xf numFmtId="0" fontId="7" fillId="2" borderId="40" xfId="1" applyFont="1" applyFill="1" applyBorder="1" applyAlignment="1" applyProtection="1">
      <alignment horizontal="center" vertical="center"/>
      <protection locked="0"/>
    </xf>
    <xf numFmtId="0" fontId="7" fillId="2" borderId="41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 wrapText="1" shrinkToFit="1"/>
    </xf>
    <xf numFmtId="0" fontId="3" fillId="2" borderId="42" xfId="1" applyFont="1" applyFill="1" applyBorder="1" applyAlignment="1">
      <alignment horizontal="center" vertical="center" wrapText="1" shrinkToFit="1"/>
    </xf>
    <xf numFmtId="0" fontId="3" fillId="2" borderId="41" xfId="1" applyFont="1" applyFill="1" applyBorder="1" applyAlignment="1">
      <alignment horizontal="center" vertical="center" wrapText="1" shrinkToFit="1"/>
    </xf>
    <xf numFmtId="0" fontId="3" fillId="2" borderId="43" xfId="1" applyFont="1" applyFill="1" applyBorder="1" applyAlignment="1">
      <alignment horizontal="center" vertical="center" wrapText="1" shrinkToFit="1"/>
    </xf>
    <xf numFmtId="0" fontId="7" fillId="2" borderId="43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vertical="top" wrapText="1"/>
    </xf>
    <xf numFmtId="0" fontId="3" fillId="2" borderId="47" xfId="1" applyFont="1" applyFill="1" applyBorder="1" applyAlignment="1">
      <alignment vertical="top" wrapText="1"/>
    </xf>
    <xf numFmtId="0" fontId="3" fillId="2" borderId="14" xfId="1" applyFont="1" applyFill="1" applyBorder="1" applyAlignment="1">
      <alignment horizontal="center" vertical="center" shrinkToFit="1"/>
    </xf>
    <xf numFmtId="1" fontId="11" fillId="2" borderId="0" xfId="1" applyNumberFormat="1" applyFont="1" applyFill="1" applyAlignment="1">
      <alignment horizontal="centerContinuous" vertical="center"/>
    </xf>
    <xf numFmtId="0" fontId="11" fillId="2" borderId="0" xfId="1" applyFont="1" applyFill="1" applyAlignment="1">
      <alignment horizontal="centerContinuous" vertical="center"/>
    </xf>
    <xf numFmtId="0" fontId="12" fillId="2" borderId="0" xfId="1" applyFont="1" applyFill="1" applyAlignment="1">
      <alignment horizontal="centerContinuous" vertical="top"/>
    </xf>
    <xf numFmtId="0" fontId="0" fillId="0" borderId="0" xfId="0" pivotButton="1"/>
    <xf numFmtId="9" fontId="0" fillId="0" borderId="0" xfId="3" applyFont="1"/>
    <xf numFmtId="3" fontId="3" fillId="2" borderId="0" xfId="1" applyNumberFormat="1" applyFont="1" applyFill="1">
      <alignment vertical="center"/>
    </xf>
    <xf numFmtId="0" fontId="3" fillId="3" borderId="0" xfId="1" applyFont="1" applyFill="1">
      <alignment vertical="center"/>
    </xf>
    <xf numFmtId="10" fontId="0" fillId="0" borderId="0" xfId="0" applyNumberFormat="1"/>
    <xf numFmtId="0" fontId="3" fillId="0" borderId="0" xfId="1" applyFont="1" applyAlignment="1">
      <alignment horizontal="left" vertical="top"/>
    </xf>
    <xf numFmtId="0" fontId="3" fillId="4" borderId="0" xfId="1" applyFont="1" applyFill="1" applyAlignment="1">
      <alignment horizontal="left" vertical="top"/>
    </xf>
    <xf numFmtId="166" fontId="5" fillId="2" borderId="1" xfId="1" applyNumberFormat="1" applyFont="1" applyFill="1" applyBorder="1" applyAlignment="1">
      <alignment horizontal="center" vertical="center"/>
    </xf>
    <xf numFmtId="0" fontId="5" fillId="2" borderId="0" xfId="1" applyFont="1" applyFill="1">
      <alignment vertical="center"/>
    </xf>
    <xf numFmtId="164" fontId="5" fillId="2" borderId="0" xfId="1" applyNumberFormat="1" applyFont="1" applyFill="1" applyAlignment="1">
      <alignment horizontal="right"/>
    </xf>
    <xf numFmtId="0" fontId="3" fillId="0" borderId="20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3" fillId="0" borderId="35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22" xfId="1" applyFont="1" applyBorder="1" applyAlignment="1">
      <alignment horizontal="center" vertical="center"/>
    </xf>
    <xf numFmtId="0" fontId="3" fillId="5" borderId="0" xfId="1" applyFont="1" applyFill="1">
      <alignment vertical="center"/>
    </xf>
    <xf numFmtId="0" fontId="3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4" fontId="3" fillId="0" borderId="19" xfId="1" applyNumberFormat="1" applyFont="1" applyBorder="1" applyAlignment="1">
      <alignment horizontal="right"/>
    </xf>
    <xf numFmtId="0" fontId="2" fillId="0" borderId="17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2" fillId="0" borderId="48" xfId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164" fontId="3" fillId="0" borderId="25" xfId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16" fontId="3" fillId="0" borderId="25" xfId="1" applyNumberFormat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164" fontId="3" fillId="0" borderId="30" xfId="1" applyNumberFormat="1" applyFont="1" applyBorder="1" applyAlignment="1">
      <alignment horizontal="right"/>
    </xf>
    <xf numFmtId="0" fontId="2" fillId="0" borderId="27" xfId="1" applyBorder="1" applyAlignment="1">
      <alignment horizontal="center" vertical="center"/>
    </xf>
    <xf numFmtId="0" fontId="5" fillId="2" borderId="0" xfId="1" applyFont="1" applyFill="1" applyAlignment="1">
      <alignment horizontal="left" vertical="top"/>
    </xf>
    <xf numFmtId="0" fontId="3" fillId="5" borderId="49" xfId="0" applyFont="1" applyFill="1" applyBorder="1"/>
    <xf numFmtId="0" fontId="13" fillId="0" borderId="23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164" fontId="13" fillId="0" borderId="25" xfId="1" applyNumberFormat="1" applyFont="1" applyBorder="1" applyAlignment="1">
      <alignment horizontal="right"/>
    </xf>
    <xf numFmtId="0" fontId="14" fillId="0" borderId="22" xfId="1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3" fillId="2" borderId="37" xfId="1" applyFont="1" applyFill="1" applyBorder="1" applyAlignment="1">
      <alignment horizontal="center" vertical="center"/>
    </xf>
    <xf numFmtId="0" fontId="6" fillId="2" borderId="36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</cellXfs>
  <cellStyles count="4">
    <cellStyle name="Normal" xfId="0" builtinId="0"/>
    <cellStyle name="Normal 2" xfId="1" xr:uid="{98BB49E3-CFA8-4FA1-BC3E-A98C65FE8B80}"/>
    <cellStyle name="Normal 2 2" xfId="2" xr:uid="{0E083D29-7335-4584-AEFA-767D2514528A}"/>
    <cellStyle name="Percent" xfId="3" builtinId="5"/>
  </cellStyles>
  <dxfs count="1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64" formatCode="0.00_);[Red]\(0.00\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/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family val="3"/>
        <charset val="128"/>
        <scheme val="none"/>
      </font>
      <fill>
        <patternFill patternType="solid">
          <fgColor indexed="64"/>
          <bgColor theme="0"/>
        </patternFill>
      </fill>
    </dxf>
    <dxf>
      <font>
        <b/>
        <i/>
        <sz val="20"/>
      </font>
      <fill>
        <patternFill>
          <bgColor theme="2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z val="14"/>
      </font>
      <fill>
        <patternFill>
          <bgColor theme="1" tint="0.34998626667073579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スライサー スタイル 1" pivot="0" table="0" count="5" xr9:uid="{18F6C24B-7538-4413-A4E8-8DC00857857F}">
      <tableStyleElement type="wholeTable" dxfId="145"/>
      <tableStyleElement type="headerRow" dxfId="144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theme="7" tint="0.59996337778862885"/>
            </patternFill>
          </fill>
        </dxf>
        <dxf>
          <font>
            <sz val="14"/>
          </font>
          <fill>
            <patternFill>
              <bgColor theme="7" tint="-0.24994659260841701"/>
            </patternFill>
          </fill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ont>
            <sz val="14"/>
          </font>
          <fill>
            <patternFill>
              <bgColor theme="7" tint="0.39994506668294322"/>
            </patternFill>
          </fill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スライサー スタイル 1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heetMetadata" Target="metadata.xml"/><Relationship Id="rId33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microsoft.com/office/2017/10/relationships/person" Target="persons/person.xml"/><Relationship Id="rId30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[スタッフ翻訳業務時間 19FW-26FW BULK 261012 NEW.xlsx]Pivot!ピボットテーブル5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4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/>
                <a:ea typeface="Calibri"/>
                <a:cs typeface="Calibri"/>
              </a:defRPr>
            </a:pPr>
            <a:r>
              <a:rPr lang="ja-JP" altLang="en-US"/>
              <a:t>シーズン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4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合計 / 生産数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Pivot!$A$4:$B$6</c:f>
              <c:multiLvlStrCache>
                <c:ptCount val="1"/>
                <c:lvl>
                  <c:pt idx="0">
                    <c:v>27SS</c:v>
                  </c:pt>
                </c:lvl>
                <c:lvl>
                  <c:pt idx="0">
                    <c:v>271</c:v>
                  </c:pt>
                </c:lvl>
              </c:multiLvlStrCache>
            </c:multiLvlStrRef>
          </c:cat>
          <c:val>
            <c:numRef>
              <c:f>Pivot!$C$4:$C$6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8B-4BC9-994C-BF2053DD5197}"/>
            </c:ext>
          </c:extLst>
        </c:ser>
        <c:ser>
          <c:idx val="1"/>
          <c:order val="1"/>
          <c:tx>
            <c:strRef>
              <c:f>Pivot!$D$3</c:f>
              <c:strCache>
                <c:ptCount val="1"/>
                <c:pt idx="0">
                  <c:v>合計 / 品番数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Pivot!$A$4:$B$6</c:f>
              <c:multiLvlStrCache>
                <c:ptCount val="1"/>
                <c:lvl>
                  <c:pt idx="0">
                    <c:v>27SS</c:v>
                  </c:pt>
                </c:lvl>
                <c:lvl>
                  <c:pt idx="0">
                    <c:v>271</c:v>
                  </c:pt>
                </c:lvl>
              </c:multiLvlStrCache>
            </c:multiLvlStrRef>
          </c:cat>
          <c:val>
            <c:numRef>
              <c:f>Pivot!$D$4:$D$6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8B-4BC9-994C-BF2053DD5197}"/>
            </c:ext>
          </c:extLst>
        </c:ser>
        <c:ser>
          <c:idx val="2"/>
          <c:order val="2"/>
          <c:tx>
            <c:strRef>
              <c:f>Pivot!$E$3</c:f>
              <c:strCache>
                <c:ptCount val="1"/>
                <c:pt idx="0">
                  <c:v>合計 / 平均秒数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Pivot!$A$4:$B$6</c:f>
              <c:multiLvlStrCache>
                <c:ptCount val="1"/>
                <c:lvl>
                  <c:pt idx="0">
                    <c:v>27SS</c:v>
                  </c:pt>
                </c:lvl>
                <c:lvl>
                  <c:pt idx="0">
                    <c:v>271</c:v>
                  </c:pt>
                </c:lvl>
              </c:multiLvlStrCache>
            </c:multiLvlStrRef>
          </c:cat>
          <c:val>
            <c:numRef>
              <c:f>Pivot!$E$4:$E$6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8B-4BC9-994C-BF2053DD51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0540272"/>
        <c:axId val="413486191"/>
      </c:lineChart>
      <c:catAx>
        <c:axId val="15005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2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86191"/>
        <c:crosses val="autoZero"/>
        <c:auto val="1"/>
        <c:lblAlgn val="ctr"/>
        <c:lblOffset val="100"/>
        <c:noMultiLvlLbl val="0"/>
      </c:catAx>
      <c:valAx>
        <c:axId val="41348619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005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[スタッフ翻訳業務時間 19FW-26FW BULK 261012 NEW.xlsx]Pivot!ピボットテーブル8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ja-JP" altLang="en-US"/>
              <a:t>各担当者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9855034816716589E-3"/>
              <c:y val="-2.8085111401818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947450121059762E-2"/>
              <c:y val="4.36879510694948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9963758704179147E-3"/>
              <c:y val="-3.5886531235656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9909396760447868E-3"/>
              <c:y val="-3.432624726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3.74468152024242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9963758704179147E-3"/>
              <c:y val="-3.5886531235656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3.74468152024242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9909396760447868E-3"/>
              <c:y val="-3.432624726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9855034816716589E-3"/>
              <c:y val="-2.8085111401818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947450121059762E-2"/>
              <c:y val="4.36879510694948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ja-JP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4.3159494175377996E-2"/>
          <c:y val="0.19306757233574756"/>
          <c:w val="0.94797093668004495"/>
          <c:h val="0.73987486276872516"/>
        </c:manualLayout>
      </c:layout>
      <c:lineChart>
        <c:grouping val="standar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合計 / 生産数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728-4E28-B5FF-BB58EE29E1E1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ADA-4CD3-9443-0BED63CB1295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86A3-4AB4-A86E-8293EB9257DB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0A6-42B8-A878-CAC55AF072C3}"/>
              </c:ext>
            </c:extLst>
          </c:dPt>
          <c:dLbls>
            <c:dLbl>
              <c:idx val="3"/>
              <c:layout>
                <c:manualLayout>
                  <c:x val="1.9963758704179147E-3"/>
                  <c:y val="-3.5886531235656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A3-4AB4-A86E-8293EB925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Pivot!$H$4:$H$9</c:f>
              <c:strCache>
                <c:ptCount val="5"/>
                <c:pt idx="0">
                  <c:v>Cuong</c:v>
                </c:pt>
                <c:pt idx="1">
                  <c:v>Hien</c:v>
                </c:pt>
                <c:pt idx="2">
                  <c:v>Luan</c:v>
                </c:pt>
                <c:pt idx="3">
                  <c:v>Nhu</c:v>
                </c:pt>
                <c:pt idx="4">
                  <c:v>Q.Huy</c:v>
                </c:pt>
              </c:strCache>
            </c:strRef>
          </c:cat>
          <c:val>
            <c:numRef>
              <c:f>Pivot!$I$4:$I$9</c:f>
              <c:numCache>
                <c:formatCode>0.00%</c:formatCode>
                <c:ptCount val="5"/>
                <c:pt idx="0">
                  <c:v>0.14645399538618917</c:v>
                </c:pt>
                <c:pt idx="1">
                  <c:v>6.082250627724263E-2</c:v>
                </c:pt>
                <c:pt idx="2">
                  <c:v>0.62324544693667561</c:v>
                </c:pt>
                <c:pt idx="3">
                  <c:v>9.0164303263566198E-2</c:v>
                </c:pt>
                <c:pt idx="4">
                  <c:v>7.9313748136326412E-2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E9-4DE6-A117-8C153966D2A6}"/>
            </c:ext>
          </c:extLst>
        </c:ser>
        <c:ser>
          <c:idx val="1"/>
          <c:order val="1"/>
          <c:tx>
            <c:strRef>
              <c:f>Pivot!$J$3</c:f>
              <c:strCache>
                <c:ptCount val="1"/>
                <c:pt idx="0">
                  <c:v>合計 / 品番数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84-4D1D-8939-C56AD354F0E2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ADA-4CD3-9443-0BED63CB1295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A3-4AB4-A86E-8293EB9257DB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6A3-4AB4-A86E-8293EB9257DB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0A6-42B8-A878-CAC55AF072C3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0A6-42B8-A878-CAC55AF072C3}"/>
              </c:ext>
            </c:extLst>
          </c:dPt>
          <c:dLbls>
            <c:dLbl>
              <c:idx val="2"/>
              <c:layout>
                <c:manualLayout>
                  <c:x val="0"/>
                  <c:y val="-3.7446815202424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A3-4AB4-A86E-8293EB9257DB}"/>
                </c:ext>
              </c:extLst>
            </c:dLbl>
            <c:dLbl>
              <c:idx val="3"/>
              <c:layout>
                <c:manualLayout>
                  <c:x val="-4.9909396760447868E-3"/>
                  <c:y val="-3.4326247268888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A3-4AB4-A86E-8293EB925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Pivot!$H$4:$H$9</c:f>
              <c:strCache>
                <c:ptCount val="5"/>
                <c:pt idx="0">
                  <c:v>Cuong</c:v>
                </c:pt>
                <c:pt idx="1">
                  <c:v>Hien</c:v>
                </c:pt>
                <c:pt idx="2">
                  <c:v>Luan</c:v>
                </c:pt>
                <c:pt idx="3">
                  <c:v>Nhu</c:v>
                </c:pt>
                <c:pt idx="4">
                  <c:v>Q.Huy</c:v>
                </c:pt>
              </c:strCache>
            </c:strRef>
          </c:cat>
          <c:val>
            <c:numRef>
              <c:f>Pivot!$J$4:$J$9</c:f>
              <c:numCache>
                <c:formatCode>0.00%</c:formatCode>
                <c:ptCount val="5"/>
                <c:pt idx="0">
                  <c:v>0.2318840579710145</c:v>
                </c:pt>
                <c:pt idx="1">
                  <c:v>0.19323671497584541</c:v>
                </c:pt>
                <c:pt idx="2">
                  <c:v>0.21739130434782608</c:v>
                </c:pt>
                <c:pt idx="3">
                  <c:v>0.14975845410628019</c:v>
                </c:pt>
                <c:pt idx="4">
                  <c:v>0.20772946859903382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E9-4DE6-A117-8C153966D2A6}"/>
            </c:ext>
          </c:extLst>
        </c:ser>
        <c:ser>
          <c:idx val="2"/>
          <c:order val="2"/>
          <c:tx>
            <c:strRef>
              <c:f>Pivot!$K$3</c:f>
              <c:strCache>
                <c:ptCount val="1"/>
                <c:pt idx="0">
                  <c:v>合計 / 平均秒数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184-4D1D-8939-C56AD354F0E2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BADA-4CD3-9443-0BED63CB1295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A3-4AB4-A86E-8293EB9257DB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6A3-4AB4-A86E-8293EB9257DB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0A6-42B8-A878-CAC55AF072C3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0A6-42B8-A878-CAC55AF072C3}"/>
              </c:ext>
            </c:extLst>
          </c:dPt>
          <c:dLbls>
            <c:dLbl>
              <c:idx val="2"/>
              <c:layout>
                <c:manualLayout>
                  <c:x val="-7.9855034816716589E-3"/>
                  <c:y val="-2.8085111401818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A3-4AB4-A86E-8293EB9257DB}"/>
                </c:ext>
              </c:extLst>
            </c:dLbl>
            <c:dLbl>
              <c:idx val="3"/>
              <c:layout>
                <c:manualLayout>
                  <c:x val="-2.8947450121059762E-2"/>
                  <c:y val="4.3687951069494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A3-4AB4-A86E-8293EB925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Pivot!$H$4:$H$9</c:f>
              <c:strCache>
                <c:ptCount val="5"/>
                <c:pt idx="0">
                  <c:v>Cuong</c:v>
                </c:pt>
                <c:pt idx="1">
                  <c:v>Hien</c:v>
                </c:pt>
                <c:pt idx="2">
                  <c:v>Luan</c:v>
                </c:pt>
                <c:pt idx="3">
                  <c:v>Nhu</c:v>
                </c:pt>
                <c:pt idx="4">
                  <c:v>Q.Huy</c:v>
                </c:pt>
              </c:strCache>
            </c:strRef>
          </c:cat>
          <c:val>
            <c:numRef>
              <c:f>Pivot!$K$4:$K$9</c:f>
              <c:numCache>
                <c:formatCode>0.00%</c:formatCode>
                <c:ptCount val="5"/>
                <c:pt idx="0">
                  <c:v>0.2394964833015045</c:v>
                </c:pt>
                <c:pt idx="1">
                  <c:v>0.2947971493781732</c:v>
                </c:pt>
                <c:pt idx="2">
                  <c:v>8.3143136615585256E-2</c:v>
                </c:pt>
                <c:pt idx="3">
                  <c:v>8.3143136615585256E-2</c:v>
                </c:pt>
                <c:pt idx="4">
                  <c:v>0.29942009408915182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E9-4DE6-A117-8C153966D2A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2977360"/>
        <c:axId val="413603311"/>
      </c:lineChart>
      <c:catAx>
        <c:axId val="15929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2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03311"/>
        <c:crosses val="autoZero"/>
        <c:auto val="1"/>
        <c:lblAlgn val="ctr"/>
        <c:lblOffset val="100"/>
        <c:noMultiLvlLbl val="0"/>
      </c:catAx>
      <c:valAx>
        <c:axId val="41360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7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69273</xdr:rowOff>
    </xdr:from>
    <xdr:to>
      <xdr:col>50</xdr:col>
      <xdr:colOff>607217</xdr:colOff>
      <xdr:row>96</xdr:row>
      <xdr:rowOff>190499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B7D8CDA-EA69-A799-DD95-5142576BF93F}"/>
            </a:ext>
          </a:extLst>
        </xdr:cNvPr>
        <xdr:cNvSpPr/>
      </xdr:nvSpPr>
      <xdr:spPr>
        <a:xfrm>
          <a:off x="0" y="450273"/>
          <a:ext cx="30968155" cy="18028226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333375</xdr:colOff>
      <xdr:row>50</xdr:row>
      <xdr:rowOff>155864</xdr:rowOff>
    </xdr:from>
    <xdr:to>
      <xdr:col>41</xdr:col>
      <xdr:colOff>381000</xdr:colOff>
      <xdr:row>95</xdr:row>
      <xdr:rowOff>142875</xdr:rowOff>
    </xdr:to>
    <xdr:graphicFrame macro="">
      <xdr:nvGraphicFramePr>
        <xdr:cNvPr id="21" name="グラフ 18">
          <a:extLst>
            <a:ext uri="{FF2B5EF4-FFF2-40B4-BE49-F238E27FC236}">
              <a16:creationId xmlns:a16="http://schemas.microsoft.com/office/drawing/2014/main" id="{76019619-BD7E-432F-B428-5929FAC447EF}"/>
            </a:ext>
            <a:ext uri="{147F2762-F138-4A5C-976F-8EAC2B608ADB}">
              <a16:predDERef xmlns:a16="http://schemas.microsoft.com/office/drawing/2014/main" pred="{AB7D8CDA-EA69-A799-DD95-5142576BF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309562</xdr:colOff>
      <xdr:row>4</xdr:row>
      <xdr:rowOff>76200</xdr:rowOff>
    </xdr:from>
    <xdr:to>
      <xdr:col>41</xdr:col>
      <xdr:colOff>381001</xdr:colOff>
      <xdr:row>50</xdr:row>
      <xdr:rowOff>-1</xdr:rowOff>
    </xdr:to>
    <xdr:graphicFrame macro="">
      <xdr:nvGraphicFramePr>
        <xdr:cNvPr id="22" name="グラフ 2">
          <a:extLst>
            <a:ext uri="{FF2B5EF4-FFF2-40B4-BE49-F238E27FC236}">
              <a16:creationId xmlns:a16="http://schemas.microsoft.com/office/drawing/2014/main" id="{C9758839-492F-40DB-AFA5-78806FEC4052}"/>
            </a:ext>
            <a:ext uri="{147F2762-F138-4A5C-976F-8EAC2B608ADB}">
              <a16:predDERef xmlns:a16="http://schemas.microsoft.com/office/drawing/2014/main" pred="{76019619-BD7E-432F-B428-5929FAC44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396078</xdr:colOff>
      <xdr:row>50</xdr:row>
      <xdr:rowOff>186165</xdr:rowOff>
    </xdr:from>
    <xdr:to>
      <xdr:col>50</xdr:col>
      <xdr:colOff>499714</xdr:colOff>
      <xdr:row>69</xdr:row>
      <xdr:rowOff>130665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シーズン">
              <a:extLst>
                <a:ext uri="{FF2B5EF4-FFF2-40B4-BE49-F238E27FC236}">
                  <a16:creationId xmlns:a16="http://schemas.microsoft.com/office/drawing/2014/main" id="{E7A505E1-8F47-4EB8-89B9-7D777297FA33}"/>
                </a:ext>
                <a:ext uri="{147F2762-F138-4A5C-976F-8EAC2B608ADB}">
                  <a16:predDERef xmlns:a16="http://schemas.microsoft.com/office/drawing/2014/main" pred="{757013D2-39AB-2567-A38D-0F241D4D6D2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シーズ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89678" y="9711165"/>
              <a:ext cx="5590036" cy="35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41</xdr:col>
      <xdr:colOff>428448</xdr:colOff>
      <xdr:row>33</xdr:row>
      <xdr:rowOff>160191</xdr:rowOff>
    </xdr:from>
    <xdr:to>
      <xdr:col>50</xdr:col>
      <xdr:colOff>476249</xdr:colOff>
      <xdr:row>49</xdr:row>
      <xdr:rowOff>100191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ブランド担当者">
              <a:extLst>
                <a:ext uri="{FF2B5EF4-FFF2-40B4-BE49-F238E27FC236}">
                  <a16:creationId xmlns:a16="http://schemas.microsoft.com/office/drawing/2014/main" id="{3F7B81A0-7355-4D0D-9973-1A69011C0F39}"/>
                </a:ext>
                <a:ext uri="{147F2762-F138-4A5C-976F-8EAC2B608ADB}">
                  <a16:predDERef xmlns:a16="http://schemas.microsoft.com/office/drawing/2014/main" pred="{E7A505E1-8F47-4EB8-89B9-7D777297FA3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ブランド担当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22048" y="6446691"/>
              <a:ext cx="5534201" cy="29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an, Vanluan/TIVN(VN)" id="{0F9D5E9E-F6E9-4320-B78E-4C3805FE04E3}" userId="S::vanluan.tran.h9@mail.toray::e0811401-8aec-4be6-b26d-882ecac23913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312.517965740743" backgroundQuery="1" createdVersion="8" refreshedVersion="8" minRefreshableVersion="3" recordCount="0" supportSubquery="1" supportAdvancedDrill="1" xr:uid="{C33A9127-90C3-488C-9D9E-A8CDBA552002}">
  <cacheSource type="external" connectionId="2"/>
  <cacheFields count="6">
    <cacheField name="[纏め 1].[シーズン].[シーズン]" caption="シーズン" numFmtId="0" hierarchy="20" level="1">
      <sharedItems count="1">
        <s v="27SS"/>
      </sharedItems>
    </cacheField>
    <cacheField name="[纏め 1].[ブランド担当者].[ブランド担当者]" caption="ブランド担当者" numFmtId="0" hierarchy="19" level="1">
      <sharedItems containsSemiMixedTypes="0" containsNonDate="0" containsString="0"/>
    </cacheField>
    <cacheField name="[Measures].[合計 / 生産数]" caption="合計 / 生産数" numFmtId="0" hierarchy="41" level="32767"/>
    <cacheField name="[Measures].[合計 / 品番数]" caption="合計 / 品番数" numFmtId="0" hierarchy="42" level="32767"/>
    <cacheField name="[Measures].[合計 / 平均秒数]" caption="合計 / 平均秒数" numFmtId="0" hierarchy="47" level="32767"/>
    <cacheField name="[纏め 1].[Season_Order].[Season_Order]" caption="Season_Order" numFmtId="0" hierarchy="27" level="1">
      <sharedItems containsSemiMixedTypes="0" containsString="0" containsNumber="1" containsInteger="1" minValue="271" maxValue="271" count="1">
        <n v="271"/>
      </sharedItems>
      <extLst>
        <ext xmlns:x15="http://schemas.microsoft.com/office/spreadsheetml/2010/11/main" uri="{4F2E5C28-24EA-4eb8-9CBF-B6C8F9C3D259}">
          <x15:cachedUniqueNames>
            <x15:cachedUniqueName index="0" name="[纏め 1].[Season_Order].&amp;[271]"/>
          </x15:cachedUniqueNames>
        </ext>
      </extLst>
    </cacheField>
  </cacheFields>
  <cacheHierarchies count="48">
    <cacheHierarchy uniqueName="[SeasonTotal].[シーズン]" caption="シーズン" attribute="1" defaultMemberUniqueName="[SeasonTotal].[シーズン].[All]" allUniqueName="[SeasonTotal].[シーズン].[All]" dimensionUniqueName="[SeasonTotal]" displayFolder="" count="0" memberValueDatatype="130" unbalanced="0"/>
    <cacheHierarchy uniqueName="[SeasonTotal].[Total生産数]" caption="Total生産数" attribute="1" defaultMemberUniqueName="[SeasonTotal].[Total生産数].[All]" allUniqueName="[SeasonTotal].[Total生産数].[All]" dimensionUniqueName="[SeasonTotal]" displayFolder="" count="0" memberValueDatatype="5" unbalanced="0"/>
    <cacheHierarchy uniqueName="[SeasonTotal].[Total品番数]" caption="Total品番数" attribute="1" defaultMemberUniqueName="[SeasonTotal].[Total品番数].[All]" allUniqueName="[SeasonTotal].[Total品番数].[All]" dimensionUniqueName="[SeasonTotal]" displayFolder="" count="0" memberValueDatatype="5" unbalanced="0"/>
    <cacheHierarchy uniqueName="[SeasonTotal].[Total稼働日数]" caption="Total稼働日数" attribute="1" defaultMemberUniqueName="[SeasonTotal].[Total稼働日数].[All]" allUniqueName="[SeasonTotal].[Total稼働日数].[All]" dimensionUniqueName="[SeasonTotal]" displayFolder="" count="0" memberValueDatatype="5" unbalanced="0"/>
    <cacheHierarchy uniqueName="[纏め].[ブランド担当者]" caption="ブランド担当者" attribute="1" defaultMemberUniqueName="[纏め].[ブランド担当者].[All]" allUniqueName="[纏め].[ブランド担当者].[All]" dimensionUniqueName="[纏め]" displayFolder="" count="0" memberValueDatatype="130" unbalanced="0"/>
    <cacheHierarchy uniqueName="[纏め].[シーズン]" caption="シーズン" attribute="1" defaultMemberUniqueName="[纏め].[シーズン].[All]" allUniqueName="[纏め].[シーズン].[All]" dimensionUniqueName="[纏め]" displayFolder="" count="0" memberValueDatatype="130" unbalanced="0"/>
    <cacheHierarchy uniqueName="[纏め].[ブランド]" caption="ブランド" attribute="1" defaultMemberUniqueName="[纏め].[ブランド].[All]" allUniqueName="[纏め].[ブランド].[All]" dimensionUniqueName="[纏め]" displayFolder="" count="0" memberValueDatatype="130" unbalanced="0"/>
    <cacheHierarchy uniqueName="[纏め].[生産数]" caption="生産数" attribute="1" defaultMemberUniqueName="[纏め].[生産数].[All]" allUniqueName="[纏め].[生産数].[All]" dimensionUniqueName="[纏め]" displayFolder="" count="0" memberValueDatatype="20" unbalanced="0"/>
    <cacheHierarchy uniqueName="[纏め].[品番数]" caption="品番数" attribute="1" defaultMemberUniqueName="[纏め].[品番数].[All]" allUniqueName="[纏め].[品番数].[All]" dimensionUniqueName="[纏め]" displayFolder="" count="0" memberValueDatatype="20" unbalanced="0"/>
    <cacheHierarchy uniqueName="[纏め].[平均秒数]" caption="平均秒数" attribute="1" defaultMemberUniqueName="[纏め].[平均秒数].[All]" allUniqueName="[纏め].[平均秒数].[All]" dimensionUniqueName="[纏め]" displayFolder="" count="0" memberValueDatatype="20" unbalanced="0"/>
    <cacheHierarchy uniqueName="[纏め].[稼働日数]" caption="稼働日数" attribute="1" defaultMemberUniqueName="[纏め].[稼働日数].[All]" allUniqueName="[纏め].[稼働日数].[All]" dimensionUniqueName="[纏め]" displayFolder="" count="0" memberValueDatatype="20" unbalanced="0"/>
    <cacheHierarchy uniqueName="[纏め].[備考]" caption="備考" attribute="1" defaultMemberUniqueName="[纏め].[備考].[All]" allUniqueName="[纏め].[備考].[All]" dimensionUniqueName="[纏め]" displayFolder="" count="0" memberValueDatatype="130" unbalanced="0"/>
    <cacheHierarchy uniqueName="[纏め].[Season_Order]" caption="Season_Order" attribute="1" defaultMemberUniqueName="[纏め].[Season_Order].[All]" allUniqueName="[纏め].[Season_Order].[All]" dimensionUniqueName="[纏め]" displayFolder="" count="0" memberValueDatatype="20" unbalanced="0"/>
    <cacheHierarchy uniqueName="[纏め].[Total生産数]" caption="Total生産数" attribute="1" defaultMemberUniqueName="[纏め].[Total生産数].[All]" allUniqueName="[纏め].[Total生産数].[All]" dimensionUniqueName="[纏め]" displayFolder="" count="0" memberValueDatatype="5" unbalanced="0"/>
    <cacheHierarchy uniqueName="[纏め].[Total品番数]" caption="Total品番数" attribute="1" defaultMemberUniqueName="[纏め].[Total品番数].[All]" allUniqueName="[纏め].[Total品番数].[All]" dimensionUniqueName="[纏め]" displayFolder="" count="0" memberValueDatatype="5" unbalanced="0"/>
    <cacheHierarchy uniqueName="[纏め].[Total稼働日数]" caption="Total稼働日数" attribute="1" defaultMemberUniqueName="[纏め].[Total稼働日数].[All]" allUniqueName="[纏め].[Total稼働日数].[All]" dimensionUniqueName="[纏め]" displayFolder="" count="0" memberValueDatatype="5" unbalanced="0"/>
    <cacheHierarchy uniqueName="[纏め].[生産数%]" caption="生産数%" attribute="1" defaultMemberUniqueName="[纏め].[生産数%].[All]" allUniqueName="[纏め].[生産数%].[All]" dimensionUniqueName="[纏め]" displayFolder="" count="0" memberValueDatatype="5" unbalanced="0"/>
    <cacheHierarchy uniqueName="[纏め].[品番数%]" caption="品番数%" attribute="1" defaultMemberUniqueName="[纏め].[品番数%].[All]" allUniqueName="[纏め].[品番数%].[All]" dimensionUniqueName="[纏め]" displayFolder="" count="0" memberValueDatatype="5" unbalanced="0"/>
    <cacheHierarchy uniqueName="[纏め].[稼働日数%]" caption="稼働日数%" attribute="1" defaultMemberUniqueName="[纏め].[稼働日数%].[All]" allUniqueName="[纏め].[稼働日数%].[All]" dimensionUniqueName="[纏め]" displayFolder="" count="0" memberValueDatatype="5" unbalanced="0"/>
    <cacheHierarchy uniqueName="[纏め 1].[ブランド担当者]" caption="ブランド担当者" attribute="1" defaultMemberUniqueName="[纏め 1].[ブランド担当者].[All]" allUniqueName="[纏め 1].[ブランド担当者].[All]" dimensionUniqueName="[纏め 1]" displayFolder="" count="2" memberValueDatatype="130" unbalanced="0">
      <fieldsUsage count="2">
        <fieldUsage x="-1"/>
        <fieldUsage x="1"/>
      </fieldsUsage>
    </cacheHierarchy>
    <cacheHierarchy uniqueName="[纏め 1].[シーズン]" caption="シーズン" attribute="1" defaultMemberUniqueName="[纏め 1].[シーズン].[All]" allUniqueName="[纏め 1].[シーズン].[All]" dimensionUniqueName="[纏め 1]" displayFolder="" count="2" memberValueDatatype="130" unbalanced="0">
      <fieldsUsage count="2">
        <fieldUsage x="-1"/>
        <fieldUsage x="0"/>
      </fieldsUsage>
    </cacheHierarchy>
    <cacheHierarchy uniqueName="[纏め 1].[ブランド]" caption="ブランド" attribute="1" defaultMemberUniqueName="[纏め 1].[ブランド].[All]" allUniqueName="[纏め 1].[ブランド].[All]" dimensionUniqueName="[纏め 1]" displayFolder="" count="0" memberValueDatatype="130" unbalanced="0"/>
    <cacheHierarchy uniqueName="[纏め 1].[生産数]" caption="生産数" attribute="1" defaultMemberUniqueName="[纏め 1].[生産数].[All]" allUniqueName="[纏め 1].[生産数].[All]" dimensionUniqueName="[纏め 1]" displayFolder="" count="0" memberValueDatatype="20" unbalanced="0"/>
    <cacheHierarchy uniqueName="[纏め 1].[品番数]" caption="品番数" attribute="1" defaultMemberUniqueName="[纏め 1].[品番数].[All]" allUniqueName="[纏め 1].[品番数].[All]" dimensionUniqueName="[纏め 1]" displayFolder="" count="0" memberValueDatatype="20" unbalanced="0"/>
    <cacheHierarchy uniqueName="[纏め 1].[平均秒数]" caption="平均秒数" attribute="1" defaultMemberUniqueName="[纏め 1].[平均秒数].[All]" allUniqueName="[纏め 1].[平均秒数].[All]" dimensionUniqueName="[纏め 1]" displayFolder="" count="0" memberValueDatatype="20" unbalanced="0"/>
    <cacheHierarchy uniqueName="[纏め 1].[稼働日数]" caption="稼働日数" attribute="1" defaultMemberUniqueName="[纏め 1].[稼働日数].[All]" allUniqueName="[纏め 1].[稼働日数].[All]" dimensionUniqueName="[纏め 1]" displayFolder="" count="0" memberValueDatatype="20" unbalanced="0"/>
    <cacheHierarchy uniqueName="[纏め 1].[備考]" caption="備考" attribute="1" defaultMemberUniqueName="[纏め 1].[備考].[All]" allUniqueName="[纏め 1].[備考].[All]" dimensionUniqueName="[纏め 1]" displayFolder="" count="0" memberValueDatatype="130" unbalanced="0"/>
    <cacheHierarchy uniqueName="[纏め 1].[Season_Order]" caption="Season_Order" attribute="1" defaultMemberUniqueName="[纏め 1].[Season_Order].[All]" allUniqueName="[纏め 1].[Season_Order].[All]" dimensionUniqueName="[纏め 1]" displayFolder="" count="2" memberValueDatatype="20" unbalanced="0">
      <fieldsUsage count="2">
        <fieldUsage x="-1"/>
        <fieldUsage x="5"/>
      </fieldsUsage>
    </cacheHierarchy>
    <cacheHierarchy uniqueName="[纏め 1].[Total生産数]" caption="Total生産数" attribute="1" defaultMemberUniqueName="[纏め 1].[Total生産数].[All]" allUniqueName="[纏め 1].[Total生産数].[All]" dimensionUniqueName="[纏め 1]" displayFolder="" count="0" memberValueDatatype="20" unbalanced="0"/>
    <cacheHierarchy uniqueName="[纏め 1].[Total品番数]" caption="Total品番数" attribute="1" defaultMemberUniqueName="[纏め 1].[Total品番数].[All]" allUniqueName="[纏め 1].[Total品番数].[All]" dimensionUniqueName="[纏め 1]" displayFolder="" count="0" memberValueDatatype="20" unbalanced="0"/>
    <cacheHierarchy uniqueName="[纏め 1].[Total稼働日数]" caption="Total稼働日数" attribute="1" defaultMemberUniqueName="[纏め 1].[Total稼働日数].[All]" allUniqueName="[纏め 1].[Total稼働日数].[All]" dimensionUniqueName="[纏め 1]" displayFolder="" count="0" memberValueDatatype="20" unbalanced="0"/>
    <cacheHierarchy uniqueName="[纏め 1].[生産数%]" caption="生産数%" attribute="1" defaultMemberUniqueName="[纏め 1].[生産数%].[All]" allUniqueName="[纏め 1].[生産数%].[All]" dimensionUniqueName="[纏め 1]" displayFolder="" count="0" memberValueDatatype="5" unbalanced="0"/>
    <cacheHierarchy uniqueName="[纏め 1].[品番数%]" caption="品番数%" attribute="1" defaultMemberUniqueName="[纏め 1].[品番数%].[All]" allUniqueName="[纏め 1].[品番数%].[All]" dimensionUniqueName="[纏め 1]" displayFolder="" count="0" memberValueDatatype="5" unbalanced="0"/>
    <cacheHierarchy uniqueName="[纏め 1].[稼働日数%]" caption="稼働日数%" attribute="1" defaultMemberUniqueName="[纏め 1].[稼働日数%].[All]" allUniqueName="[纏め 1].[稼働日数%].[All]" dimensionUniqueName="[纏め 1]" displayFolder="" count="0" memberValueDatatype="5" unbalanced="0"/>
    <cacheHierarchy uniqueName="[Measures].[__XL_Count 纏め]" caption="__XL_Count 纏め" measure="1" displayFolder="" measureGroup="纏め" count="0" hidden="1"/>
    <cacheHierarchy uniqueName="[Measures].[__XL_Count 纏め 1]" caption="__XL_Count 纏め 1" measure="1" displayFolder="" measureGroup="纏め 1" count="0" hidden="1"/>
    <cacheHierarchy uniqueName="[Measures].[__XL_Count SeasonTotal]" caption="__XL_Count SeasonTotal" measure="1" displayFolder="" measureGroup="SeasonTotal" count="0" hidden="1"/>
    <cacheHierarchy uniqueName="[Measures].[__No measures defined]" caption="__No measures defined" measure="1" displayFolder="" count="0" hidden="1"/>
    <cacheHierarchy uniqueName="[Measures].[カウント / 平均秒数]" caption="カウント / 平均秒数" measure="1" displayFolder="" measureGroup="纏め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生産数]" caption="カウント / 生産数" measure="1" displayFolder="" measureGroup="纏め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カウント / 品番数]" caption="カウント / 品番数" measure="1" displayFolder="" measureGroup="纏め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合計 / 生産数]" caption="合計 / 生産数" measure="1" displayFolder="" measureGroup="纏め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合計 / 品番数]" caption="合計 / 品番数" measure="1" displayFolder="" measureGroup="纏め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合計 / 稼働日数]" caption="合計 / 稼働日数" measure="1" displayFolder="" measureGroup="纏め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生産数%]" caption="合計 / 生産数%" measure="1" displayFolder="" measureGroup="纏め 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合計 / 品番数%]" caption="合計 / 品番数%" measure="1" displayFolder="" measureGroup="纏め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合計 / 稼働日数%]" caption="合計 / 稼働日数%" measure="1" displayFolder="" measureGroup="纏め 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合計 / 平均秒数]" caption="合計 / 平均秒数" measure="1" displayFolder="" measureGroup="纏め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SeasonTotal" uniqueName="[SeasonTotal]" caption="SeasonTotal"/>
    <dimension name="纏め" uniqueName="[纏め]" caption="纏め"/>
    <dimension name="纏め 1" uniqueName="[纏め 1]" caption="纏め 1"/>
  </dimensions>
  <measureGroups count="3">
    <measureGroup name="SeasonTotal" caption="SeasonTotal"/>
    <measureGroup name="纏め" caption="纏め"/>
    <measureGroup name="纏め 1" caption="纏め 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312.51796759259" backgroundQuery="1" createdVersion="8" refreshedVersion="8" minRefreshableVersion="3" recordCount="0" supportSubquery="1" supportAdvancedDrill="1" xr:uid="{3CC93F0E-0A78-4732-816D-990203AA250F}">
  <cacheSource type="external" connectionId="2"/>
  <cacheFields count="5">
    <cacheField name="[纏め 1].[シーズン].[シーズン]" caption="シーズン" numFmtId="0" hierarchy="20" level="1">
      <sharedItems containsSemiMixedTypes="0" containsNonDate="0" containsString="0"/>
    </cacheField>
    <cacheField name="[Measures].[合計 / 生産数]" caption="合計 / 生産数" numFmtId="0" hierarchy="41" level="32767"/>
    <cacheField name="[Measures].[合計 / 品番数]" caption="合計 / 品番数" numFmtId="0" hierarchy="42" level="32767"/>
    <cacheField name="[Measures].[合計 / 平均秒数]" caption="合計 / 平均秒数" numFmtId="0" hierarchy="47" level="32767"/>
    <cacheField name="[纏め 1].[ブランド担当者].[ブランド担当者]" caption="ブランド担当者" numFmtId="0" hierarchy="19" level="1">
      <sharedItems count="7">
        <s v="Cuong"/>
        <s v="Hien"/>
        <s v="Luan"/>
        <s v="Nhu"/>
        <s v="Q.Huy"/>
        <s v="B.Trang" u="1"/>
        <s v="H.Trang" u="1"/>
      </sharedItems>
    </cacheField>
  </cacheFields>
  <cacheHierarchies count="48">
    <cacheHierarchy uniqueName="[SeasonTotal].[シーズン]" caption="シーズン" attribute="1" defaultMemberUniqueName="[SeasonTotal].[シーズン].[All]" allUniqueName="[SeasonTotal].[シーズン].[All]" dimensionUniqueName="[SeasonTotal]" displayFolder="" count="0" memberValueDatatype="130" unbalanced="0"/>
    <cacheHierarchy uniqueName="[SeasonTotal].[Total生産数]" caption="Total生産数" attribute="1" defaultMemberUniqueName="[SeasonTotal].[Total生産数].[All]" allUniqueName="[SeasonTotal].[Total生産数].[All]" dimensionUniqueName="[SeasonTotal]" displayFolder="" count="0" memberValueDatatype="5" unbalanced="0"/>
    <cacheHierarchy uniqueName="[SeasonTotal].[Total品番数]" caption="Total品番数" attribute="1" defaultMemberUniqueName="[SeasonTotal].[Total品番数].[All]" allUniqueName="[SeasonTotal].[Total品番数].[All]" dimensionUniqueName="[SeasonTotal]" displayFolder="" count="0" memberValueDatatype="5" unbalanced="0"/>
    <cacheHierarchy uniqueName="[SeasonTotal].[Total稼働日数]" caption="Total稼働日数" attribute="1" defaultMemberUniqueName="[SeasonTotal].[Total稼働日数].[All]" allUniqueName="[SeasonTotal].[Total稼働日数].[All]" dimensionUniqueName="[SeasonTotal]" displayFolder="" count="0" memberValueDatatype="5" unbalanced="0"/>
    <cacheHierarchy uniqueName="[纏め].[ブランド担当者]" caption="ブランド担当者" attribute="1" defaultMemberUniqueName="[纏め].[ブランド担当者].[All]" allUniqueName="[纏め].[ブランド担当者].[All]" dimensionUniqueName="[纏め]" displayFolder="" count="0" memberValueDatatype="130" unbalanced="0"/>
    <cacheHierarchy uniqueName="[纏め].[シーズン]" caption="シーズン" attribute="1" defaultMemberUniqueName="[纏め].[シーズン].[All]" allUniqueName="[纏め].[シーズン].[All]" dimensionUniqueName="[纏め]" displayFolder="" count="0" memberValueDatatype="130" unbalanced="0"/>
    <cacheHierarchy uniqueName="[纏め].[ブランド]" caption="ブランド" attribute="1" defaultMemberUniqueName="[纏め].[ブランド].[All]" allUniqueName="[纏め].[ブランド].[All]" dimensionUniqueName="[纏め]" displayFolder="" count="0" memberValueDatatype="130" unbalanced="0"/>
    <cacheHierarchy uniqueName="[纏め].[生産数]" caption="生産数" attribute="1" defaultMemberUniqueName="[纏め].[生産数].[All]" allUniqueName="[纏め].[生産数].[All]" dimensionUniqueName="[纏め]" displayFolder="" count="0" memberValueDatatype="20" unbalanced="0"/>
    <cacheHierarchy uniqueName="[纏め].[品番数]" caption="品番数" attribute="1" defaultMemberUniqueName="[纏め].[品番数].[All]" allUniqueName="[纏め].[品番数].[All]" dimensionUniqueName="[纏め]" displayFolder="" count="0" memberValueDatatype="20" unbalanced="0"/>
    <cacheHierarchy uniqueName="[纏め].[平均秒数]" caption="平均秒数" attribute="1" defaultMemberUniqueName="[纏め].[平均秒数].[All]" allUniqueName="[纏め].[平均秒数].[All]" dimensionUniqueName="[纏め]" displayFolder="" count="0" memberValueDatatype="20" unbalanced="0"/>
    <cacheHierarchy uniqueName="[纏め].[稼働日数]" caption="稼働日数" attribute="1" defaultMemberUniqueName="[纏め].[稼働日数].[All]" allUniqueName="[纏め].[稼働日数].[All]" dimensionUniqueName="[纏め]" displayFolder="" count="0" memberValueDatatype="20" unbalanced="0"/>
    <cacheHierarchy uniqueName="[纏め].[備考]" caption="備考" attribute="1" defaultMemberUniqueName="[纏め].[備考].[All]" allUniqueName="[纏め].[備考].[All]" dimensionUniqueName="[纏め]" displayFolder="" count="0" memberValueDatatype="130" unbalanced="0"/>
    <cacheHierarchy uniqueName="[纏め].[Season_Order]" caption="Season_Order" attribute="1" defaultMemberUniqueName="[纏め].[Season_Order].[All]" allUniqueName="[纏め].[Season_Order].[All]" dimensionUniqueName="[纏め]" displayFolder="" count="0" memberValueDatatype="20" unbalanced="0"/>
    <cacheHierarchy uniqueName="[纏め].[Total生産数]" caption="Total生産数" attribute="1" defaultMemberUniqueName="[纏め].[Total生産数].[All]" allUniqueName="[纏め].[Total生産数].[All]" dimensionUniqueName="[纏め]" displayFolder="" count="0" memberValueDatatype="5" unbalanced="0"/>
    <cacheHierarchy uniqueName="[纏め].[Total品番数]" caption="Total品番数" attribute="1" defaultMemberUniqueName="[纏め].[Total品番数].[All]" allUniqueName="[纏め].[Total品番数].[All]" dimensionUniqueName="[纏め]" displayFolder="" count="0" memberValueDatatype="5" unbalanced="0"/>
    <cacheHierarchy uniqueName="[纏め].[Total稼働日数]" caption="Total稼働日数" attribute="1" defaultMemberUniqueName="[纏め].[Total稼働日数].[All]" allUniqueName="[纏め].[Total稼働日数].[All]" dimensionUniqueName="[纏め]" displayFolder="" count="0" memberValueDatatype="5" unbalanced="0"/>
    <cacheHierarchy uniqueName="[纏め].[生産数%]" caption="生産数%" attribute="1" defaultMemberUniqueName="[纏め].[生産数%].[All]" allUniqueName="[纏め].[生産数%].[All]" dimensionUniqueName="[纏め]" displayFolder="" count="0" memberValueDatatype="5" unbalanced="0"/>
    <cacheHierarchy uniqueName="[纏め].[品番数%]" caption="品番数%" attribute="1" defaultMemberUniqueName="[纏め].[品番数%].[All]" allUniqueName="[纏め].[品番数%].[All]" dimensionUniqueName="[纏め]" displayFolder="" count="0" memberValueDatatype="5" unbalanced="0"/>
    <cacheHierarchy uniqueName="[纏め].[稼働日数%]" caption="稼働日数%" attribute="1" defaultMemberUniqueName="[纏め].[稼働日数%].[All]" allUniqueName="[纏め].[稼働日数%].[All]" dimensionUniqueName="[纏め]" displayFolder="" count="0" memberValueDatatype="5" unbalanced="0"/>
    <cacheHierarchy uniqueName="[纏め 1].[ブランド担当者]" caption="ブランド担当者" attribute="1" defaultMemberUniqueName="[纏め 1].[ブランド担当者].[All]" allUniqueName="[纏め 1].[ブランド担当者].[All]" dimensionUniqueName="[纏め 1]" displayFolder="" count="2" memberValueDatatype="130" unbalanced="0">
      <fieldsUsage count="2">
        <fieldUsage x="-1"/>
        <fieldUsage x="4"/>
      </fieldsUsage>
    </cacheHierarchy>
    <cacheHierarchy uniqueName="[纏め 1].[シーズン]" caption="シーズン" attribute="1" defaultMemberUniqueName="[纏め 1].[シーズン].[All]" allUniqueName="[纏め 1].[シーズン].[All]" dimensionUniqueName="[纏め 1]" displayFolder="" count="2" memberValueDatatype="130" unbalanced="0">
      <fieldsUsage count="2">
        <fieldUsage x="-1"/>
        <fieldUsage x="0"/>
      </fieldsUsage>
    </cacheHierarchy>
    <cacheHierarchy uniqueName="[纏め 1].[ブランド]" caption="ブランド" attribute="1" defaultMemberUniqueName="[纏め 1].[ブランド].[All]" allUniqueName="[纏め 1].[ブランド].[All]" dimensionUniqueName="[纏め 1]" displayFolder="" count="0" memberValueDatatype="130" unbalanced="0"/>
    <cacheHierarchy uniqueName="[纏め 1].[生産数]" caption="生産数" attribute="1" defaultMemberUniqueName="[纏め 1].[生産数].[All]" allUniqueName="[纏め 1].[生産数].[All]" dimensionUniqueName="[纏め 1]" displayFolder="" count="0" memberValueDatatype="20" unbalanced="0"/>
    <cacheHierarchy uniqueName="[纏め 1].[品番数]" caption="品番数" attribute="1" defaultMemberUniqueName="[纏め 1].[品番数].[All]" allUniqueName="[纏め 1].[品番数].[All]" dimensionUniqueName="[纏め 1]" displayFolder="" count="0" memberValueDatatype="20" unbalanced="0"/>
    <cacheHierarchy uniqueName="[纏め 1].[平均秒数]" caption="平均秒数" attribute="1" defaultMemberUniqueName="[纏め 1].[平均秒数].[All]" allUniqueName="[纏め 1].[平均秒数].[All]" dimensionUniqueName="[纏め 1]" displayFolder="" count="0" memberValueDatatype="20" unbalanced="0"/>
    <cacheHierarchy uniqueName="[纏め 1].[稼働日数]" caption="稼働日数" attribute="1" defaultMemberUniqueName="[纏め 1].[稼働日数].[All]" allUniqueName="[纏め 1].[稼働日数].[All]" dimensionUniqueName="[纏め 1]" displayFolder="" count="0" memberValueDatatype="20" unbalanced="0"/>
    <cacheHierarchy uniqueName="[纏め 1].[備考]" caption="備考" attribute="1" defaultMemberUniqueName="[纏め 1].[備考].[All]" allUniqueName="[纏め 1].[備考].[All]" dimensionUniqueName="[纏め 1]" displayFolder="" count="0" memberValueDatatype="130" unbalanced="0"/>
    <cacheHierarchy uniqueName="[纏め 1].[Season_Order]" caption="Season_Order" attribute="1" defaultMemberUniqueName="[纏め 1].[Season_Order].[All]" allUniqueName="[纏め 1].[Season_Order].[All]" dimensionUniqueName="[纏め 1]" displayFolder="" count="0" memberValueDatatype="20" unbalanced="0"/>
    <cacheHierarchy uniqueName="[纏め 1].[Total生産数]" caption="Total生産数" attribute="1" defaultMemberUniqueName="[纏め 1].[Total生産数].[All]" allUniqueName="[纏め 1].[Total生産数].[All]" dimensionUniqueName="[纏め 1]" displayFolder="" count="0" memberValueDatatype="20" unbalanced="0"/>
    <cacheHierarchy uniqueName="[纏め 1].[Total品番数]" caption="Total品番数" attribute="1" defaultMemberUniqueName="[纏め 1].[Total品番数].[All]" allUniqueName="[纏め 1].[Total品番数].[All]" dimensionUniqueName="[纏め 1]" displayFolder="" count="0" memberValueDatatype="20" unbalanced="0"/>
    <cacheHierarchy uniqueName="[纏め 1].[Total稼働日数]" caption="Total稼働日数" attribute="1" defaultMemberUniqueName="[纏め 1].[Total稼働日数].[All]" allUniqueName="[纏め 1].[Total稼働日数].[All]" dimensionUniqueName="[纏め 1]" displayFolder="" count="0" memberValueDatatype="20" unbalanced="0"/>
    <cacheHierarchy uniqueName="[纏め 1].[生産数%]" caption="生産数%" attribute="1" defaultMemberUniqueName="[纏め 1].[生産数%].[All]" allUniqueName="[纏め 1].[生産数%].[All]" dimensionUniqueName="[纏め 1]" displayFolder="" count="0" memberValueDatatype="5" unbalanced="0"/>
    <cacheHierarchy uniqueName="[纏め 1].[品番数%]" caption="品番数%" attribute="1" defaultMemberUniqueName="[纏め 1].[品番数%].[All]" allUniqueName="[纏め 1].[品番数%].[All]" dimensionUniqueName="[纏め 1]" displayFolder="" count="0" memberValueDatatype="5" unbalanced="0"/>
    <cacheHierarchy uniqueName="[纏め 1].[稼働日数%]" caption="稼働日数%" attribute="1" defaultMemberUniqueName="[纏め 1].[稼働日数%].[All]" allUniqueName="[纏め 1].[稼働日数%].[All]" dimensionUniqueName="[纏め 1]" displayFolder="" count="0" memberValueDatatype="5" unbalanced="0"/>
    <cacheHierarchy uniqueName="[Measures].[__XL_Count 纏め]" caption="__XL_Count 纏め" measure="1" displayFolder="" measureGroup="纏め" count="0" hidden="1"/>
    <cacheHierarchy uniqueName="[Measures].[__XL_Count 纏め 1]" caption="__XL_Count 纏め 1" measure="1" displayFolder="" measureGroup="纏め 1" count="0" hidden="1"/>
    <cacheHierarchy uniqueName="[Measures].[__XL_Count SeasonTotal]" caption="__XL_Count SeasonTotal" measure="1" displayFolder="" measureGroup="SeasonTotal" count="0" hidden="1"/>
    <cacheHierarchy uniqueName="[Measures].[__No measures defined]" caption="__No measures defined" measure="1" displayFolder="" count="0" hidden="1"/>
    <cacheHierarchy uniqueName="[Measures].[カウント / 平均秒数]" caption="カウント / 平均秒数" measure="1" displayFolder="" measureGroup="纏め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生産数]" caption="カウント / 生産数" measure="1" displayFolder="" measureGroup="纏め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カウント / 品番数]" caption="カウント / 品番数" measure="1" displayFolder="" measureGroup="纏め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合計 / 生産数]" caption="合計 / 生産数" measure="1" displayFolder="" measureGroup="纏め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合計 / 品番数]" caption="合計 / 品番数" measure="1" displayFolder="" measureGroup="纏め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合計 / 稼働日数]" caption="合計 / 稼働日数" measure="1" displayFolder="" measureGroup="纏め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生産数%]" caption="合計 / 生産数%" measure="1" displayFolder="" measureGroup="纏め 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合計 / 品番数%]" caption="合計 / 品番数%" measure="1" displayFolder="" measureGroup="纏め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合計 / 稼働日数%]" caption="合計 / 稼働日数%" measure="1" displayFolder="" measureGroup="纏め 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合計 / 平均秒数]" caption="合計 / 平均秒数" measure="1" displayFolder="" measureGroup="纏め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4">
    <dimension measure="1" name="Measures" uniqueName="[Measures]" caption="Measures"/>
    <dimension name="SeasonTotal" uniqueName="[SeasonTotal]" caption="SeasonTotal"/>
    <dimension name="纏め" uniqueName="[纏め]" caption="纏め"/>
    <dimension name="纏め 1" uniqueName="[纏め 1]" caption="纏め 1"/>
  </dimensions>
  <measureGroups count="3">
    <measureGroup name="SeasonTotal" caption="SeasonTotal"/>
    <measureGroup name="纏め" caption="纏め"/>
    <measureGroup name="纏め 1" caption="纏め 1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312.405579745369" backgroundQuery="1" createdVersion="3" refreshedVersion="8" minRefreshableVersion="3" recordCount="0" supportSubquery="1" supportAdvancedDrill="1" xr:uid="{4367F5E4-EE1C-4FE5-A4A7-0EAD612E1A1B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SeasonTotal].[シーズン]" caption="シーズン" attribute="1" defaultMemberUniqueName="[SeasonTotal].[シーズン].[All]" allUniqueName="[SeasonTotal].[シーズン].[All]" dimensionUniqueName="[SeasonTotal]" displayFolder="" count="0" memberValueDatatype="130" unbalanced="0"/>
    <cacheHierarchy uniqueName="[SeasonTotal].[Total生産数]" caption="Total生産数" attribute="1" defaultMemberUniqueName="[SeasonTotal].[Total生産数].[All]" allUniqueName="[SeasonTotal].[Total生産数].[All]" dimensionUniqueName="[SeasonTotal]" displayFolder="" count="0" memberValueDatatype="5" unbalanced="0"/>
    <cacheHierarchy uniqueName="[SeasonTotal].[Total品番数]" caption="Total品番数" attribute="1" defaultMemberUniqueName="[SeasonTotal].[Total品番数].[All]" allUniqueName="[SeasonTotal].[Total品番数].[All]" dimensionUniqueName="[SeasonTotal]" displayFolder="" count="0" memberValueDatatype="5" unbalanced="0"/>
    <cacheHierarchy uniqueName="[SeasonTotal].[Total稼働日数]" caption="Total稼働日数" attribute="1" defaultMemberUniqueName="[SeasonTotal].[Total稼働日数].[All]" allUniqueName="[SeasonTotal].[Total稼働日数].[All]" dimensionUniqueName="[SeasonTotal]" displayFolder="" count="0" memberValueDatatype="5" unbalanced="0"/>
    <cacheHierarchy uniqueName="[纏め].[ブランド担当者]" caption="ブランド担当者" attribute="1" defaultMemberUniqueName="[纏め].[ブランド担当者].[All]" allUniqueName="[纏め].[ブランド担当者].[All]" dimensionUniqueName="[纏め]" displayFolder="" count="0" memberValueDatatype="130" unbalanced="0"/>
    <cacheHierarchy uniqueName="[纏め].[シーズン]" caption="シーズン" attribute="1" defaultMemberUniqueName="[纏め].[シーズン].[All]" allUniqueName="[纏め].[シーズン].[All]" dimensionUniqueName="[纏め]" displayFolder="" count="0" memberValueDatatype="130" unbalanced="0"/>
    <cacheHierarchy uniqueName="[纏め].[ブランド]" caption="ブランド" attribute="1" defaultMemberUniqueName="[纏め].[ブランド].[All]" allUniqueName="[纏め].[ブランド].[All]" dimensionUniqueName="[纏め]" displayFolder="" count="0" memberValueDatatype="130" unbalanced="0"/>
    <cacheHierarchy uniqueName="[纏め].[生産数]" caption="生産数" attribute="1" defaultMemberUniqueName="[纏め].[生産数].[All]" allUniqueName="[纏め].[生産数].[All]" dimensionUniqueName="[纏め]" displayFolder="" count="0" memberValueDatatype="20" unbalanced="0"/>
    <cacheHierarchy uniqueName="[纏め].[品番数]" caption="品番数" attribute="1" defaultMemberUniqueName="[纏め].[品番数].[All]" allUniqueName="[纏め].[品番数].[All]" dimensionUniqueName="[纏め]" displayFolder="" count="0" memberValueDatatype="20" unbalanced="0"/>
    <cacheHierarchy uniqueName="[纏め].[平均秒数]" caption="平均秒数" attribute="1" defaultMemberUniqueName="[纏め].[平均秒数].[All]" allUniqueName="[纏め].[平均秒数].[All]" dimensionUniqueName="[纏め]" displayFolder="" count="0" memberValueDatatype="20" unbalanced="0"/>
    <cacheHierarchy uniqueName="[纏め].[稼働日数]" caption="稼働日数" attribute="1" defaultMemberUniqueName="[纏め].[稼働日数].[All]" allUniqueName="[纏め].[稼働日数].[All]" dimensionUniqueName="[纏め]" displayFolder="" count="0" memberValueDatatype="20" unbalanced="0"/>
    <cacheHierarchy uniqueName="[纏め].[備考]" caption="備考" attribute="1" defaultMemberUniqueName="[纏め].[備考].[All]" allUniqueName="[纏め].[備考].[All]" dimensionUniqueName="[纏め]" displayFolder="" count="0" memberValueDatatype="130" unbalanced="0"/>
    <cacheHierarchy uniqueName="[纏め].[Season_Order]" caption="Season_Order" attribute="1" defaultMemberUniqueName="[纏め].[Season_Order].[All]" allUniqueName="[纏め].[Season_Order].[All]" dimensionUniqueName="[纏め]" displayFolder="" count="0" memberValueDatatype="20" unbalanced="0"/>
    <cacheHierarchy uniqueName="[纏め].[Total生産数]" caption="Total生産数" attribute="1" defaultMemberUniqueName="[纏め].[Total生産数].[All]" allUniqueName="[纏め].[Total生産数].[All]" dimensionUniqueName="[纏め]" displayFolder="" count="0" memberValueDatatype="5" unbalanced="0"/>
    <cacheHierarchy uniqueName="[纏め].[Total品番数]" caption="Total品番数" attribute="1" defaultMemberUniqueName="[纏め].[Total品番数].[All]" allUniqueName="[纏め].[Total品番数].[All]" dimensionUniqueName="[纏め]" displayFolder="" count="0" memberValueDatatype="5" unbalanced="0"/>
    <cacheHierarchy uniqueName="[纏め].[Total稼働日数]" caption="Total稼働日数" attribute="1" defaultMemberUniqueName="[纏め].[Total稼働日数].[All]" allUniqueName="[纏め].[Total稼働日数].[All]" dimensionUniqueName="[纏め]" displayFolder="" count="0" memberValueDatatype="5" unbalanced="0"/>
    <cacheHierarchy uniqueName="[纏め].[生産数%]" caption="生産数%" attribute="1" defaultMemberUniqueName="[纏め].[生産数%].[All]" allUniqueName="[纏め].[生産数%].[All]" dimensionUniqueName="[纏め]" displayFolder="" count="0" memberValueDatatype="5" unbalanced="0"/>
    <cacheHierarchy uniqueName="[纏め].[品番数%]" caption="品番数%" attribute="1" defaultMemberUniqueName="[纏め].[品番数%].[All]" allUniqueName="[纏め].[品番数%].[All]" dimensionUniqueName="[纏め]" displayFolder="" count="0" memberValueDatatype="5" unbalanced="0"/>
    <cacheHierarchy uniqueName="[纏め].[稼働日数%]" caption="稼働日数%" attribute="1" defaultMemberUniqueName="[纏め].[稼働日数%].[All]" allUniqueName="[纏め].[稼働日数%].[All]" dimensionUniqueName="[纏め]" displayFolder="" count="0" memberValueDatatype="5" unbalanced="0"/>
    <cacheHierarchy uniqueName="[纏め 1].[ブランド担当者]" caption="ブランド担当者" attribute="1" defaultMemberUniqueName="[纏め 1].[ブランド担当者].[All]" allUniqueName="[纏め 1].[ブランド担当者].[All]" dimensionUniqueName="[纏め 1]" displayFolder="" count="2" memberValueDatatype="130" unbalanced="0"/>
    <cacheHierarchy uniqueName="[纏め 1].[シーズン]" caption="シーズン" attribute="1" defaultMemberUniqueName="[纏め 1].[シーズン].[All]" allUniqueName="[纏め 1].[シーズン].[All]" dimensionUniqueName="[纏め 1]" displayFolder="" count="2" memberValueDatatype="130" unbalanced="0"/>
    <cacheHierarchy uniqueName="[纏め 1].[ブランド]" caption="ブランド" attribute="1" defaultMemberUniqueName="[纏め 1].[ブランド].[All]" allUniqueName="[纏め 1].[ブランド].[All]" dimensionUniqueName="[纏め 1]" displayFolder="" count="0" memberValueDatatype="130" unbalanced="0"/>
    <cacheHierarchy uniqueName="[纏め 1].[生産数]" caption="生産数" attribute="1" defaultMemberUniqueName="[纏め 1].[生産数].[All]" allUniqueName="[纏め 1].[生産数].[All]" dimensionUniqueName="[纏め 1]" displayFolder="" count="0" memberValueDatatype="20" unbalanced="0"/>
    <cacheHierarchy uniqueName="[纏め 1].[品番数]" caption="品番数" attribute="1" defaultMemberUniqueName="[纏め 1].[品番数].[All]" allUniqueName="[纏め 1].[品番数].[All]" dimensionUniqueName="[纏め 1]" displayFolder="" count="0" memberValueDatatype="20" unbalanced="0"/>
    <cacheHierarchy uniqueName="[纏め 1].[平均秒数]" caption="平均秒数" attribute="1" defaultMemberUniqueName="[纏め 1].[平均秒数].[All]" allUniqueName="[纏め 1].[平均秒数].[All]" dimensionUniqueName="[纏め 1]" displayFolder="" count="0" memberValueDatatype="20" unbalanced="0"/>
    <cacheHierarchy uniqueName="[纏め 1].[稼働日数]" caption="稼働日数" attribute="1" defaultMemberUniqueName="[纏め 1].[稼働日数].[All]" allUniqueName="[纏め 1].[稼働日数].[All]" dimensionUniqueName="[纏め 1]" displayFolder="" count="0" memberValueDatatype="20" unbalanced="0"/>
    <cacheHierarchy uniqueName="[纏め 1].[備考]" caption="備考" attribute="1" defaultMemberUniqueName="[纏め 1].[備考].[All]" allUniqueName="[纏め 1].[備考].[All]" dimensionUniqueName="[纏め 1]" displayFolder="" count="0" memberValueDatatype="130" unbalanced="0"/>
    <cacheHierarchy uniqueName="[纏め 1].[Season_Order]" caption="Season_Order" attribute="1" defaultMemberUniqueName="[纏め 1].[Season_Order].[All]" allUniqueName="[纏め 1].[Season_Order].[All]" dimensionUniqueName="[纏め 1]" displayFolder="" count="0" memberValueDatatype="20" unbalanced="0"/>
    <cacheHierarchy uniqueName="[纏め 1].[Total生産数]" caption="Total生産数" attribute="1" defaultMemberUniqueName="[纏め 1].[Total生産数].[All]" allUniqueName="[纏め 1].[Total生産数].[All]" dimensionUniqueName="[纏め 1]" displayFolder="" count="0" memberValueDatatype="20" unbalanced="0"/>
    <cacheHierarchy uniqueName="[纏め 1].[Total品番数]" caption="Total品番数" attribute="1" defaultMemberUniqueName="[纏め 1].[Total品番数].[All]" allUniqueName="[纏め 1].[Total品番数].[All]" dimensionUniqueName="[纏め 1]" displayFolder="" count="0" memberValueDatatype="20" unbalanced="0"/>
    <cacheHierarchy uniqueName="[纏め 1].[Total稼働日数]" caption="Total稼働日数" attribute="1" defaultMemberUniqueName="[纏め 1].[Total稼働日数].[All]" allUniqueName="[纏め 1].[Total稼働日数].[All]" dimensionUniqueName="[纏め 1]" displayFolder="" count="0" memberValueDatatype="20" unbalanced="0"/>
    <cacheHierarchy uniqueName="[纏め 1].[生産数%]" caption="生産数%" attribute="1" defaultMemberUniqueName="[纏め 1].[生産数%].[All]" allUniqueName="[纏め 1].[生産数%].[All]" dimensionUniqueName="[纏め 1]" displayFolder="" count="0" memberValueDatatype="5" unbalanced="0"/>
    <cacheHierarchy uniqueName="[纏め 1].[品番数%]" caption="品番数%" attribute="1" defaultMemberUniqueName="[纏め 1].[品番数%].[All]" allUniqueName="[纏め 1].[品番数%].[All]" dimensionUniqueName="[纏め 1]" displayFolder="" count="0" memberValueDatatype="5" unbalanced="0"/>
    <cacheHierarchy uniqueName="[纏め 1].[稼働日数%]" caption="稼働日数%" attribute="1" defaultMemberUniqueName="[纏め 1].[稼働日数%].[All]" allUniqueName="[纏め 1].[稼働日数%].[All]" dimensionUniqueName="[纏め 1]" displayFolder="" count="0" memberValueDatatype="5" unbalanced="0"/>
    <cacheHierarchy uniqueName="[Measures].[__XL_Count 纏め]" caption="__XL_Count 纏め" measure="1" displayFolder="" measureGroup="纏め" count="0" hidden="1"/>
    <cacheHierarchy uniqueName="[Measures].[__XL_Count 纏め 1]" caption="__XL_Count 纏め 1" measure="1" displayFolder="" measureGroup="纏め 1" count="0" hidden="1"/>
    <cacheHierarchy uniqueName="[Measures].[__XL_Count SeasonTotal]" caption="__XL_Count SeasonTotal" measure="1" displayFolder="" measureGroup="SeasonTotal" count="0" hidden="1"/>
    <cacheHierarchy uniqueName="[Measures].[__No measures defined]" caption="__No measures defined" measure="1" displayFolder="" count="0" hidden="1"/>
    <cacheHierarchy uniqueName="[Measures].[カウント / 平均秒数]" caption="カウント / 平均秒数" measure="1" displayFolder="" measureGroup="纏め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生産数]" caption="カウント / 生産数" measure="1" displayFolder="" measureGroup="纏め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カウント / 品番数]" caption="カウント / 品番数" measure="1" displayFolder="" measureGroup="纏め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合計 / 生産数]" caption="合計 / 生産数" measure="1" displayFolder="" measureGroup="纏め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合計 / 品番数]" caption="合計 / 品番数" measure="1" displayFolder="" measureGroup="纏め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合計 / 稼働日数]" caption="合計 / 稼働日数" measure="1" displayFolder="" measureGroup="纏め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生産数%]" caption="合計 / 生産数%" measure="1" displayFolder="" measureGroup="纏め 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合計 / 品番数%]" caption="合計 / 品番数%" measure="1" displayFolder="" measureGroup="纏め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合計 / 稼働日数%]" caption="合計 / 稼働日数%" measure="1" displayFolder="" measureGroup="纏め 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合計 / 平均秒数]" caption="合計 / 平均秒数" measure="1" displayFolder="" measureGroup="纏め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0664853"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EDB65-DE7E-41B9-BE16-D50492F94921}" name="ピボットテーブル5" cacheId="0" applyNumberFormats="0" applyBorderFormats="0" applyFontFormats="0" applyPatternFormats="0" applyAlignmentFormats="0" applyWidthHeightFormats="1" dataCaption="値" updatedVersion="8" minRefreshableVersion="3" subtotalHiddenItems="1" itemPrintTitles="1" createdVersion="8" indent="0" compact="0" outline="1" outlineData="1" compactData="0" multipleFieldFilters="0" chartFormat="18">
  <location ref="A3:E6" firstHeaderRow="0" firstDataRow="1" firstDataCol="2" rowPageCount="1" colPageCount="1"/>
  <pivotFields count="6">
    <pivotField axis="axisRow" compact="0" allDrilled="1" showAll="0" sortType="ascending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0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19" name="[纏め 1].[ブランド担当者].[All]" cap="All"/>
  </pageFields>
  <dataFields count="3">
    <dataField name="合計 / 生産数" fld="2" showDataAs="percentOfTotal" baseField="0" baseItem="0" numFmtId="10"/>
    <dataField name="合計 / 品番数" fld="3" showDataAs="percentOfTotal" baseField="0" baseItem="0" numFmtId="10"/>
    <dataField name="合計 / 平均秒数" fld="4" showDataAs="percentOfTotal" baseField="0" baseItem="0" numFmtId="10"/>
  </dataFields>
  <chartFormats count="3"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スタッフ翻訳業務時間 19FW-26FW BULK 260310.xlsx!纏め">
        <x15:activeTabTopLevelEntity name="[纏め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745A8-7862-41EB-8015-B709E08627D0}" name="ピボットテーブル8" cacheId="1" dataPosition="0" applyNumberFormats="0" applyBorderFormats="0" applyFontFormats="0" applyPatternFormats="0" applyAlignmentFormats="0" applyWidthHeightFormats="1" dataCaption="値" updatedVersion="8" minRefreshableVersion="3" subtotalHiddenItems="1" itemPrintTitles="1" createdVersion="8" indent="0" compact="0" outline="1" outlineData="1" compactData="0" multipleFieldFilters="0" chartFormat="22">
  <location ref="H3:K9" firstHeaderRow="0" firstDataRow="1" firstDataCol="1" rowPageCount="1" colPageCount="1"/>
  <pivotFields count="5">
    <pivotField axis="axisPage" compact="0" allDrilled="1" showAll="0" sortType="ascending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20" name="[纏め 1].[シーズン].&amp;[27SS]" cap="27SS"/>
  </pageFields>
  <dataFields count="3">
    <dataField name="合計 / 生産数" fld="1" showDataAs="percentOfTotal" baseField="0" baseItem="0" numFmtId="10"/>
    <dataField name="合計 / 品番数" fld="2" showDataAs="percentOfTotal" baseField="0" baseItem="0" numFmtId="10"/>
    <dataField name="合計 / 平均秒数" fld="3" showDataAs="percentOfTotal" baseField="0" baseItem="0" numFmtId="10"/>
  </dataFields>
  <chartFormats count="24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纏め 1].[シーズン].&amp;[27S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スタッフ翻訳業務時間 19FW-26FW BULK 260310.xlsx!纏め">
        <x15:activeTabTopLevelEntity name="[纏め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939219CD-1297-456A-BE17-EE88F5514BF0}" autoFormatId="16" applyNumberFormats="0" applyBorderFormats="0" applyFontFormats="0" applyPatternFormats="0" applyAlignmentFormats="0" applyWidthHeightFormats="0">
  <queryTableRefresh nextId="19">
    <queryTableFields count="15">
      <queryTableField id="1" name="ブランド担当者" tableColumnId="1"/>
      <queryTableField id="2" name="シーズン" tableColumnId="2"/>
      <queryTableField id="3" name="ブランド" tableColumnId="3"/>
      <queryTableField id="4" name="生産数" tableColumnId="4"/>
      <queryTableField id="5" name="品番数" tableColumnId="5"/>
      <queryTableField id="6" name="平均秒数" tableColumnId="6"/>
      <queryTableField id="7" name="稼働日数" tableColumnId="7"/>
      <queryTableField id="17" name="備考" tableColumnId="15"/>
      <queryTableField id="15" name="Season_Order" tableColumnId="8"/>
      <queryTableField id="9" name="Total生産数" tableColumnId="9"/>
      <queryTableField id="10" name="Total品番数" tableColumnId="10"/>
      <queryTableField id="11" name="Total稼働日数" tableColumnId="11"/>
      <queryTableField id="12" name="生産数%" tableColumnId="12"/>
      <queryTableField id="13" name="品番数%" tableColumnId="13"/>
      <queryTableField id="14" name="稼働日数%" tableColumnId="14"/>
    </queryTableFields>
  </queryTableRefresh>
  <extLst>
    <ext xmlns:x15="http://schemas.microsoft.com/office/spreadsheetml/2010/11/main" uri="{883FBD77-0823-4a55-B5E3-86C4891E6966}">
      <x15:queryTable sourceDataName="クエリ - 纏め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シーズン" xr10:uid="{1366DEAE-4860-45A7-A589-4610CF9E3486}" sourceName="[纏め 1].[シーズン]">
  <pivotTables>
    <pivotTable tabId="26" name="ピボットテーブル5"/>
    <pivotTable tabId="26" name="ピボットテーブル8"/>
  </pivotTables>
  <data>
    <olap pivotCacheId="210664853">
      <levels count="2">
        <level uniqueName="[纏め 1].[シーズン].[(All)]" sourceCaption="(All)" count="0"/>
        <level uniqueName="[纏め 1].[シーズン].[シーズン]" sourceCaption="シーズン" count="16">
          <ranges>
            <range startItem="0">
              <i n="[纏め 1].[シーズン].&amp;[19FW]" c="19FW"/>
              <i n="[纏め 1].[シーズン].&amp;[20FW]" c="20FW"/>
              <i n="[纏め 1].[シーズン].&amp;[20SS]" c="20SS"/>
              <i n="[纏め 1].[シーズン].&amp;[21FW]" c="21FW"/>
              <i n="[纏め 1].[シーズン].&amp;[21SS]" c="21SS"/>
              <i n="[纏め 1].[シーズン].&amp;[22FW]" c="22FW"/>
              <i n="[纏め 1].[シーズン].&amp;[22SS]" c="22SS"/>
              <i n="[纏め 1].[シーズン].&amp;[23FW]" c="23FW"/>
              <i n="[纏め 1].[シーズン].&amp;[23SS]" c="23SS"/>
              <i n="[纏め 1].[シーズン].&amp;[24FW]" c="24FW"/>
              <i n="[纏め 1].[シーズン].&amp;[24SS]" c="24SS"/>
              <i n="[纏め 1].[シーズン].&amp;[25FW]" c="25FW"/>
              <i n="[纏め 1].[シーズン].&amp;[25SS]" c="25SS"/>
              <i n="[纏め 1].[シーズン].&amp;[26FW]" c="26FW"/>
              <i n="[纏め 1].[シーズン].&amp;[26SS]" c="26SS"/>
              <i n="[纏め 1].[シーズン].&amp;[27SS]" c="27SS"/>
            </range>
          </ranges>
        </level>
      </levels>
      <selections count="1">
        <selection n="[纏め 1].[シーズン].&amp;[27SS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ブランド担当者" xr10:uid="{79E443F9-082F-433A-813F-4B3AD2D212A2}" sourceName="[纏め 1].[ブランド担当者]">
  <pivotTables>
    <pivotTable tabId="26" name="ピボットテーブル5"/>
    <pivotTable tabId="26" name="ピボットテーブル8"/>
  </pivotTables>
  <data>
    <olap pivotCacheId="210664853">
      <levels count="2">
        <level uniqueName="[纏め 1].[ブランド担当者].[(All)]" sourceCaption="(All)" count="0"/>
        <level uniqueName="[纏め 1].[ブランド担当者].[ブランド担当者]" sourceCaption="ブランド担当者" count="11" sortOrder="ascending">
          <ranges>
            <range startItem="0">
              <i n="[纏め 1].[ブランド担当者].&amp;[Cuong]" c="Cuong"/>
              <i n="[纏め 1].[ブランド担当者].&amp;[Hien]" c="Hien"/>
              <i n="[纏め 1].[ブランド担当者].&amp;[Luan]" c="Luan"/>
              <i n="[纏め 1].[ブランド担当者].&amp;[Nhu]" c="Nhu"/>
              <i n="[纏め 1].[ブランド担当者].&amp;[Q.Huy]" c="Q.Huy"/>
              <i n="[纏め 1].[ブランド担当者].&amp;[B.Trang]" c="B.Trang" nd="1"/>
              <i n="[纏め 1].[ブランド担当者].&amp;[H.Trang]" c="H.Trang" nd="1"/>
              <i n="[纏め 1].[ブランド担当者].&amp;[Khanh]" c="Khanh" nd="1"/>
              <i n="[纏め 1].[ブランド担当者].&amp;[Phong]" c="Phong" nd="1"/>
              <i n="[纏め 1].[ブランド担当者].&amp;[Thuan]" c="Thuan" nd="1"/>
              <i n="[纏め 1].[ブランド担当者].&amp;[V.Huy]" c="V.Huy" nd="1"/>
            </range>
          </ranges>
        </level>
      </levels>
      <selections count="1">
        <selection n="[纏め 1].[ブランド担当者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シーズン" xr10:uid="{6EA35E58-E7EC-46D0-99B5-234FDFF70B8D}" cache="スライサー_シーズン" caption="シーズン" columnCount="4" level="1" style="スライサー スタイル 1" rowHeight="684000"/>
  <slicer name="ブランド担当者" xr10:uid="{CE91DB92-24E7-4788-A60C-CD89CEEACF62}" cache="スライサー_ブランド担当者" caption="ブランド担当者" columnCount="5" level="1" style="スライサー スタイル 1" rowHeight="756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54C2E-7278-4B3C-8C12-B0A7E1332E1D}" name="通訳作業時間" displayName="通訳作業時間" ref="B5:AG47" totalsRowShown="0" dataDxfId="133" tableBorderDxfId="132" dataCellStyle="Normal 2">
  <autoFilter ref="B5:AG47" xr:uid="{E5754C2E-7278-4B3C-8C12-B0A7E1332E1D}"/>
  <tableColumns count="32">
    <tableColumn id="1" xr3:uid="{7CF72954-04FB-4B09-AE0C-8AE49CC5F94F}" name="　　　　　担当案件Brand" dataDxfId="131" dataCellStyle="Normal 2"/>
    <tableColumn id="2" xr3:uid="{258B9998-7970-494A-95CC-9F3066EE82E2}" name="Huy" dataDxfId="130" dataCellStyle="Normal 2"/>
    <tableColumn id="3" xr3:uid="{74CD2916-845A-41E9-9348-EAA931AEE53F}" name="Luan " dataDxfId="129" dataCellStyle="Normal 2"/>
    <tableColumn id="4" xr3:uid="{A7649665-CE3D-473B-AD49-58D47C2A4179}" name="Cuong " dataDxfId="128" dataCellStyle="Normal 2"/>
    <tableColumn id="5" xr3:uid="{F56C3AA3-8117-4926-AC96-893D9F259077}" name="Khanh" dataDxfId="127" dataCellStyle="Normal 2"/>
    <tableColumn id="6" xr3:uid="{61142F5E-C53F-48F6-BC05-F65CE6E76A40}" name="Hien " dataDxfId="126" dataCellStyle="Normal 2"/>
    <tableColumn id="7" xr3:uid="{7A95FD1A-B272-4DA9-A0FB-13FF1C3B0EDA}" name="H.Trang" dataDxfId="125" dataCellStyle="Normal 2"/>
    <tableColumn id="8" xr3:uid="{AA3497DD-3C30-4239-8E6A-77D2CB4741F3}" name="Nhu" dataDxfId="124" dataCellStyle="Normal 2"/>
    <tableColumn id="9" xr3:uid="{E4F7DA34-B7DD-43DE-A489-934FA839C768}" name="B.Trang" dataDxfId="123" dataCellStyle="Normal 2"/>
    <tableColumn id="10" xr3:uid="{0A896A7E-2A05-4922-AAD6-CC36E8AFD4B7}" name="翻訳業務" dataDxfId="122" dataCellStyle="Normal 2"/>
    <tableColumn id="11" xr3:uid="{D6A5FC42-3AC5-4E90-BDE4-7FF48D1E712A}" name="他業務" dataDxfId="121" dataCellStyle="Normal 2"/>
    <tableColumn id="12" xr3:uid="{97B63A08-26F8-41A5-9913-75F65877C3D1}" name="仕様書" dataDxfId="120" dataCellStyle="Normal 2"/>
    <tableColumn id="13" xr3:uid="{58321A73-13E5-47B9-B37B-3CB979476445}" name="規格書" dataDxfId="119" dataCellStyle="Normal 2"/>
    <tableColumn id="14" xr3:uid="{7B687D62-F6F7-42D1-9D72-A4B943564D4B}" name="バーツリスト" dataDxfId="118" dataCellStyle="Normal 2"/>
    <tableColumn id="15" xr3:uid="{92325808-5BDB-4425-B6CF-585B1C60D02D}" name="加工指示書" dataDxfId="117" dataCellStyle="Normal 2"/>
    <tableColumn id="16" xr3:uid="{FDF0DC56-9E8D-4758-B297-16C0EA67D4AD}" name="寸法表" dataDxfId="116" dataCellStyle="Normal 2"/>
    <tableColumn id="17" xr3:uid="{E1D82322-15B1-45F0-A49F-1BE64424CEFB}" name="コメント" dataDxfId="115" dataCellStyle="Normal 2"/>
    <tableColumn id="18" xr3:uid="{3B25E31A-1859-45DE-9175-3A2F5C0414A9}" name="工場コメント" dataDxfId="114" dataCellStyle="Normal 2"/>
    <tableColumn id="19" xr3:uid="{6C04F138-7F8F-409B-B779-1CCBF85437F9}" name="用尺表" dataDxfId="113" dataCellStyle="Normal 2"/>
    <tableColumn id="20" xr3:uid="{AD50C3BA-9BAA-4ED3-BDD8-08375DF4D427}" name="BOM " dataDxfId="112" dataCellStyle="Normal 2"/>
    <tableColumn id="21" xr3:uid="{433F2EFE-2F2F-4534-8B70-63604A9C1683}" name="合計　時間　　(時間)" dataDxfId="111" dataCellStyle="Normal 2">
      <calculatedColumnFormula>SUM(M6:U6)/60</calculatedColumnFormula>
    </tableColumn>
    <tableColumn id="22" xr3:uid="{63A64CE2-DB02-4754-9C4A-86941F528970}" name="品番毎平均ページ数" dataDxfId="110" dataCellStyle="Normal 2"/>
    <tableColumn id="23" xr3:uid="{1E0B36AD-A250-4AD6-AAE8-F1DD8228647B}" name="1st" dataDxfId="109" dataCellStyle="Normal 2"/>
    <tableColumn id="24" xr3:uid="{FE7D94C7-4E98-4885-B795-97C6FE79FAFE}" name="2nd" dataDxfId="108" dataCellStyle="Normal 2"/>
    <tableColumn id="25" xr3:uid="{1F1A2C4B-6106-46CF-9422-B11A2F0B6B8A}" name="3rd" dataDxfId="107" dataCellStyle="Normal 2"/>
    <tableColumn id="26" xr3:uid="{E3C2C99D-54EA-410F-AF34-5904789F2124}" name="SMS" dataDxfId="106" dataCellStyle="Normal 2"/>
    <tableColumn id="27" xr3:uid="{34EBC44C-CB08-478F-AD76-8E533E29008F}" name="SIZE SET" dataDxfId="105" dataCellStyle="Normal 2"/>
    <tableColumn id="28" xr3:uid="{FACCB849-97B1-4709-8E52-4B38BDD11C02}" name="Re-SIZESET" dataDxfId="104" dataCellStyle="Normal 2"/>
    <tableColumn id="29" xr3:uid="{7054ABD9-0C23-4011-A00B-4D55AF4A275E}" name="PPS" dataDxfId="103" dataCellStyle="Normal 2"/>
    <tableColumn id="30" xr3:uid="{7B71EC56-E1B8-446C-B9C5-4CA706655DD8}" name="Re-PPS" dataDxfId="102" dataCellStyle="Normal 2"/>
    <tableColumn id="31" xr3:uid="{BBBAFCC6-9226-4656-A292-B8A31D263CD6}" name="BULK" dataDxfId="101" dataCellStyle="Normal 2"/>
    <tableColumn id="32" xr3:uid="{6D940EE2-B114-4672-A151-90153B229860}" name="備考" dataDxfId="10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60672-BFBD-4971-8F1B-32A6DC46CB5C}" name="纏め" displayName="纏め" ref="A1:O218" tableType="queryTable" totalsRowShown="0">
  <autoFilter ref="A1:O218" xr:uid="{ADE60672-BFBD-4971-8F1B-32A6DC46CB5C}"/>
  <tableColumns count="15">
    <tableColumn id="1" xr3:uid="{F2F8E8B0-DFA6-4D7C-AA70-D9BA0A74DB56}" uniqueName="1" name="ブランド担当者" queryTableFieldId="1"/>
    <tableColumn id="2" xr3:uid="{31364965-4BD7-4D3E-ACEF-010E9F811161}" uniqueName="2" name="シーズン" queryTableFieldId="2"/>
    <tableColumn id="3" xr3:uid="{950AD7A3-F0A1-4C8F-BCF3-FCBBC988EBE9}" uniqueName="3" name="ブランド" queryTableFieldId="3"/>
    <tableColumn id="4" xr3:uid="{C958A08D-D555-4D40-AE70-5ECA345C905E}" uniqueName="4" name="生産数" queryTableFieldId="4" dataDxfId="99"/>
    <tableColumn id="5" xr3:uid="{D71EE019-F340-4669-8887-03FB94028C87}" uniqueName="5" name="品番数" queryTableFieldId="5" dataDxfId="98"/>
    <tableColumn id="6" xr3:uid="{290F90CA-AAD2-4338-9477-402EE0BC874D}" uniqueName="6" name="平均秒数" queryTableFieldId="6" dataDxfId="97"/>
    <tableColumn id="7" xr3:uid="{8E0C277F-60C9-4A19-82C9-128A7442FEEB}" uniqueName="7" name="稼働日数" queryTableFieldId="7" dataDxfId="96"/>
    <tableColumn id="15" xr3:uid="{BC4C72A1-C088-4ACE-BA34-B26E8FF3E0F8}" uniqueName="15" name="備考" queryTableFieldId="17"/>
    <tableColumn id="8" xr3:uid="{3202B862-233C-4B25-A8A7-3D74DDC36920}" uniqueName="8" name="Season_Order" queryTableFieldId="15"/>
    <tableColumn id="9" xr3:uid="{0BDA85F4-D884-49EE-99DB-5A2803AF5080}" uniqueName="9" name="Total生産数" queryTableFieldId="9"/>
    <tableColumn id="10" xr3:uid="{6C1049C2-A237-4ED8-AC92-D462D9BFD359}" uniqueName="10" name="Total品番数" queryTableFieldId="10"/>
    <tableColumn id="11" xr3:uid="{21927F08-D9FD-4C6A-B836-14A338874EFA}" uniqueName="11" name="Total稼働日数" queryTableFieldId="11"/>
    <tableColumn id="12" xr3:uid="{3EB79769-7A07-4D4D-8FDC-4E910D4A03AA}" uniqueName="12" name="生産数%" queryTableFieldId="12" dataDxfId="95"/>
    <tableColumn id="13" xr3:uid="{DE4766BE-7201-40CF-9034-97F8E2200695}" uniqueName="13" name="品番数%" queryTableFieldId="13" dataDxfId="94"/>
    <tableColumn id="14" xr3:uid="{D3982FE9-A228-44DA-B278-B9CA5AC0C3D9}" uniqueName="14" name="稼働日数%" queryTableFieldId="14" dataDxfId="9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3EF8BB-9FD3-461E-834A-F9B0B35240ED}" name="担当_5678910111213" displayName="担当_5678910111213" ref="A3:H16" totalsRowShown="0" headerRowDxfId="92" dataDxfId="91" headerRowCellStyle="Normal 2" dataCellStyle="Normal 2">
  <autoFilter ref="A3:H16" xr:uid="{591B5C98-B53A-49C9-9417-BFB88E23D481}"/>
  <tableColumns count="8">
    <tableColumn id="1" xr3:uid="{88BB60E6-5273-4835-803B-164C77B2AEC0}" name="ブランド担当者" dataDxfId="90" dataCellStyle="Normal 2">
      <calculatedColumnFormula>$B$2</calculatedColumnFormula>
    </tableColumn>
    <tableColumn id="2" xr3:uid="{25DE8967-3238-48EA-BDDD-9E49F708E92B}" name="シーズン" dataDxfId="89" dataCellStyle="Normal 2"/>
    <tableColumn id="3" xr3:uid="{725C7D76-849C-492D-9653-4F9AB6D3AF59}" name="ブランド" dataDxfId="88" dataCellStyle="Normal 2"/>
    <tableColumn id="4" xr3:uid="{064DC50E-4077-4D0C-9342-4878D825B346}" name="生産数" dataDxfId="87" dataCellStyle="Normal 2"/>
    <tableColumn id="5" xr3:uid="{88A80031-D2DE-4449-B70F-010D95EB4DC1}" name="品番数" dataDxfId="86" dataCellStyle="Normal 2"/>
    <tableColumn id="6" xr3:uid="{1C879303-2576-4597-A212-25469625F5D8}" name="平均秒数" dataDxfId="85" dataCellStyle="Normal 2"/>
    <tableColumn id="7" xr3:uid="{9A13DB09-F02D-4731-BCDE-E09C6FCAE2F5}" name="稼働日数" dataDxfId="84" dataCellStyle="Normal 2"/>
    <tableColumn id="8" xr3:uid="{79B55599-DA09-4EA4-8C8F-F8E7F33C1BE7}" name="備考" dataDxfId="83" dataCellStyle="Normal 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665341-8C8E-4353-803C-A99A5F58155C}" name="担当_56789101112" displayName="担当_56789101112" ref="A3:H16" totalsRowShown="0" headerRowDxfId="82" dataDxfId="81" headerRowCellStyle="Normal 2" dataCellStyle="Normal 2">
  <autoFilter ref="A3:H16" xr:uid="{591B5C98-B53A-49C9-9417-BFB88E23D481}"/>
  <tableColumns count="8">
    <tableColumn id="1" xr3:uid="{95CA326B-EDFF-4B97-8029-930D6DEA112B}" name="ブランド担当者" dataDxfId="80" dataCellStyle="Normal 2">
      <calculatedColumnFormula>$B$2</calculatedColumnFormula>
    </tableColumn>
    <tableColumn id="2" xr3:uid="{93865739-AD62-4449-9E1F-7ECB13EC97D0}" name="シーズン" dataDxfId="79" dataCellStyle="Normal 2"/>
    <tableColumn id="3" xr3:uid="{92A115FA-5E30-4F15-8D61-99A72FFDF317}" name="ブランド" dataDxfId="78" dataCellStyle="Normal 2"/>
    <tableColumn id="4" xr3:uid="{FFEAB8BD-51C3-477D-AC04-4A909506521D}" name="生産数" dataDxfId="77" dataCellStyle="Normal 2"/>
    <tableColumn id="5" xr3:uid="{4B37131B-F4E6-4810-BD39-778FF0267029}" name="品番数" dataDxfId="76" dataCellStyle="Normal 2"/>
    <tableColumn id="6" xr3:uid="{71282A9C-1748-4D97-A7ED-9ADBDA7DD98C}" name="平均秒数" dataDxfId="75" dataCellStyle="Normal 2"/>
    <tableColumn id="7" xr3:uid="{E53BDACD-A333-47BC-A9C9-68C60FBCC8A6}" name="稼働日数" dataDxfId="74" dataCellStyle="Normal 2"/>
    <tableColumn id="8" xr3:uid="{43F48A2B-2CF1-4401-A274-CAAA9D5B59E2}" name="備考" dataDxfId="73" dataCellStyle="Normal 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7B4D53-F8C7-4505-B5C1-E7E07442B0EA}" name="担当_5" displayName="担当_5" ref="A3:H56" totalsRowShown="0" headerRowDxfId="72" dataDxfId="71" headerRowCellStyle="Normal 2" dataCellStyle="Normal 2">
  <autoFilter ref="A3:H56" xr:uid="{591B5C98-B53A-49C9-9417-BFB88E23D481}"/>
  <tableColumns count="8">
    <tableColumn id="1" xr3:uid="{2E50C769-770B-41C9-95FB-B42587BE624E}" name="ブランド担当者" dataDxfId="70" dataCellStyle="Normal 2">
      <calculatedColumnFormula>$B$2</calculatedColumnFormula>
    </tableColumn>
    <tableColumn id="2" xr3:uid="{DBBA883B-2239-4ECF-8D0C-D3761AF412B5}" name="シーズン" dataDxfId="69" dataCellStyle="Normal 2"/>
    <tableColumn id="3" xr3:uid="{1C5CB0E2-DBCD-4027-A82F-64DD567EC174}" name="ブランド" dataDxfId="68" dataCellStyle="Normal 2"/>
    <tableColumn id="4" xr3:uid="{813EE9B9-1121-49C9-9834-134176972E86}" name="生産数" dataDxfId="67" dataCellStyle="Normal 2"/>
    <tableColumn id="5" xr3:uid="{C3555F76-DF18-4C38-9DC4-A0100B5AD2BB}" name="品番数" dataDxfId="66" dataCellStyle="Normal 2"/>
    <tableColumn id="6" xr3:uid="{0836F4D4-DC69-4844-8F2A-5EBF5DCFE777}" name="平均秒数" dataDxfId="65" dataCellStyle="Normal 2"/>
    <tableColumn id="7" xr3:uid="{3B524549-A6C2-4C59-ADA2-5E7B11319B2B}" name="稼働日数" dataDxfId="64" dataCellStyle="Normal 2"/>
    <tableColumn id="8" xr3:uid="{E30F5C02-5241-4121-9288-F346E5DD5B31}" name="備考" dataDxfId="63" dataCellStyle="Normal 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7F832F-EE3B-4C91-9BF6-7EB4975DAEAF}" name="担当_56" displayName="担当_56" ref="A3:H46" totalsRowShown="0" headerRowDxfId="62" dataDxfId="61" headerRowCellStyle="Normal 2" dataCellStyle="Normal 2">
  <autoFilter ref="A3:H46" xr:uid="{591B5C98-B53A-49C9-9417-BFB88E23D481}"/>
  <tableColumns count="8">
    <tableColumn id="1" xr3:uid="{3908F923-1FF5-4787-BBCA-BD717F7AD54C}" name="ブランド担当者" dataDxfId="60" dataCellStyle="Normal 2">
      <calculatedColumnFormula>$B$2</calculatedColumnFormula>
    </tableColumn>
    <tableColumn id="2" xr3:uid="{BABF3AFF-78E6-4A25-86C3-BF019C456608}" name="シーズン" dataDxfId="59" dataCellStyle="Normal 2"/>
    <tableColumn id="3" xr3:uid="{F70EDD6A-B09A-409D-8A21-9A9E692CAA83}" name="ブランド" dataDxfId="58" dataCellStyle="Normal 2"/>
    <tableColumn id="4" xr3:uid="{89085362-F681-4C87-BE70-21571DB03B2F}" name="生産数" dataDxfId="57" dataCellStyle="Normal 2"/>
    <tableColumn id="5" xr3:uid="{D7A32FA9-A70D-4FA0-A4A5-A0E5E5742C39}" name="品番数" dataDxfId="56" dataCellStyle="Normal 2"/>
    <tableColumn id="6" xr3:uid="{E96BFE13-7DC3-4892-8E7E-EDC7F21BE6C8}" name="平均秒数" dataDxfId="55" dataCellStyle="Normal 2"/>
    <tableColumn id="7" xr3:uid="{F87333A2-FC5C-4987-AB74-D46E309583AB}" name="稼働日数" dataDxfId="54" dataCellStyle="Normal 2"/>
    <tableColumn id="8" xr3:uid="{E52CC045-ED49-4D4C-82A3-5351E7F0DD5F}" name="備考" dataDxfId="53" dataCellStyle="Normal 2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373101-AF17-4093-9C3D-DFC90BE7BBAC}" name="担当_5678" displayName="担当_5678" ref="A3:H39" totalsRowShown="0" headerRowDxfId="143" dataDxfId="142" headerRowCellStyle="Normal 2" dataCellStyle="Normal 2">
  <autoFilter ref="A3:H39" xr:uid="{591B5C98-B53A-49C9-9417-BFB88E23D481}"/>
  <tableColumns count="8">
    <tableColumn id="1" xr3:uid="{04DA3220-64D7-4C8D-BCED-39925DF9CECF}" name="ブランド担当者" dataDxfId="141" dataCellStyle="Normal 2">
      <calculatedColumnFormula>$B$2</calculatedColumnFormula>
    </tableColumn>
    <tableColumn id="2" xr3:uid="{ED3720DB-B21A-46A4-AA7E-2818EDB3BE9B}" name="シーズン" dataDxfId="140" dataCellStyle="Normal 2"/>
    <tableColumn id="3" xr3:uid="{C76DF536-AAA0-467F-9D57-2EBA954A14D5}" name="ブランド" dataDxfId="139" dataCellStyle="Normal 2"/>
    <tableColumn id="4" xr3:uid="{B9283CF9-CBA7-40D0-9FC3-62B645FAF328}" name="生産数" dataDxfId="138" dataCellStyle="Normal 2"/>
    <tableColumn id="5" xr3:uid="{FAA1DD32-1511-4C38-B1D5-0012A01EA3D2}" name="品番数" dataDxfId="137" dataCellStyle="Normal 2"/>
    <tableColumn id="6" xr3:uid="{7700BB8F-FAE1-48AD-8318-C5DD4316461F}" name="平均秒数" dataDxfId="136" dataCellStyle="Normal 2"/>
    <tableColumn id="7" xr3:uid="{5C21C23B-15E7-46B4-A581-B4DD769E7092}" name="稼働日数" dataDxfId="135" dataCellStyle="Normal 2"/>
    <tableColumn id="8" xr3:uid="{C25C1D3B-DD03-4C9F-B2F2-C6D24E70951A}" name="備考" dataDxfId="134" dataCellStyle="Normal 2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1B5C98-B53A-49C9-9417-BFB88E23D481}" name="担当" displayName="担当" ref="A3:H22" totalsRowShown="0" headerRowDxfId="52" dataDxfId="51" headerRowCellStyle="Normal 2" dataCellStyle="Normal 2">
  <autoFilter ref="A3:H22" xr:uid="{591B5C98-B53A-49C9-9417-BFB88E23D481}"/>
  <tableColumns count="8">
    <tableColumn id="1" xr3:uid="{D79AE749-F5EB-4DE3-8AC6-DD98AE8FA1BA}" name="ブランド担当者" dataDxfId="50" dataCellStyle="Normal 2">
      <calculatedColumnFormula>$B$2</calculatedColumnFormula>
    </tableColumn>
    <tableColumn id="2" xr3:uid="{C5B94178-9EB0-4ABC-B0FA-FE862148D693}" name="シーズン" dataDxfId="49" dataCellStyle="Normal 2"/>
    <tableColumn id="3" xr3:uid="{E2676EB1-79DE-403B-A869-CE68FDF88DEE}" name="ブランド" dataDxfId="48" dataCellStyle="Normal 2"/>
    <tableColumn id="4" xr3:uid="{C668B25A-F479-4776-B928-4E960818F159}" name="生産数" dataDxfId="47" dataCellStyle="Normal 2"/>
    <tableColumn id="5" xr3:uid="{4BC9014F-1557-4E5A-9F26-283CE8596DAE}" name="品番数" dataDxfId="46" dataCellStyle="Normal 2"/>
    <tableColumn id="6" xr3:uid="{EE2CAD75-573F-44EC-AAFA-112969DE46C1}" name="平均秒数" dataDxfId="45" dataCellStyle="Normal 2"/>
    <tableColumn id="7" xr3:uid="{E4955A61-86A6-4BFF-978F-EF2E70B53613}" name="稼働日数" dataDxfId="44" dataCellStyle="Normal 2"/>
    <tableColumn id="8" xr3:uid="{A987F265-A367-4701-AD7B-76A8A7EE3B55}" name="備考" dataDxfId="43" dataCellStyle="Normal 2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A146BF-5188-4271-8007-AA7EA2FB405A}" name="担当_567" displayName="担当_567" ref="A3:H15" totalsRowShown="0" headerRowDxfId="42" dataDxfId="41" headerRowCellStyle="Normal 2" dataCellStyle="Normal 2">
  <autoFilter ref="A3:H15" xr:uid="{591B5C98-B53A-49C9-9417-BFB88E23D481}"/>
  <tableColumns count="8">
    <tableColumn id="1" xr3:uid="{7D383C85-847D-4BA7-B4C5-B73DAA275892}" name="ブランド担当者" dataDxfId="40" dataCellStyle="Normal 2">
      <calculatedColumnFormula>$B$2</calculatedColumnFormula>
    </tableColumn>
    <tableColumn id="2" xr3:uid="{42D5D644-36D9-46BD-A107-4E772912F945}" name="シーズン" dataDxfId="39" dataCellStyle="Normal 2"/>
    <tableColumn id="3" xr3:uid="{B153C4A2-078D-4920-9052-961A911069EF}" name="ブランド" dataDxfId="38" dataCellStyle="Normal 2"/>
    <tableColumn id="4" xr3:uid="{D1A6C965-3FED-4500-B8DE-446C0F712C0C}" name="生産数" dataDxfId="37" dataCellStyle="Normal 2"/>
    <tableColumn id="5" xr3:uid="{75A2A782-0B21-430F-AB63-58DFFC171F38}" name="品番数" dataDxfId="36" dataCellStyle="Normal 2"/>
    <tableColumn id="6" xr3:uid="{75F67DF5-4468-4C28-8D0F-74555F574A8A}" name="平均秒数" dataDxfId="35" dataCellStyle="Normal 2"/>
    <tableColumn id="7" xr3:uid="{862224A6-E8DE-40CF-9F28-FF13C91FE8DF}" name="稼働日数" dataDxfId="34" dataCellStyle="Normal 2"/>
    <tableColumn id="8" xr3:uid="{170C7897-169A-4997-A39E-33BC4789F3DA}" name="備考" dataDxfId="33" dataCellStyle="Normal 2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D52D34-DD82-4732-9249-F24FD3C40E19}" name="担当_56789101114" displayName="担当_56789101114" ref="A3:H6" totalsRowShown="0" headerRowDxfId="32" dataDxfId="31" headerRowCellStyle="Normal 2" dataCellStyle="Normal 2">
  <autoFilter ref="A3:H6" xr:uid="{591B5C98-B53A-49C9-9417-BFB88E23D481}"/>
  <tableColumns count="8">
    <tableColumn id="1" xr3:uid="{532A7A13-8757-4565-A156-BCE7F6F4DE97}" name="ブランド担当者" dataDxfId="30" dataCellStyle="Normal 2">
      <calculatedColumnFormula>$B$2</calculatedColumnFormula>
    </tableColumn>
    <tableColumn id="2" xr3:uid="{22B35040-6043-4C93-B72C-015B01F434DA}" name="シーズン" dataDxfId="29" dataCellStyle="Normal 2"/>
    <tableColumn id="3" xr3:uid="{CDE99235-EF6A-4070-8174-EA23F3B3B771}" name="ブランド" dataDxfId="28" dataCellStyle="Normal 2"/>
    <tableColumn id="4" xr3:uid="{504FC6DE-5B53-4CD3-8179-4AA45254C08E}" name="生産数" dataDxfId="27" dataCellStyle="Normal 2"/>
    <tableColumn id="5" xr3:uid="{324F206A-0D29-4413-809E-5492916E1D70}" name="品番数" dataDxfId="26" dataCellStyle="Normal 2"/>
    <tableColumn id="6" xr3:uid="{91CF80A7-AA05-435E-957A-19C4E8CFC73F}" name="平均秒数" dataDxfId="25" dataCellStyle="Normal 2"/>
    <tableColumn id="7" xr3:uid="{BE3C1C02-2792-46B2-9F84-EBFE72903525}" name="稼働日数" dataDxfId="24" dataCellStyle="Normal 2"/>
    <tableColumn id="8" xr3:uid="{069D1486-FFB7-48AB-9875-AE4C8E717040}" name="備考" dataDxfId="23" dataCellStyle="Normal 2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7D0A6B-7C3B-4F0C-8F26-C1EF75F9B305}" name="担当_567891011" displayName="担当_567891011" ref="A3:H24" totalsRowShown="0" headerRowDxfId="22" dataDxfId="21" headerRowCellStyle="Normal 2" dataCellStyle="Normal 2">
  <autoFilter ref="A3:H24" xr:uid="{591B5C98-B53A-49C9-9417-BFB88E23D481}"/>
  <tableColumns count="8">
    <tableColumn id="1" xr3:uid="{B54B3660-125D-4C59-9EC5-50E11133E233}" name="ブランド担当者" dataDxfId="20" dataCellStyle="Normal 2">
      <calculatedColumnFormula>$B$2</calculatedColumnFormula>
    </tableColumn>
    <tableColumn id="2" xr3:uid="{A72779B8-181F-4D41-95AA-A5AC08DA6C3D}" name="シーズン" dataDxfId="19" dataCellStyle="Normal 2"/>
    <tableColumn id="3" xr3:uid="{9C9C5FE0-0EDE-4941-8047-15FD22C5AABE}" name="ブランド" dataDxfId="18" dataCellStyle="Normal 2"/>
    <tableColumn id="4" xr3:uid="{960331D4-7B35-4268-BC93-BF5A62BB3F83}" name="生産数" dataDxfId="17" dataCellStyle="Normal 2"/>
    <tableColumn id="5" xr3:uid="{53839397-788C-4A34-AB91-299A1682DC10}" name="品番数" dataDxfId="16" dataCellStyle="Normal 2"/>
    <tableColumn id="6" xr3:uid="{3C6ECF70-9E9E-43C0-8594-E0E08D814D56}" name="平均秒数" dataDxfId="15" dataCellStyle="Normal 2"/>
    <tableColumn id="7" xr3:uid="{3206494C-4349-46DC-9300-BAC8DDC8424D}" name="稼働日数" dataDxfId="14" dataCellStyle="Normal 2"/>
    <tableColumn id="8" xr3:uid="{47DEBB80-A43F-4D68-A41C-C7EDBD892156}" name="備考" dataDxfId="13" dataCellStyle="Normal 2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9C3F1C-E797-45DC-8B2C-65E77EC99EF6}" name="担当_56789" displayName="担当_56789" ref="A3:H6" totalsRowShown="0" headerRowDxfId="12" dataDxfId="11" headerRowCellStyle="Normal 2" dataCellStyle="Normal 2">
  <autoFilter ref="A3:H6" xr:uid="{591B5C98-B53A-49C9-9417-BFB88E23D481}"/>
  <tableColumns count="8">
    <tableColumn id="1" xr3:uid="{7AF30545-6143-4AFC-B136-9614D8828CF8}" name="ブランド担当者" dataDxfId="10" dataCellStyle="Normal 2">
      <calculatedColumnFormula>$B$2</calculatedColumnFormula>
    </tableColumn>
    <tableColumn id="2" xr3:uid="{50C524B0-B719-47FF-8323-C520ECA38D44}" name="シーズン" dataDxfId="9" dataCellStyle="Normal 2"/>
    <tableColumn id="3" xr3:uid="{87934EE4-7E8F-437D-A962-736CA5706064}" name="ブランド" dataDxfId="8" dataCellStyle="Normal 2"/>
    <tableColumn id="4" xr3:uid="{EB1E5F17-CBC1-49EA-9433-2053BD9A2EF7}" name="生産数" dataDxfId="7" dataCellStyle="Normal 2"/>
    <tableColumn id="5" xr3:uid="{779DFB17-C1FA-477D-B4A8-1FF159602530}" name="品番数" dataDxfId="6" dataCellStyle="Normal 2"/>
    <tableColumn id="6" xr3:uid="{A4C1DA29-21D2-4550-AAF7-FD5F46C49C87}" name="平均秒数" dataDxfId="5" dataCellStyle="Normal 2"/>
    <tableColumn id="7" xr3:uid="{9EA76567-11EB-4FE2-A368-FCB62DAACBBF}" name="稼働日数" dataDxfId="4" dataCellStyle="Normal 2"/>
    <tableColumn id="8" xr3:uid="{AA59FCD7-9AC8-4CDB-ACF6-5910515913CE}" name="備考" dataDxfId="3" dataCellStyle="Normal 2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26F130-0C34-4036-8812-F66990430D09}" name="担当_5678910" displayName="担当_5678910" ref="A3:H7" totalsRowShown="0" headerRowDxfId="2" dataDxfId="1" headerRowCellStyle="Normal 2" dataCellStyle="Normal 2">
  <autoFilter ref="A3:H7" xr:uid="{591B5C98-B53A-49C9-9417-BFB88E23D481}"/>
  <tableColumns count="8">
    <tableColumn id="1" xr3:uid="{074CDC2E-5619-42CA-913C-F44704FC41CC}" name="ブランド担当者"/>
    <tableColumn id="2" xr3:uid="{6D29DE5C-78F5-4311-8764-D584BDE9FED7}" name="シーズン"/>
    <tableColumn id="3" xr3:uid="{7A531E8C-C1A1-43F2-84E4-EFAF69D479C9}" name="ブランド"/>
    <tableColumn id="4" xr3:uid="{37C63FC2-B123-4B6D-8BFB-4D1CE3A877F9}" name="生産数"/>
    <tableColumn id="5" xr3:uid="{6255972D-5E0F-4F0C-9AA5-943598EC070C}" name="品番数"/>
    <tableColumn id="6" xr3:uid="{2EA18C2E-1D38-4A06-BF96-CB7737543F12}" name="平均秒数"/>
    <tableColumn id="7" xr3:uid="{E1D33245-1EE5-46C1-AE48-974CA0F4C7EB}" name="稼働日数"/>
    <tableColumn id="8" xr3:uid="{298A8146-0BF9-413D-BEB7-9533021748EB}" name="備考" dataDxfId="0" dataCellStyle="Normal 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6" dT="2026-10-10T15:45:42.02" personId="{0F9D5E9E-F6E9-4320-B78E-4C3805FE04E3}" id="{812CD071-D693-4B9E-BFE2-AB91714CCF98}">
    <text>dcc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D1FE-91C5-4CF4-A6D7-262BE2432B48}">
  <dimension ref="A1:AG84"/>
  <sheetViews>
    <sheetView tabSelected="1" zoomScale="85" zoomScaleNormal="85" zoomScaleSheetLayoutView="40" workbookViewId="0">
      <selection activeCell="O9" sqref="O9"/>
    </sheetView>
  </sheetViews>
  <sheetFormatPr defaultColWidth="9" defaultRowHeight="12" outlineLevelCol="1"/>
  <cols>
    <col min="1" max="1" width="0.88671875" style="2" customWidth="1"/>
    <col min="2" max="2" width="32.33203125" style="1" customWidth="1" collapsed="1"/>
    <col min="3" max="3" width="6.33203125" style="2" customWidth="1"/>
    <col min="4" max="4" width="9.109375" style="2" customWidth="1"/>
    <col min="5" max="5" width="8.6640625" style="2" customWidth="1"/>
    <col min="6" max="6" width="8.109375" style="2" customWidth="1"/>
    <col min="7" max="7" width="7.33203125" style="2" customWidth="1"/>
    <col min="8" max="8" width="9.109375" style="2" customWidth="1"/>
    <col min="9" max="9" width="6.33203125" style="2" customWidth="1"/>
    <col min="10" max="10" width="9.109375" style="2" customWidth="1"/>
    <col min="11" max="11" width="11.109375" style="2" customWidth="1" outlineLevel="1"/>
    <col min="12" max="14" width="9.109375" style="2" customWidth="1" outlineLevel="1"/>
    <col min="15" max="15" width="13.44140625" style="2" customWidth="1" outlineLevel="1"/>
    <col min="16" max="16" width="13.109375" style="2" customWidth="1" outlineLevel="1"/>
    <col min="17" max="18" width="9.109375" style="2" customWidth="1" outlineLevel="1"/>
    <col min="19" max="19" width="13.109375" style="2" customWidth="1" outlineLevel="1"/>
    <col min="20" max="20" width="9.109375" style="2" customWidth="1" outlineLevel="1"/>
    <col min="21" max="21" width="8.33203125" style="2" customWidth="1" outlineLevel="1"/>
    <col min="22" max="22" width="20.88671875" style="3" customWidth="1"/>
    <col min="23" max="23" width="20.6640625" style="2" customWidth="1"/>
    <col min="24" max="24" width="6.109375" style="2" customWidth="1"/>
    <col min="25" max="25" width="6.44140625" style="2" customWidth="1"/>
    <col min="26" max="26" width="6.109375" style="2" customWidth="1"/>
    <col min="27" max="27" width="7.33203125" style="2" customWidth="1"/>
    <col min="28" max="28" width="11.6640625" style="2" customWidth="1"/>
    <col min="29" max="29" width="14.5546875" style="2" customWidth="1"/>
    <col min="30" max="30" width="7" style="2" customWidth="1"/>
    <col min="31" max="31" width="10.5546875" style="2" customWidth="1"/>
    <col min="32" max="32" width="8.109375" style="2" customWidth="1"/>
    <col min="33" max="16384" width="9" style="2"/>
  </cols>
  <sheetData>
    <row r="1" spans="1:33">
      <c r="M1" s="45" t="s">
        <v>0</v>
      </c>
      <c r="V1" s="46" t="s">
        <v>1</v>
      </c>
    </row>
    <row r="2" spans="1:33" ht="15" thickBot="1">
      <c r="B2" s="5" t="s">
        <v>2</v>
      </c>
      <c r="C2" s="6"/>
      <c r="D2" s="7"/>
      <c r="E2" s="7"/>
      <c r="F2" s="7"/>
      <c r="G2" s="7"/>
      <c r="H2" s="7"/>
      <c r="I2" s="7"/>
      <c r="J2" s="7"/>
      <c r="K2" s="7"/>
      <c r="M2" s="44">
        <f>AVERAGE(通訳作業時間[仕様書])</f>
        <v>31.547619047619047</v>
      </c>
      <c r="N2" s="44">
        <f>AVERAGE(通訳作業時間[規格書])</f>
        <v>26.19047619047619</v>
      </c>
      <c r="O2" s="44">
        <f>AVERAGE(通訳作業時間[バーツリスト])</f>
        <v>29.444444444444443</v>
      </c>
      <c r="P2" s="44">
        <f>AVERAGE(通訳作業時間[加工指示書])</f>
        <v>14.642857142857142</v>
      </c>
      <c r="Q2" s="44">
        <f>AVERAGE(通訳作業時間[寸法表])</f>
        <v>14.404761904761905</v>
      </c>
      <c r="R2" s="44">
        <f>AVERAGE(通訳作業時間[コメント])</f>
        <v>20.476190476190474</v>
      </c>
      <c r="S2" s="44">
        <f>AVERAGE(通訳作業時間[工場コメント])</f>
        <v>30.476190476190474</v>
      </c>
      <c r="T2" s="44">
        <f>AVERAGE(通訳作業時間[用尺表])</f>
        <v>10</v>
      </c>
      <c r="U2" s="44" t="e">
        <f>AVERAGE(通訳作業時間[[BOM ]])</f>
        <v>#DIV/0!</v>
      </c>
      <c r="V2" s="44">
        <f>AVERAGE(通訳作業時間[合計　時間　　(時間)])</f>
        <v>2.5100000000000002</v>
      </c>
      <c r="X2" s="7"/>
    </row>
    <row r="3" spans="1:33" ht="13.5" customHeight="1">
      <c r="B3" s="8"/>
      <c r="C3" s="100" t="s">
        <v>3</v>
      </c>
      <c r="D3" s="100"/>
      <c r="E3" s="100"/>
      <c r="F3" s="100"/>
      <c r="G3" s="100"/>
      <c r="H3" s="100"/>
      <c r="I3" s="100"/>
      <c r="J3" s="101"/>
      <c r="K3" s="9"/>
      <c r="L3" s="10"/>
      <c r="M3" s="9"/>
      <c r="N3" s="11"/>
      <c r="O3" s="11"/>
      <c r="P3" s="11"/>
      <c r="Q3" s="11"/>
      <c r="R3" s="11"/>
      <c r="S3" s="11"/>
      <c r="T3" s="11"/>
      <c r="U3" s="11"/>
      <c r="V3" s="12"/>
      <c r="W3" s="10"/>
      <c r="X3" s="9"/>
      <c r="Y3" s="11"/>
      <c r="Z3" s="11"/>
      <c r="AA3" s="11"/>
      <c r="AB3" s="11"/>
      <c r="AC3" s="11"/>
      <c r="AD3" s="11"/>
      <c r="AE3" s="11"/>
      <c r="AF3" s="10"/>
    </row>
    <row r="4" spans="1:33" s="13" customFormat="1" ht="13.5" customHeight="1" thickBot="1">
      <c r="B4" s="31"/>
      <c r="C4" s="102" t="s">
        <v>4</v>
      </c>
      <c r="D4" s="102"/>
      <c r="E4" s="102"/>
      <c r="F4" s="102"/>
      <c r="G4" s="102"/>
      <c r="H4" s="102"/>
      <c r="I4" s="102"/>
      <c r="J4" s="103"/>
      <c r="K4" s="104" t="s">
        <v>5</v>
      </c>
      <c r="L4" s="105"/>
      <c r="M4" s="106" t="s">
        <v>6</v>
      </c>
      <c r="N4" s="107"/>
      <c r="O4" s="107"/>
      <c r="P4" s="107"/>
      <c r="Q4" s="107"/>
      <c r="R4" s="107"/>
      <c r="S4" s="107"/>
      <c r="T4" s="107"/>
      <c r="U4" s="107"/>
      <c r="V4" s="108"/>
      <c r="W4" s="109"/>
      <c r="X4" s="110" t="s">
        <v>7</v>
      </c>
      <c r="Y4" s="111"/>
      <c r="Z4" s="111"/>
      <c r="AA4" s="111"/>
      <c r="AB4" s="111"/>
      <c r="AC4" s="111"/>
      <c r="AD4" s="111"/>
      <c r="AE4" s="111"/>
      <c r="AF4" s="112"/>
    </row>
    <row r="5" spans="1:33" s="20" customFormat="1" ht="48.6" customHeight="1" thickBot="1">
      <c r="B5" s="32" t="s">
        <v>8</v>
      </c>
      <c r="C5" s="23" t="s">
        <v>9</v>
      </c>
      <c r="D5" s="24" t="s">
        <v>10</v>
      </c>
      <c r="E5" s="24" t="s">
        <v>11</v>
      </c>
      <c r="F5" s="24" t="s">
        <v>12</v>
      </c>
      <c r="G5" s="24" t="s">
        <v>13</v>
      </c>
      <c r="H5" s="30" t="s">
        <v>14</v>
      </c>
      <c r="I5" s="25" t="s">
        <v>15</v>
      </c>
      <c r="J5" s="25" t="s">
        <v>16</v>
      </c>
      <c r="K5" s="26" t="s">
        <v>17</v>
      </c>
      <c r="L5" s="27" t="s">
        <v>18</v>
      </c>
      <c r="M5" s="26" t="s">
        <v>19</v>
      </c>
      <c r="N5" s="28" t="s">
        <v>20</v>
      </c>
      <c r="O5" s="28" t="s">
        <v>21</v>
      </c>
      <c r="P5" s="28" t="s">
        <v>22</v>
      </c>
      <c r="Q5" s="28" t="s">
        <v>23</v>
      </c>
      <c r="R5" s="28" t="s">
        <v>24</v>
      </c>
      <c r="S5" s="28" t="s">
        <v>25</v>
      </c>
      <c r="T5" s="29" t="s">
        <v>26</v>
      </c>
      <c r="U5" s="27" t="s">
        <v>27</v>
      </c>
      <c r="V5" s="15" t="s">
        <v>28</v>
      </c>
      <c r="W5" s="16" t="s">
        <v>29</v>
      </c>
      <c r="X5" s="17" t="s">
        <v>30</v>
      </c>
      <c r="Y5" s="18" t="s">
        <v>31</v>
      </c>
      <c r="Z5" s="18" t="s">
        <v>32</v>
      </c>
      <c r="AA5" s="18" t="s">
        <v>33</v>
      </c>
      <c r="AB5" s="14" t="s">
        <v>34</v>
      </c>
      <c r="AC5" s="19" t="s">
        <v>35</v>
      </c>
      <c r="AD5" s="18" t="s">
        <v>36</v>
      </c>
      <c r="AE5" s="14" t="s">
        <v>37</v>
      </c>
      <c r="AF5" s="33" t="s">
        <v>38</v>
      </c>
      <c r="AG5" s="20" t="s">
        <v>39</v>
      </c>
    </row>
    <row r="6" spans="1:33" s="13" customFormat="1" ht="13.5" customHeight="1" thickTop="1">
      <c r="B6" s="47" t="s">
        <v>40</v>
      </c>
      <c r="C6" s="54"/>
      <c r="D6" s="55" t="s">
        <v>41</v>
      </c>
      <c r="E6" s="55"/>
      <c r="F6" s="55"/>
      <c r="G6" s="55"/>
      <c r="H6" s="56"/>
      <c r="I6" s="55"/>
      <c r="J6" s="57"/>
      <c r="K6" s="58">
        <v>30</v>
      </c>
      <c r="L6" s="59">
        <v>70</v>
      </c>
      <c r="M6" s="58">
        <v>40</v>
      </c>
      <c r="N6" s="60">
        <v>40</v>
      </c>
      <c r="O6" s="60">
        <v>30</v>
      </c>
      <c r="P6" s="60">
        <v>20</v>
      </c>
      <c r="Q6" s="60">
        <v>20</v>
      </c>
      <c r="R6" s="60">
        <v>30</v>
      </c>
      <c r="S6" s="60">
        <v>50</v>
      </c>
      <c r="T6" s="61"/>
      <c r="U6" s="59"/>
      <c r="V6" s="62">
        <f t="shared" ref="V6:V47" si="0">SUM(M6:U6)/60</f>
        <v>3.8333333333333335</v>
      </c>
      <c r="W6" s="59">
        <v>12</v>
      </c>
      <c r="X6" s="63"/>
      <c r="Y6" s="64"/>
      <c r="Z6" s="64"/>
      <c r="AA6" s="64"/>
      <c r="AB6" s="64"/>
      <c r="AC6" s="64"/>
      <c r="AD6" s="64" t="s">
        <v>41</v>
      </c>
      <c r="AE6" s="64" t="s">
        <v>41</v>
      </c>
      <c r="AF6" s="65" t="s">
        <v>41</v>
      </c>
      <c r="AG6" s="64"/>
    </row>
    <row r="7" spans="1:33" s="13" customFormat="1" ht="13.35" customHeight="1">
      <c r="B7" s="48" t="s">
        <v>42</v>
      </c>
      <c r="C7" s="66"/>
      <c r="D7" s="52"/>
      <c r="E7" s="52" t="s">
        <v>41</v>
      </c>
      <c r="F7" s="52"/>
      <c r="G7" s="52"/>
      <c r="H7" s="67"/>
      <c r="I7" s="52"/>
      <c r="J7" s="68"/>
      <c r="K7" s="66">
        <v>30</v>
      </c>
      <c r="L7" s="69">
        <v>70</v>
      </c>
      <c r="M7" s="66">
        <v>40</v>
      </c>
      <c r="N7" s="52">
        <v>40</v>
      </c>
      <c r="O7" s="52">
        <v>30</v>
      </c>
      <c r="P7" s="52">
        <v>20</v>
      </c>
      <c r="Q7" s="52">
        <v>20</v>
      </c>
      <c r="R7" s="52">
        <v>20</v>
      </c>
      <c r="S7" s="52">
        <v>30</v>
      </c>
      <c r="T7" s="67"/>
      <c r="U7" s="69"/>
      <c r="V7" s="62">
        <f t="shared" si="0"/>
        <v>3.3333333333333335</v>
      </c>
      <c r="W7" s="69">
        <v>6</v>
      </c>
      <c r="X7" s="70"/>
      <c r="Y7" s="71"/>
      <c r="Z7" s="71"/>
      <c r="AA7" s="71"/>
      <c r="AB7" s="71"/>
      <c r="AC7" s="71"/>
      <c r="AD7" s="71" t="s">
        <v>41</v>
      </c>
      <c r="AE7" s="71" t="s">
        <v>41</v>
      </c>
      <c r="AF7" s="72" t="s">
        <v>41</v>
      </c>
      <c r="AG7" s="71"/>
    </row>
    <row r="8" spans="1:33" s="13" customFormat="1" ht="13.35" customHeight="1">
      <c r="B8" s="49" t="s">
        <v>43</v>
      </c>
      <c r="C8" s="66"/>
      <c r="D8" s="52"/>
      <c r="E8" s="52"/>
      <c r="F8" s="52" t="s">
        <v>41</v>
      </c>
      <c r="G8" s="52"/>
      <c r="H8" s="67"/>
      <c r="I8" s="52"/>
      <c r="J8" s="68"/>
      <c r="K8" s="66">
        <v>40</v>
      </c>
      <c r="L8" s="69">
        <v>60</v>
      </c>
      <c r="M8" s="66">
        <v>40</v>
      </c>
      <c r="N8" s="52">
        <v>40</v>
      </c>
      <c r="O8" s="52">
        <v>30</v>
      </c>
      <c r="P8" s="52">
        <v>20</v>
      </c>
      <c r="Q8" s="52">
        <v>20</v>
      </c>
      <c r="R8" s="52">
        <v>20</v>
      </c>
      <c r="S8" s="52">
        <v>30</v>
      </c>
      <c r="T8" s="67"/>
      <c r="U8" s="69"/>
      <c r="V8" s="62">
        <f t="shared" si="0"/>
        <v>3.3333333333333335</v>
      </c>
      <c r="W8" s="69">
        <v>9</v>
      </c>
      <c r="X8" s="70" t="s">
        <v>41</v>
      </c>
      <c r="Y8" s="71" t="s">
        <v>41</v>
      </c>
      <c r="Z8" s="71"/>
      <c r="AA8" s="71" t="s">
        <v>41</v>
      </c>
      <c r="AB8" s="71"/>
      <c r="AC8" s="71"/>
      <c r="AD8" s="71"/>
      <c r="AE8" s="71"/>
      <c r="AF8" s="72"/>
      <c r="AG8" s="71"/>
    </row>
    <row r="9" spans="1:33" s="13" customFormat="1" ht="13.35" customHeight="1">
      <c r="A9" s="13" t="s">
        <v>44</v>
      </c>
      <c r="B9" s="49" t="s">
        <v>45</v>
      </c>
      <c r="C9" s="66"/>
      <c r="D9" s="52"/>
      <c r="E9" s="52"/>
      <c r="F9" s="52"/>
      <c r="G9" s="52"/>
      <c r="H9" s="67"/>
      <c r="I9" s="52" t="s">
        <v>41</v>
      </c>
      <c r="J9" s="52" t="s">
        <v>41</v>
      </c>
      <c r="K9" s="66">
        <v>40</v>
      </c>
      <c r="L9" s="69">
        <v>60</v>
      </c>
      <c r="M9" s="66">
        <v>40</v>
      </c>
      <c r="N9" s="52">
        <v>40</v>
      </c>
      <c r="O9" s="52">
        <v>30</v>
      </c>
      <c r="P9" s="52">
        <v>20</v>
      </c>
      <c r="Q9" s="52">
        <v>20</v>
      </c>
      <c r="R9" s="52">
        <v>20</v>
      </c>
      <c r="S9" s="52">
        <v>30</v>
      </c>
      <c r="T9" s="67"/>
      <c r="U9" s="69"/>
      <c r="V9" s="62">
        <f t="shared" si="0"/>
        <v>3.3333333333333335</v>
      </c>
      <c r="W9" s="69">
        <v>10</v>
      </c>
      <c r="X9" s="70" t="s">
        <v>41</v>
      </c>
      <c r="Y9" s="71" t="s">
        <v>41</v>
      </c>
      <c r="Z9" s="71"/>
      <c r="AA9" s="71" t="s">
        <v>41</v>
      </c>
      <c r="AB9" s="71"/>
      <c r="AC9" s="71"/>
      <c r="AD9" s="71" t="s">
        <v>41</v>
      </c>
      <c r="AE9" s="71" t="s">
        <v>41</v>
      </c>
      <c r="AF9" s="72" t="s">
        <v>41</v>
      </c>
      <c r="AG9" s="71"/>
    </row>
    <row r="10" spans="1:33" s="13" customFormat="1" ht="13.35" customHeight="1">
      <c r="B10" s="49" t="s">
        <v>46</v>
      </c>
      <c r="C10" s="66" t="s">
        <v>41</v>
      </c>
      <c r="D10" s="52"/>
      <c r="E10" s="52"/>
      <c r="F10" s="52"/>
      <c r="G10" s="52"/>
      <c r="H10" s="67"/>
      <c r="I10" s="67"/>
      <c r="J10" s="69"/>
      <c r="K10" s="66">
        <v>40</v>
      </c>
      <c r="L10" s="69">
        <v>60</v>
      </c>
      <c r="M10" s="66">
        <v>40</v>
      </c>
      <c r="N10" s="52">
        <v>40</v>
      </c>
      <c r="O10" s="52">
        <v>30</v>
      </c>
      <c r="P10" s="52">
        <v>20</v>
      </c>
      <c r="Q10" s="52">
        <v>20</v>
      </c>
      <c r="R10" s="52">
        <v>20</v>
      </c>
      <c r="S10" s="52">
        <v>30</v>
      </c>
      <c r="T10" s="67"/>
      <c r="U10" s="69"/>
      <c r="V10" s="62">
        <f t="shared" si="0"/>
        <v>3.3333333333333335</v>
      </c>
      <c r="W10" s="69">
        <v>11</v>
      </c>
      <c r="X10" s="70" t="s">
        <v>41</v>
      </c>
      <c r="Y10" s="71" t="s">
        <v>41</v>
      </c>
      <c r="Z10" s="71"/>
      <c r="AA10" s="71"/>
      <c r="AB10" s="71"/>
      <c r="AC10" s="71"/>
      <c r="AD10" s="71" t="s">
        <v>41</v>
      </c>
      <c r="AE10" s="71" t="s">
        <v>41</v>
      </c>
      <c r="AF10" s="72" t="s">
        <v>41</v>
      </c>
      <c r="AG10" s="71"/>
    </row>
    <row r="11" spans="1:33" s="13" customFormat="1" ht="13.35" customHeight="1">
      <c r="B11" s="49" t="s">
        <v>47</v>
      </c>
      <c r="C11" s="73"/>
      <c r="D11" s="52"/>
      <c r="E11" s="60" t="s">
        <v>41</v>
      </c>
      <c r="F11" s="52"/>
      <c r="G11" s="52"/>
      <c r="H11" s="61"/>
      <c r="I11" s="61"/>
      <c r="J11" s="69"/>
      <c r="K11" s="58">
        <v>30</v>
      </c>
      <c r="L11" s="59">
        <v>70</v>
      </c>
      <c r="M11" s="58">
        <v>40</v>
      </c>
      <c r="N11" s="60">
        <v>40</v>
      </c>
      <c r="O11" s="60">
        <v>30</v>
      </c>
      <c r="P11" s="60">
        <v>20</v>
      </c>
      <c r="Q11" s="60">
        <v>20</v>
      </c>
      <c r="R11" s="60">
        <v>30</v>
      </c>
      <c r="S11" s="60">
        <v>50</v>
      </c>
      <c r="T11" s="67"/>
      <c r="U11" s="69"/>
      <c r="V11" s="62">
        <f t="shared" si="0"/>
        <v>3.8333333333333335</v>
      </c>
      <c r="W11" s="69">
        <v>8</v>
      </c>
      <c r="X11" s="70" t="s">
        <v>41</v>
      </c>
      <c r="Y11" s="71" t="s">
        <v>41</v>
      </c>
      <c r="Z11" s="71"/>
      <c r="AA11" s="71" t="s">
        <v>41</v>
      </c>
      <c r="AB11" s="71"/>
      <c r="AC11" s="71"/>
      <c r="AD11" s="71" t="s">
        <v>41</v>
      </c>
      <c r="AE11" s="71" t="s">
        <v>41</v>
      </c>
      <c r="AF11" s="72" t="s">
        <v>41</v>
      </c>
      <c r="AG11" s="71"/>
    </row>
    <row r="12" spans="1:33" s="13" customFormat="1" ht="13.5" customHeight="1">
      <c r="B12" s="49" t="s">
        <v>48</v>
      </c>
      <c r="C12" s="66"/>
      <c r="D12" s="52"/>
      <c r="E12" s="52"/>
      <c r="F12" s="52"/>
      <c r="G12" s="52"/>
      <c r="H12" s="67"/>
      <c r="I12" s="52" t="s">
        <v>41</v>
      </c>
      <c r="J12" s="68"/>
      <c r="K12" s="58">
        <v>30</v>
      </c>
      <c r="L12" s="59">
        <v>70</v>
      </c>
      <c r="M12" s="58">
        <v>40</v>
      </c>
      <c r="N12" s="60">
        <v>40</v>
      </c>
      <c r="O12" s="60"/>
      <c r="P12" s="60">
        <v>20</v>
      </c>
      <c r="Q12" s="60">
        <v>20</v>
      </c>
      <c r="R12" s="60">
        <v>30</v>
      </c>
      <c r="S12" s="60">
        <v>50</v>
      </c>
      <c r="T12" s="67"/>
      <c r="U12" s="69"/>
      <c r="V12" s="62">
        <f t="shared" si="0"/>
        <v>3.3333333333333335</v>
      </c>
      <c r="W12" s="69" t="s">
        <v>49</v>
      </c>
      <c r="X12" s="74" t="s">
        <v>41</v>
      </c>
      <c r="Y12" s="71" t="s">
        <v>41</v>
      </c>
      <c r="Z12" s="71"/>
      <c r="AA12" s="71"/>
      <c r="AB12" s="71"/>
      <c r="AC12" s="71" t="s">
        <v>41</v>
      </c>
      <c r="AD12" s="71" t="s">
        <v>41</v>
      </c>
      <c r="AE12" s="71"/>
      <c r="AF12" s="75" t="s">
        <v>41</v>
      </c>
      <c r="AG12" s="71"/>
    </row>
    <row r="13" spans="1:33" s="13" customFormat="1" ht="13.5" customHeight="1">
      <c r="B13" s="49" t="s">
        <v>50</v>
      </c>
      <c r="C13" s="66"/>
      <c r="D13" s="52"/>
      <c r="E13" s="52"/>
      <c r="F13" s="52"/>
      <c r="G13" s="52"/>
      <c r="H13" s="67"/>
      <c r="I13" s="67"/>
      <c r="J13" s="69"/>
      <c r="K13" s="58">
        <v>30</v>
      </c>
      <c r="L13" s="59">
        <v>70</v>
      </c>
      <c r="M13" s="58">
        <v>40</v>
      </c>
      <c r="N13" s="60">
        <v>40</v>
      </c>
      <c r="O13" s="60"/>
      <c r="P13" s="60">
        <v>20</v>
      </c>
      <c r="Q13" s="60">
        <v>20</v>
      </c>
      <c r="R13" s="60">
        <v>30</v>
      </c>
      <c r="S13" s="60">
        <v>50</v>
      </c>
      <c r="T13" s="67"/>
      <c r="U13" s="69"/>
      <c r="V13" s="62">
        <f t="shared" si="0"/>
        <v>3.3333333333333335</v>
      </c>
      <c r="W13" s="69" t="s">
        <v>51</v>
      </c>
      <c r="X13" s="74" t="s">
        <v>41</v>
      </c>
      <c r="Y13" s="71" t="s">
        <v>41</v>
      </c>
      <c r="Z13" s="71"/>
      <c r="AA13" s="71" t="s">
        <v>41</v>
      </c>
      <c r="AB13" s="71"/>
      <c r="AC13" s="71"/>
      <c r="AD13" s="71" t="s">
        <v>41</v>
      </c>
      <c r="AE13" s="71"/>
      <c r="AF13" s="75" t="s">
        <v>41</v>
      </c>
      <c r="AG13" s="71"/>
    </row>
    <row r="14" spans="1:33" s="13" customFormat="1" ht="13.5" customHeight="1">
      <c r="B14" s="49" t="s">
        <v>52</v>
      </c>
      <c r="C14" s="73"/>
      <c r="D14" s="52"/>
      <c r="E14" s="52"/>
      <c r="F14" s="52"/>
      <c r="G14" s="52"/>
      <c r="H14" s="67"/>
      <c r="I14" s="67"/>
      <c r="J14" s="69"/>
      <c r="K14" s="66">
        <v>30</v>
      </c>
      <c r="L14" s="69">
        <v>70</v>
      </c>
      <c r="M14" s="66">
        <v>40</v>
      </c>
      <c r="N14" s="52">
        <v>40</v>
      </c>
      <c r="O14" s="52">
        <v>30</v>
      </c>
      <c r="P14" s="52">
        <v>20</v>
      </c>
      <c r="Q14" s="52">
        <v>20</v>
      </c>
      <c r="R14" s="52">
        <v>20</v>
      </c>
      <c r="S14" s="52">
        <v>30</v>
      </c>
      <c r="T14" s="67"/>
      <c r="U14" s="69"/>
      <c r="V14" s="62">
        <f t="shared" si="0"/>
        <v>3.3333333333333335</v>
      </c>
      <c r="W14" s="69">
        <v>6</v>
      </c>
      <c r="X14" s="74" t="s">
        <v>41</v>
      </c>
      <c r="Y14" s="71" t="s">
        <v>41</v>
      </c>
      <c r="Z14" s="71"/>
      <c r="AA14" s="71" t="s">
        <v>41</v>
      </c>
      <c r="AB14" s="71"/>
      <c r="AC14" s="71"/>
      <c r="AD14" s="71" t="s">
        <v>41</v>
      </c>
      <c r="AE14" s="71"/>
      <c r="AF14" s="75" t="s">
        <v>41</v>
      </c>
      <c r="AG14" s="71"/>
    </row>
    <row r="15" spans="1:33" s="13" customFormat="1" ht="13.5" customHeight="1">
      <c r="B15" s="49" t="s">
        <v>53</v>
      </c>
      <c r="C15" s="66" t="s">
        <v>41</v>
      </c>
      <c r="D15" s="52"/>
      <c r="E15" s="52"/>
      <c r="F15" s="52"/>
      <c r="G15" s="52"/>
      <c r="H15" s="67"/>
      <c r="I15" s="67"/>
      <c r="J15" s="69"/>
      <c r="K15" s="66">
        <v>20</v>
      </c>
      <c r="L15" s="69">
        <v>80</v>
      </c>
      <c r="M15" s="66">
        <v>60</v>
      </c>
      <c r="N15" s="52">
        <v>30</v>
      </c>
      <c r="O15" s="52"/>
      <c r="P15" s="52">
        <v>10</v>
      </c>
      <c r="Q15" s="52">
        <v>10</v>
      </c>
      <c r="R15" s="52">
        <v>30</v>
      </c>
      <c r="S15" s="52">
        <v>10</v>
      </c>
      <c r="T15" s="67"/>
      <c r="U15" s="69"/>
      <c r="V15" s="62">
        <f t="shared" si="0"/>
        <v>2.5</v>
      </c>
      <c r="W15" s="69" t="s">
        <v>49</v>
      </c>
      <c r="X15" s="74" t="s">
        <v>41</v>
      </c>
      <c r="Y15" s="71" t="s">
        <v>41</v>
      </c>
      <c r="Z15" s="71"/>
      <c r="AA15" s="71"/>
      <c r="AB15" s="71"/>
      <c r="AC15" s="71"/>
      <c r="AD15" s="71" t="s">
        <v>41</v>
      </c>
      <c r="AE15" s="71"/>
      <c r="AF15" s="75"/>
      <c r="AG15" s="71"/>
    </row>
    <row r="16" spans="1:33" s="13" customFormat="1" ht="13.35" customHeight="1">
      <c r="B16" s="49" t="s">
        <v>54</v>
      </c>
      <c r="C16" s="66"/>
      <c r="D16" s="52"/>
      <c r="E16" s="52"/>
      <c r="F16" s="52"/>
      <c r="G16" s="52"/>
      <c r="H16" s="67"/>
      <c r="I16" s="67"/>
      <c r="J16" s="69"/>
      <c r="K16" s="66">
        <v>30</v>
      </c>
      <c r="L16" s="69">
        <v>70</v>
      </c>
      <c r="M16" s="66">
        <v>40</v>
      </c>
      <c r="N16" s="52">
        <v>40</v>
      </c>
      <c r="O16" s="52">
        <v>30</v>
      </c>
      <c r="P16" s="52">
        <v>20</v>
      </c>
      <c r="Q16" s="52">
        <v>20</v>
      </c>
      <c r="R16" s="52">
        <v>20</v>
      </c>
      <c r="S16" s="52">
        <v>30</v>
      </c>
      <c r="T16" s="67"/>
      <c r="U16" s="69"/>
      <c r="V16" s="62">
        <f t="shared" si="0"/>
        <v>3.3333333333333335</v>
      </c>
      <c r="W16" s="69">
        <v>6</v>
      </c>
      <c r="X16" s="74" t="s">
        <v>41</v>
      </c>
      <c r="Y16" s="71" t="s">
        <v>41</v>
      </c>
      <c r="Z16" s="71"/>
      <c r="AA16" s="71" t="s">
        <v>41</v>
      </c>
      <c r="AB16" s="71"/>
      <c r="AC16" s="71"/>
      <c r="AD16" s="71" t="s">
        <v>41</v>
      </c>
      <c r="AE16" s="71"/>
      <c r="AF16" s="75"/>
      <c r="AG16" s="71"/>
    </row>
    <row r="17" spans="2:33" s="13" customFormat="1" ht="13.2" customHeight="1">
      <c r="B17" s="49" t="s">
        <v>55</v>
      </c>
      <c r="C17" s="66"/>
      <c r="D17" s="52"/>
      <c r="E17" s="52"/>
      <c r="F17" s="52"/>
      <c r="G17" s="52" t="s">
        <v>41</v>
      </c>
      <c r="H17" s="67"/>
      <c r="I17" s="67"/>
      <c r="J17" s="69"/>
      <c r="K17" s="66">
        <v>30</v>
      </c>
      <c r="L17" s="69">
        <v>70</v>
      </c>
      <c r="M17" s="66">
        <v>40</v>
      </c>
      <c r="N17" s="52">
        <v>40</v>
      </c>
      <c r="O17" s="52">
        <v>30</v>
      </c>
      <c r="P17" s="52">
        <v>20</v>
      </c>
      <c r="Q17" s="52">
        <v>20</v>
      </c>
      <c r="R17" s="52">
        <v>20</v>
      </c>
      <c r="S17" s="52">
        <v>30</v>
      </c>
      <c r="T17" s="67"/>
      <c r="U17" s="69"/>
      <c r="V17" s="62">
        <f t="shared" si="0"/>
        <v>3.3333333333333335</v>
      </c>
      <c r="W17" s="69">
        <v>6</v>
      </c>
      <c r="X17" s="70" t="s">
        <v>41</v>
      </c>
      <c r="Y17" s="71" t="s">
        <v>41</v>
      </c>
      <c r="Z17" s="71"/>
      <c r="AA17" s="71" t="s">
        <v>41</v>
      </c>
      <c r="AB17" s="71"/>
      <c r="AC17" s="71"/>
      <c r="AD17" s="71" t="s">
        <v>41</v>
      </c>
      <c r="AE17" s="71" t="s">
        <v>41</v>
      </c>
      <c r="AF17" s="72" t="s">
        <v>41</v>
      </c>
      <c r="AG17" s="71"/>
    </row>
    <row r="18" spans="2:33" s="13" customFormat="1" ht="13.5" customHeight="1">
      <c r="B18" s="49" t="s">
        <v>56</v>
      </c>
      <c r="C18" s="66"/>
      <c r="D18" s="52"/>
      <c r="E18" s="52"/>
      <c r="F18" s="52"/>
      <c r="G18" s="52" t="s">
        <v>41</v>
      </c>
      <c r="H18" s="67"/>
      <c r="I18" s="67"/>
      <c r="J18" s="69"/>
      <c r="K18" s="58">
        <v>30</v>
      </c>
      <c r="L18" s="59">
        <v>70</v>
      </c>
      <c r="M18" s="58">
        <v>40</v>
      </c>
      <c r="N18" s="60">
        <v>40</v>
      </c>
      <c r="O18" s="60">
        <v>30</v>
      </c>
      <c r="P18" s="60">
        <v>20</v>
      </c>
      <c r="Q18" s="60">
        <v>20</v>
      </c>
      <c r="R18" s="60">
        <v>30</v>
      </c>
      <c r="S18" s="60">
        <v>50</v>
      </c>
      <c r="T18" s="67"/>
      <c r="U18" s="69"/>
      <c r="V18" s="62">
        <f t="shared" si="0"/>
        <v>3.8333333333333335</v>
      </c>
      <c r="W18" s="69" t="s">
        <v>49</v>
      </c>
      <c r="X18" s="74" t="s">
        <v>41</v>
      </c>
      <c r="Y18" s="71" t="s">
        <v>41</v>
      </c>
      <c r="Z18" s="71"/>
      <c r="AA18" s="71"/>
      <c r="AB18" s="71"/>
      <c r="AC18" s="71"/>
      <c r="AD18" s="71"/>
      <c r="AE18" s="71"/>
      <c r="AF18" s="75" t="s">
        <v>41</v>
      </c>
      <c r="AG18" s="71"/>
    </row>
    <row r="19" spans="2:33" s="13" customFormat="1" ht="13.35" customHeight="1">
      <c r="B19" s="49" t="s">
        <v>57</v>
      </c>
      <c r="C19" s="66"/>
      <c r="D19" s="52"/>
      <c r="E19" s="52"/>
      <c r="F19" s="52"/>
      <c r="G19" s="52"/>
      <c r="H19" s="67"/>
      <c r="I19" s="67"/>
      <c r="J19" s="69"/>
      <c r="K19" s="58">
        <v>30</v>
      </c>
      <c r="L19" s="59">
        <v>70</v>
      </c>
      <c r="M19" s="58">
        <v>40</v>
      </c>
      <c r="N19" s="60">
        <v>40</v>
      </c>
      <c r="O19" s="60">
        <v>30</v>
      </c>
      <c r="P19" s="60">
        <v>20</v>
      </c>
      <c r="Q19" s="60">
        <v>20</v>
      </c>
      <c r="R19" s="60">
        <v>30</v>
      </c>
      <c r="S19" s="60">
        <v>50</v>
      </c>
      <c r="T19" s="67"/>
      <c r="U19" s="69"/>
      <c r="V19" s="62">
        <f t="shared" si="0"/>
        <v>3.8333333333333335</v>
      </c>
      <c r="W19" s="69"/>
      <c r="X19" s="74" t="s">
        <v>41</v>
      </c>
      <c r="Y19" s="71" t="s">
        <v>41</v>
      </c>
      <c r="Z19" s="71"/>
      <c r="AA19" s="71"/>
      <c r="AB19" s="71"/>
      <c r="AC19" s="71"/>
      <c r="AD19" s="71"/>
      <c r="AE19" s="71"/>
      <c r="AF19" s="75" t="s">
        <v>41</v>
      </c>
      <c r="AG19" s="71"/>
    </row>
    <row r="20" spans="2:33" s="13" customFormat="1" ht="13.5" customHeight="1">
      <c r="B20" s="49" t="s">
        <v>58</v>
      </c>
      <c r="C20" s="66"/>
      <c r="D20" s="52"/>
      <c r="E20" s="52"/>
      <c r="F20" s="52"/>
      <c r="G20" s="52"/>
      <c r="H20" s="67"/>
      <c r="I20" s="67"/>
      <c r="J20" s="69"/>
      <c r="K20" s="58">
        <v>30</v>
      </c>
      <c r="L20" s="59">
        <v>70</v>
      </c>
      <c r="M20" s="58">
        <v>40</v>
      </c>
      <c r="N20" s="60">
        <v>40</v>
      </c>
      <c r="O20" s="60">
        <v>30</v>
      </c>
      <c r="P20" s="60">
        <v>20</v>
      </c>
      <c r="Q20" s="60">
        <v>20</v>
      </c>
      <c r="R20" s="60">
        <v>30</v>
      </c>
      <c r="S20" s="60">
        <v>50</v>
      </c>
      <c r="T20" s="67"/>
      <c r="U20" s="69"/>
      <c r="V20" s="62">
        <f t="shared" si="0"/>
        <v>3.8333333333333335</v>
      </c>
      <c r="W20" s="69"/>
      <c r="X20" s="74" t="s">
        <v>41</v>
      </c>
      <c r="Y20" s="71" t="s">
        <v>41</v>
      </c>
      <c r="Z20" s="71"/>
      <c r="AA20" s="71"/>
      <c r="AB20" s="71"/>
      <c r="AC20" s="71"/>
      <c r="AD20" s="71"/>
      <c r="AE20" s="71"/>
      <c r="AF20" s="75" t="s">
        <v>41</v>
      </c>
      <c r="AG20" s="71"/>
    </row>
    <row r="21" spans="2:33" s="13" customFormat="1" ht="13.5" customHeight="1">
      <c r="B21" s="48" t="s">
        <v>59</v>
      </c>
      <c r="C21" s="66"/>
      <c r="D21" s="52"/>
      <c r="E21" s="52" t="s">
        <v>41</v>
      </c>
      <c r="F21" s="52"/>
      <c r="G21" s="52"/>
      <c r="H21" s="67"/>
      <c r="I21" s="67"/>
      <c r="J21" s="69"/>
      <c r="K21" s="66">
        <v>35</v>
      </c>
      <c r="L21" s="69">
        <v>65</v>
      </c>
      <c r="M21" s="66">
        <v>70</v>
      </c>
      <c r="N21" s="52">
        <v>50</v>
      </c>
      <c r="O21" s="52">
        <v>40</v>
      </c>
      <c r="P21" s="52">
        <v>20</v>
      </c>
      <c r="Q21" s="52">
        <v>20</v>
      </c>
      <c r="R21" s="52">
        <v>20</v>
      </c>
      <c r="S21" s="52">
        <v>40</v>
      </c>
      <c r="T21" s="67"/>
      <c r="U21" s="69"/>
      <c r="V21" s="76">
        <f t="shared" si="0"/>
        <v>4.333333333333333</v>
      </c>
      <c r="W21" s="69">
        <v>14</v>
      </c>
      <c r="X21" s="74" t="s">
        <v>41</v>
      </c>
      <c r="Y21" s="71"/>
      <c r="Z21" s="71"/>
      <c r="AA21" s="71" t="s">
        <v>41</v>
      </c>
      <c r="AB21" s="71"/>
      <c r="AC21" s="71"/>
      <c r="AD21" s="71" t="s">
        <v>41</v>
      </c>
      <c r="AE21" s="71" t="s">
        <v>41</v>
      </c>
      <c r="AF21" s="75" t="s">
        <v>41</v>
      </c>
      <c r="AG21" s="71"/>
    </row>
    <row r="22" spans="2:33" s="13" customFormat="1" ht="13.5" customHeight="1">
      <c r="B22" s="48" t="s">
        <v>60</v>
      </c>
      <c r="C22" s="66"/>
      <c r="D22" s="52"/>
      <c r="E22" s="52"/>
      <c r="F22" s="77"/>
      <c r="G22" s="52"/>
      <c r="H22" s="67"/>
      <c r="I22" s="67"/>
      <c r="J22" s="69"/>
      <c r="K22" s="66">
        <v>20</v>
      </c>
      <c r="L22" s="69">
        <v>80</v>
      </c>
      <c r="M22" s="66">
        <v>40</v>
      </c>
      <c r="N22" s="52">
        <v>10</v>
      </c>
      <c r="O22" s="52"/>
      <c r="P22" s="52">
        <v>10</v>
      </c>
      <c r="Q22" s="52">
        <v>10</v>
      </c>
      <c r="R22" s="52">
        <v>20</v>
      </c>
      <c r="S22" s="52">
        <v>20</v>
      </c>
      <c r="T22" s="67"/>
      <c r="U22" s="69"/>
      <c r="V22" s="76">
        <f t="shared" si="0"/>
        <v>1.8333333333333333</v>
      </c>
      <c r="W22" s="69">
        <v>7</v>
      </c>
      <c r="X22" s="74" t="s">
        <v>41</v>
      </c>
      <c r="Y22" s="71" t="s">
        <v>41</v>
      </c>
      <c r="Z22" s="71"/>
      <c r="AA22" s="71" t="s">
        <v>41</v>
      </c>
      <c r="AB22" s="71"/>
      <c r="AC22" s="71"/>
      <c r="AD22" s="71" t="s">
        <v>41</v>
      </c>
      <c r="AE22" s="71" t="s">
        <v>41</v>
      </c>
      <c r="AF22" s="75" t="s">
        <v>41</v>
      </c>
      <c r="AG22" s="71"/>
    </row>
    <row r="23" spans="2:33" s="13" customFormat="1" ht="13.35" customHeight="1">
      <c r="B23" s="48" t="s">
        <v>61</v>
      </c>
      <c r="C23" s="66"/>
      <c r="D23" s="52"/>
      <c r="E23" s="52"/>
      <c r="F23" s="52"/>
      <c r="G23" s="52" t="s">
        <v>41</v>
      </c>
      <c r="H23" s="52"/>
      <c r="I23" s="52"/>
      <c r="J23" s="68"/>
      <c r="K23" s="66">
        <v>30</v>
      </c>
      <c r="L23" s="69">
        <v>70</v>
      </c>
      <c r="M23" s="66">
        <v>30</v>
      </c>
      <c r="N23" s="52">
        <v>10</v>
      </c>
      <c r="O23" s="52"/>
      <c r="P23" s="52">
        <v>10</v>
      </c>
      <c r="Q23" s="52">
        <v>10</v>
      </c>
      <c r="R23" s="52">
        <v>20</v>
      </c>
      <c r="S23" s="52">
        <v>40</v>
      </c>
      <c r="T23" s="67"/>
      <c r="U23" s="69"/>
      <c r="V23" s="76">
        <f t="shared" si="0"/>
        <v>2</v>
      </c>
      <c r="W23" s="69">
        <v>5</v>
      </c>
      <c r="X23" s="74" t="s">
        <v>41</v>
      </c>
      <c r="Y23" s="71"/>
      <c r="Z23" s="71"/>
      <c r="AA23" s="71" t="s">
        <v>41</v>
      </c>
      <c r="AB23" s="71"/>
      <c r="AC23" s="71"/>
      <c r="AD23" s="71" t="s">
        <v>41</v>
      </c>
      <c r="AE23" s="71"/>
      <c r="AF23" s="75" t="s">
        <v>41</v>
      </c>
      <c r="AG23" s="71"/>
    </row>
    <row r="24" spans="2:33" s="13" customFormat="1" ht="13.5" customHeight="1">
      <c r="B24" s="48">
        <v>241</v>
      </c>
      <c r="C24" s="78"/>
      <c r="D24" s="52"/>
      <c r="E24" s="79"/>
      <c r="F24" s="80"/>
      <c r="G24" s="80" t="s">
        <v>41</v>
      </c>
      <c r="H24" s="52"/>
      <c r="I24" s="52"/>
      <c r="J24" s="68"/>
      <c r="K24" s="66">
        <v>30</v>
      </c>
      <c r="L24" s="69">
        <v>70</v>
      </c>
      <c r="M24" s="66">
        <v>20</v>
      </c>
      <c r="N24" s="52">
        <v>20</v>
      </c>
      <c r="O24" s="52">
        <v>10</v>
      </c>
      <c r="P24" s="52">
        <v>10</v>
      </c>
      <c r="Q24" s="52">
        <v>10</v>
      </c>
      <c r="R24" s="52">
        <v>10</v>
      </c>
      <c r="S24" s="52">
        <v>10</v>
      </c>
      <c r="T24" s="67"/>
      <c r="U24" s="69"/>
      <c r="V24" s="76">
        <f t="shared" si="0"/>
        <v>1.5</v>
      </c>
      <c r="W24" s="69">
        <v>10</v>
      </c>
      <c r="X24" s="74"/>
      <c r="Y24" s="71"/>
      <c r="Z24" s="71"/>
      <c r="AA24" s="71"/>
      <c r="AB24" s="71"/>
      <c r="AC24" s="71"/>
      <c r="AD24" s="71" t="s">
        <v>41</v>
      </c>
      <c r="AE24" s="71" t="s">
        <v>41</v>
      </c>
      <c r="AF24" s="75" t="s">
        <v>41</v>
      </c>
      <c r="AG24" s="71"/>
    </row>
    <row r="25" spans="2:33" s="13" customFormat="1" ht="13.5" customHeight="1">
      <c r="B25" s="48" t="s">
        <v>62</v>
      </c>
      <c r="C25" s="78"/>
      <c r="D25" s="81"/>
      <c r="E25" s="81"/>
      <c r="F25" s="81"/>
      <c r="G25" s="80"/>
      <c r="H25" s="52"/>
      <c r="I25" s="52"/>
      <c r="J25" s="82"/>
      <c r="K25" s="66">
        <v>30</v>
      </c>
      <c r="L25" s="69">
        <v>70</v>
      </c>
      <c r="M25" s="66">
        <v>15</v>
      </c>
      <c r="N25" s="52">
        <v>10</v>
      </c>
      <c r="O25" s="52"/>
      <c r="P25" s="52">
        <v>10</v>
      </c>
      <c r="Q25" s="52">
        <v>10</v>
      </c>
      <c r="R25" s="52">
        <v>10</v>
      </c>
      <c r="S25" s="52">
        <v>10</v>
      </c>
      <c r="T25" s="67"/>
      <c r="U25" s="69"/>
      <c r="V25" s="76">
        <f t="shared" si="0"/>
        <v>1.0833333333333333</v>
      </c>
      <c r="W25" s="69" t="s">
        <v>63</v>
      </c>
      <c r="X25" s="74" t="s">
        <v>41</v>
      </c>
      <c r="Y25" s="71"/>
      <c r="Z25" s="71"/>
      <c r="AA25" s="71"/>
      <c r="AB25" s="71"/>
      <c r="AC25" s="71"/>
      <c r="AD25" s="71"/>
      <c r="AE25" s="71"/>
      <c r="AF25" s="75"/>
      <c r="AG25" s="71"/>
    </row>
    <row r="26" spans="2:33" s="13" customFormat="1" ht="13.5" customHeight="1">
      <c r="B26" s="48" t="s">
        <v>64</v>
      </c>
      <c r="C26" s="78"/>
      <c r="D26" s="81"/>
      <c r="E26" s="81"/>
      <c r="F26" s="81"/>
      <c r="G26" s="80"/>
      <c r="H26" s="52"/>
      <c r="I26" s="52"/>
      <c r="J26" s="82"/>
      <c r="K26" s="66">
        <v>30</v>
      </c>
      <c r="L26" s="69">
        <v>70</v>
      </c>
      <c r="M26" s="66">
        <v>15</v>
      </c>
      <c r="N26" s="52">
        <v>10</v>
      </c>
      <c r="O26" s="52"/>
      <c r="P26" s="52">
        <v>10</v>
      </c>
      <c r="Q26" s="52">
        <v>10</v>
      </c>
      <c r="R26" s="52">
        <v>10</v>
      </c>
      <c r="S26" s="52">
        <v>10</v>
      </c>
      <c r="T26" s="67"/>
      <c r="U26" s="69"/>
      <c r="V26" s="76">
        <f t="shared" si="0"/>
        <v>1.0833333333333333</v>
      </c>
      <c r="W26" s="69" t="s">
        <v>63</v>
      </c>
      <c r="X26" s="74" t="s">
        <v>41</v>
      </c>
      <c r="Y26" s="71"/>
      <c r="Z26" s="71"/>
      <c r="AA26" s="71" t="s">
        <v>41</v>
      </c>
      <c r="AB26" s="71"/>
      <c r="AC26" s="71"/>
      <c r="AD26" s="71" t="s">
        <v>41</v>
      </c>
      <c r="AE26" s="71"/>
      <c r="AF26" s="75" t="s">
        <v>41</v>
      </c>
      <c r="AG26" s="71"/>
    </row>
    <row r="27" spans="2:33" s="13" customFormat="1" ht="13.5" customHeight="1">
      <c r="B27" s="48" t="s">
        <v>65</v>
      </c>
      <c r="C27" s="78"/>
      <c r="D27" s="81"/>
      <c r="E27" s="81"/>
      <c r="F27" s="81"/>
      <c r="G27" s="52"/>
      <c r="H27" s="52"/>
      <c r="I27" s="52"/>
      <c r="J27" s="82"/>
      <c r="K27" s="66">
        <v>30</v>
      </c>
      <c r="L27" s="69">
        <v>70</v>
      </c>
      <c r="M27" s="66">
        <v>15</v>
      </c>
      <c r="N27" s="52">
        <v>10</v>
      </c>
      <c r="O27" s="52"/>
      <c r="P27" s="52">
        <v>10</v>
      </c>
      <c r="Q27" s="52">
        <v>10</v>
      </c>
      <c r="R27" s="52">
        <v>10</v>
      </c>
      <c r="S27" s="52">
        <v>10</v>
      </c>
      <c r="T27" s="67"/>
      <c r="U27" s="69"/>
      <c r="V27" s="76">
        <f t="shared" si="0"/>
        <v>1.0833333333333333</v>
      </c>
      <c r="W27" s="69" t="s">
        <v>66</v>
      </c>
      <c r="X27" s="74" t="s">
        <v>41</v>
      </c>
      <c r="Y27" s="71"/>
      <c r="Z27" s="71"/>
      <c r="AA27" s="71" t="s">
        <v>41</v>
      </c>
      <c r="AB27" s="71"/>
      <c r="AC27" s="71"/>
      <c r="AD27" s="71" t="s">
        <v>41</v>
      </c>
      <c r="AE27" s="71"/>
      <c r="AF27" s="75" t="s">
        <v>41</v>
      </c>
      <c r="AG27" s="71"/>
    </row>
    <row r="28" spans="2:33" s="13" customFormat="1" ht="13.5" customHeight="1">
      <c r="B28" s="48" t="s">
        <v>67</v>
      </c>
      <c r="C28" s="66"/>
      <c r="D28" s="52"/>
      <c r="E28" s="52" t="s">
        <v>41</v>
      </c>
      <c r="F28" s="52"/>
      <c r="G28" s="52"/>
      <c r="H28" s="52"/>
      <c r="I28" s="52"/>
      <c r="J28" s="68"/>
      <c r="K28" s="66">
        <v>30</v>
      </c>
      <c r="L28" s="69">
        <v>70</v>
      </c>
      <c r="M28" s="66">
        <v>15</v>
      </c>
      <c r="N28" s="52">
        <v>10</v>
      </c>
      <c r="O28" s="52"/>
      <c r="P28" s="52">
        <v>10</v>
      </c>
      <c r="Q28" s="52">
        <v>10</v>
      </c>
      <c r="R28" s="52">
        <v>10</v>
      </c>
      <c r="S28" s="52">
        <v>20</v>
      </c>
      <c r="T28" s="67"/>
      <c r="U28" s="69"/>
      <c r="V28" s="76">
        <f t="shared" si="0"/>
        <v>1.25</v>
      </c>
      <c r="W28" s="69" t="s">
        <v>49</v>
      </c>
      <c r="X28" s="74" t="s">
        <v>41</v>
      </c>
      <c r="Y28" s="71" t="s">
        <v>41</v>
      </c>
      <c r="Z28" s="71"/>
      <c r="AA28" s="71" t="s">
        <v>41</v>
      </c>
      <c r="AB28" s="71"/>
      <c r="AC28" s="71"/>
      <c r="AD28" s="71" t="s">
        <v>41</v>
      </c>
      <c r="AE28" s="71"/>
      <c r="AF28" s="75" t="s">
        <v>41</v>
      </c>
      <c r="AG28" s="71"/>
    </row>
    <row r="29" spans="2:33" s="13" customFormat="1" ht="13.5" customHeight="1">
      <c r="B29" s="48" t="s">
        <v>68</v>
      </c>
      <c r="C29" s="66"/>
      <c r="D29" s="52"/>
      <c r="E29" s="52"/>
      <c r="F29" s="52"/>
      <c r="G29" s="52"/>
      <c r="H29" s="67"/>
      <c r="I29" s="67"/>
      <c r="J29" s="69"/>
      <c r="K29" s="66">
        <v>30</v>
      </c>
      <c r="L29" s="69">
        <v>70</v>
      </c>
      <c r="M29" s="66">
        <v>40</v>
      </c>
      <c r="N29" s="52">
        <v>40</v>
      </c>
      <c r="O29" s="52"/>
      <c r="P29" s="52">
        <v>10</v>
      </c>
      <c r="Q29" s="52">
        <v>10</v>
      </c>
      <c r="R29" s="52">
        <v>60</v>
      </c>
      <c r="S29" s="52">
        <v>20</v>
      </c>
      <c r="T29" s="67"/>
      <c r="U29" s="69"/>
      <c r="V29" s="76">
        <f t="shared" si="0"/>
        <v>3</v>
      </c>
      <c r="W29" s="83" t="s">
        <v>69</v>
      </c>
      <c r="X29" s="74" t="s">
        <v>41</v>
      </c>
      <c r="Y29" s="71" t="s">
        <v>41</v>
      </c>
      <c r="Z29" s="71"/>
      <c r="AA29" s="71" t="s">
        <v>41</v>
      </c>
      <c r="AB29" s="71"/>
      <c r="AC29" s="71"/>
      <c r="AD29" s="71" t="s">
        <v>41</v>
      </c>
      <c r="AE29" s="71"/>
      <c r="AF29" s="75" t="s">
        <v>41</v>
      </c>
      <c r="AG29" s="71"/>
    </row>
    <row r="30" spans="2:33" s="13" customFormat="1" ht="13.5" customHeight="1">
      <c r="B30" s="48" t="s">
        <v>70</v>
      </c>
      <c r="C30" s="66"/>
      <c r="D30" s="52"/>
      <c r="E30" s="52"/>
      <c r="F30" s="52"/>
      <c r="G30" s="52" t="s">
        <v>41</v>
      </c>
      <c r="H30" s="67"/>
      <c r="I30" s="67"/>
      <c r="J30" s="69"/>
      <c r="K30" s="66">
        <v>30</v>
      </c>
      <c r="L30" s="69">
        <v>70</v>
      </c>
      <c r="M30" s="66">
        <v>40</v>
      </c>
      <c r="N30" s="52">
        <v>40</v>
      </c>
      <c r="O30" s="52"/>
      <c r="P30" s="52">
        <v>15</v>
      </c>
      <c r="Q30" s="52">
        <v>15</v>
      </c>
      <c r="R30" s="52">
        <v>30</v>
      </c>
      <c r="S30" s="52">
        <v>30</v>
      </c>
      <c r="T30" s="67"/>
      <c r="U30" s="69"/>
      <c r="V30" s="76">
        <f t="shared" si="0"/>
        <v>2.8333333333333335</v>
      </c>
      <c r="W30" s="69" t="s">
        <v>71</v>
      </c>
      <c r="X30" s="74" t="s">
        <v>41</v>
      </c>
      <c r="Y30" s="71" t="s">
        <v>41</v>
      </c>
      <c r="Z30" s="71"/>
      <c r="AA30" s="71" t="s">
        <v>41</v>
      </c>
      <c r="AB30" s="71"/>
      <c r="AC30" s="71"/>
      <c r="AD30" s="71" t="s">
        <v>41</v>
      </c>
      <c r="AE30" s="71"/>
      <c r="AF30" s="75" t="s">
        <v>41</v>
      </c>
      <c r="AG30" s="71"/>
    </row>
    <row r="31" spans="2:33" s="13" customFormat="1" ht="13.5" customHeight="1">
      <c r="B31" s="48" t="s">
        <v>72</v>
      </c>
      <c r="C31" s="66"/>
      <c r="D31" s="52"/>
      <c r="E31" s="52"/>
      <c r="F31" s="52"/>
      <c r="G31" s="52"/>
      <c r="H31" s="67"/>
      <c r="I31" s="67"/>
      <c r="J31" s="69"/>
      <c r="K31" s="66">
        <v>30</v>
      </c>
      <c r="L31" s="69">
        <v>70</v>
      </c>
      <c r="M31" s="66">
        <v>20</v>
      </c>
      <c r="N31" s="52">
        <v>20</v>
      </c>
      <c r="O31" s="52"/>
      <c r="P31" s="52">
        <v>10</v>
      </c>
      <c r="Q31" s="52">
        <v>10</v>
      </c>
      <c r="R31" s="52">
        <v>20</v>
      </c>
      <c r="S31" s="52">
        <v>20</v>
      </c>
      <c r="T31" s="67"/>
      <c r="U31" s="69"/>
      <c r="V31" s="76">
        <f t="shared" si="0"/>
        <v>1.6666666666666667</v>
      </c>
      <c r="W31" s="69">
        <v>4</v>
      </c>
      <c r="X31" s="74"/>
      <c r="Y31" s="71"/>
      <c r="Z31" s="71"/>
      <c r="AA31" s="71"/>
      <c r="AB31" s="71"/>
      <c r="AC31" s="71"/>
      <c r="AD31" s="71" t="s">
        <v>41</v>
      </c>
      <c r="AE31" s="71"/>
      <c r="AF31" s="75" t="s">
        <v>41</v>
      </c>
      <c r="AG31" s="71"/>
    </row>
    <row r="32" spans="2:33" s="13" customFormat="1" ht="13.5" customHeight="1">
      <c r="B32" s="48" t="s">
        <v>73</v>
      </c>
      <c r="C32" s="66"/>
      <c r="D32" s="52"/>
      <c r="E32" s="52"/>
      <c r="F32" s="52"/>
      <c r="G32" s="52" t="s">
        <v>41</v>
      </c>
      <c r="H32" s="67"/>
      <c r="I32" s="67"/>
      <c r="J32" s="69"/>
      <c r="K32" s="58">
        <v>30</v>
      </c>
      <c r="L32" s="59">
        <v>70</v>
      </c>
      <c r="M32" s="58">
        <v>70</v>
      </c>
      <c r="N32" s="60">
        <v>40</v>
      </c>
      <c r="O32" s="60"/>
      <c r="P32" s="60">
        <v>20</v>
      </c>
      <c r="Q32" s="60">
        <v>10</v>
      </c>
      <c r="R32" s="60">
        <v>40</v>
      </c>
      <c r="S32" s="60">
        <v>50</v>
      </c>
      <c r="T32" s="67">
        <v>10</v>
      </c>
      <c r="U32" s="69"/>
      <c r="V32" s="76">
        <f t="shared" si="0"/>
        <v>4</v>
      </c>
      <c r="W32" s="69" t="s">
        <v>74</v>
      </c>
      <c r="X32" s="74" t="s">
        <v>41</v>
      </c>
      <c r="Y32" s="71"/>
      <c r="Z32" s="71"/>
      <c r="AA32" s="71" t="s">
        <v>41</v>
      </c>
      <c r="AB32" s="71"/>
      <c r="AC32" s="71"/>
      <c r="AD32" s="71" t="s">
        <v>41</v>
      </c>
      <c r="AE32" s="71"/>
      <c r="AF32" s="75" t="s">
        <v>41</v>
      </c>
      <c r="AG32" s="71"/>
    </row>
    <row r="33" spans="1:33" s="13" customFormat="1" ht="13.5" customHeight="1">
      <c r="B33" s="48" t="s">
        <v>75</v>
      </c>
      <c r="C33" s="66"/>
      <c r="D33" s="52"/>
      <c r="E33" s="52"/>
      <c r="F33" s="52"/>
      <c r="G33" s="52" t="s">
        <v>41</v>
      </c>
      <c r="H33" s="67"/>
      <c r="I33" s="67"/>
      <c r="J33" s="69"/>
      <c r="K33" s="58">
        <v>30</v>
      </c>
      <c r="L33" s="59">
        <v>70</v>
      </c>
      <c r="M33" s="58">
        <v>40</v>
      </c>
      <c r="N33" s="60">
        <v>40</v>
      </c>
      <c r="O33" s="60">
        <v>30</v>
      </c>
      <c r="P33" s="60">
        <v>20</v>
      </c>
      <c r="Q33" s="60">
        <v>20</v>
      </c>
      <c r="R33" s="60">
        <v>30</v>
      </c>
      <c r="S33" s="60">
        <v>50</v>
      </c>
      <c r="T33" s="67"/>
      <c r="U33" s="69"/>
      <c r="V33" s="76">
        <f t="shared" si="0"/>
        <v>3.8333333333333335</v>
      </c>
      <c r="W33" s="69">
        <v>4</v>
      </c>
      <c r="X33" s="74" t="s">
        <v>41</v>
      </c>
      <c r="Y33" s="71"/>
      <c r="Z33" s="71"/>
      <c r="AA33" s="71"/>
      <c r="AB33" s="71"/>
      <c r="AC33" s="71"/>
      <c r="AD33" s="71"/>
      <c r="AE33" s="71"/>
      <c r="AF33" s="75" t="s">
        <v>41</v>
      </c>
      <c r="AG33" s="71"/>
    </row>
    <row r="34" spans="1:33" s="13" customFormat="1" ht="13.5" customHeight="1">
      <c r="B34" s="50" t="s">
        <v>76</v>
      </c>
      <c r="C34" s="66" t="s">
        <v>41</v>
      </c>
      <c r="D34" s="52"/>
      <c r="E34" s="52"/>
      <c r="F34" s="52"/>
      <c r="G34" s="52"/>
      <c r="H34" s="67"/>
      <c r="I34" s="67"/>
      <c r="J34" s="69"/>
      <c r="K34" s="66">
        <v>30</v>
      </c>
      <c r="L34" s="69">
        <v>70</v>
      </c>
      <c r="M34" s="66">
        <v>15</v>
      </c>
      <c r="N34" s="52">
        <v>10</v>
      </c>
      <c r="O34" s="52"/>
      <c r="P34" s="52">
        <v>10</v>
      </c>
      <c r="Q34" s="52">
        <v>10</v>
      </c>
      <c r="R34" s="52">
        <v>10</v>
      </c>
      <c r="S34" s="52">
        <v>20</v>
      </c>
      <c r="T34" s="67"/>
      <c r="U34" s="69"/>
      <c r="V34" s="76">
        <f t="shared" si="0"/>
        <v>1.25</v>
      </c>
      <c r="W34" s="69">
        <v>13</v>
      </c>
      <c r="X34" s="74" t="s">
        <v>41</v>
      </c>
      <c r="Y34" s="71" t="s">
        <v>41</v>
      </c>
      <c r="Z34" s="71"/>
      <c r="AA34" s="71" t="s">
        <v>41</v>
      </c>
      <c r="AB34" s="71"/>
      <c r="AC34" s="71"/>
      <c r="AD34" s="71"/>
      <c r="AE34" s="71"/>
      <c r="AF34" s="75"/>
      <c r="AG34" s="71"/>
    </row>
    <row r="35" spans="1:33" s="13" customFormat="1" ht="13.35" customHeight="1">
      <c r="B35" s="50" t="s">
        <v>77</v>
      </c>
      <c r="C35" s="52" t="s">
        <v>41</v>
      </c>
      <c r="D35" s="52"/>
      <c r="E35" s="52"/>
      <c r="F35" s="52" t="s">
        <v>41</v>
      </c>
      <c r="G35" s="52"/>
      <c r="H35" s="67"/>
      <c r="I35" s="67"/>
      <c r="J35" s="69"/>
      <c r="K35" s="66">
        <v>30</v>
      </c>
      <c r="L35" s="84">
        <v>70</v>
      </c>
      <c r="M35" s="66">
        <v>15</v>
      </c>
      <c r="N35" s="52">
        <v>10</v>
      </c>
      <c r="O35" s="52">
        <v>30</v>
      </c>
      <c r="P35" s="52">
        <v>10</v>
      </c>
      <c r="Q35" s="52">
        <v>10</v>
      </c>
      <c r="R35" s="52">
        <v>10</v>
      </c>
      <c r="S35" s="52">
        <v>20</v>
      </c>
      <c r="T35" s="67"/>
      <c r="U35" s="69"/>
      <c r="V35" s="76">
        <f t="shared" si="0"/>
        <v>1.75</v>
      </c>
      <c r="W35" s="69">
        <v>13</v>
      </c>
      <c r="X35" s="74"/>
      <c r="Y35" s="71"/>
      <c r="Z35" s="71"/>
      <c r="AA35" s="71"/>
      <c r="AB35" s="71"/>
      <c r="AC35" s="71"/>
      <c r="AD35" s="71" t="s">
        <v>41</v>
      </c>
      <c r="AE35" s="71" t="s">
        <v>41</v>
      </c>
      <c r="AF35" s="75" t="s">
        <v>41</v>
      </c>
      <c r="AG35" s="71"/>
    </row>
    <row r="36" spans="1:33" s="13" customFormat="1" ht="15.6" customHeight="1">
      <c r="B36" s="50" t="s">
        <v>78</v>
      </c>
      <c r="C36" s="66"/>
      <c r="D36" s="52"/>
      <c r="E36" s="52"/>
      <c r="F36" s="52"/>
      <c r="G36" s="52"/>
      <c r="H36" s="67"/>
      <c r="I36" s="67"/>
      <c r="J36" s="69"/>
      <c r="K36" s="85">
        <v>30</v>
      </c>
      <c r="L36" s="84">
        <v>70</v>
      </c>
      <c r="M36" s="66">
        <v>15</v>
      </c>
      <c r="N36" s="52">
        <v>10</v>
      </c>
      <c r="O36" s="52"/>
      <c r="P36" s="52">
        <v>10</v>
      </c>
      <c r="Q36" s="52">
        <v>10</v>
      </c>
      <c r="R36" s="52">
        <v>10</v>
      </c>
      <c r="S36" s="52">
        <v>20</v>
      </c>
      <c r="T36" s="67"/>
      <c r="U36" s="69"/>
      <c r="V36" s="76">
        <f t="shared" si="0"/>
        <v>1.25</v>
      </c>
      <c r="W36" s="69" t="s">
        <v>79</v>
      </c>
      <c r="X36" s="74" t="s">
        <v>41</v>
      </c>
      <c r="Y36" s="71" t="s">
        <v>41</v>
      </c>
      <c r="Z36" s="71"/>
      <c r="AA36" s="71" t="s">
        <v>41</v>
      </c>
      <c r="AB36" s="71"/>
      <c r="AC36" s="71"/>
      <c r="AD36" s="71" t="s">
        <v>41</v>
      </c>
      <c r="AE36" s="71" t="s">
        <v>41</v>
      </c>
      <c r="AF36" s="75" t="s">
        <v>41</v>
      </c>
      <c r="AG36" s="71"/>
    </row>
    <row r="37" spans="1:33" s="13" customFormat="1" ht="15.6" customHeight="1">
      <c r="B37" s="48" t="s">
        <v>80</v>
      </c>
      <c r="C37" s="66"/>
      <c r="D37" s="52"/>
      <c r="E37" s="52"/>
      <c r="F37" s="52"/>
      <c r="G37" s="52"/>
      <c r="H37" s="67"/>
      <c r="I37" s="67"/>
      <c r="J37" s="69"/>
      <c r="K37" s="66">
        <v>30</v>
      </c>
      <c r="L37" s="69">
        <v>70</v>
      </c>
      <c r="M37" s="66">
        <v>15</v>
      </c>
      <c r="N37" s="52">
        <v>10</v>
      </c>
      <c r="O37" s="52"/>
      <c r="P37" s="52">
        <v>10</v>
      </c>
      <c r="Q37" s="52">
        <v>10</v>
      </c>
      <c r="R37" s="52">
        <v>10</v>
      </c>
      <c r="S37" s="52">
        <v>20</v>
      </c>
      <c r="T37" s="67"/>
      <c r="U37" s="69"/>
      <c r="V37" s="76">
        <f t="shared" si="0"/>
        <v>1.25</v>
      </c>
      <c r="W37" s="69" t="s">
        <v>66</v>
      </c>
      <c r="X37" s="74" t="s">
        <v>41</v>
      </c>
      <c r="Y37" s="71" t="s">
        <v>41</v>
      </c>
      <c r="Z37" s="71"/>
      <c r="AA37" s="71" t="s">
        <v>41</v>
      </c>
      <c r="AB37" s="71"/>
      <c r="AC37" s="71"/>
      <c r="AD37" s="71" t="s">
        <v>41</v>
      </c>
      <c r="AE37" s="71" t="s">
        <v>41</v>
      </c>
      <c r="AF37" s="75" t="s">
        <v>41</v>
      </c>
      <c r="AG37" s="71"/>
    </row>
    <row r="38" spans="1:33" s="13" customFormat="1" ht="15.6" customHeight="1">
      <c r="B38" s="50" t="s">
        <v>81</v>
      </c>
      <c r="C38" s="52" t="s">
        <v>41</v>
      </c>
      <c r="D38" s="52"/>
      <c r="E38" s="52"/>
      <c r="F38" s="52"/>
      <c r="G38" s="52" t="s">
        <v>41</v>
      </c>
      <c r="H38" s="67"/>
      <c r="I38" s="67"/>
      <c r="J38" s="69"/>
      <c r="K38" s="66">
        <v>30</v>
      </c>
      <c r="L38" s="69">
        <v>70</v>
      </c>
      <c r="M38" s="66">
        <v>15</v>
      </c>
      <c r="N38" s="52">
        <v>10</v>
      </c>
      <c r="O38" s="52"/>
      <c r="P38" s="52">
        <v>10</v>
      </c>
      <c r="Q38" s="52">
        <v>10</v>
      </c>
      <c r="R38" s="52">
        <v>10</v>
      </c>
      <c r="S38" s="52">
        <v>20</v>
      </c>
      <c r="T38" s="67"/>
      <c r="U38" s="69"/>
      <c r="V38" s="76">
        <f t="shared" si="0"/>
        <v>1.25</v>
      </c>
      <c r="W38" s="69" t="s">
        <v>82</v>
      </c>
      <c r="X38" s="74" t="s">
        <v>41</v>
      </c>
      <c r="Y38" s="71"/>
      <c r="Z38" s="71"/>
      <c r="AA38" s="71" t="s">
        <v>41</v>
      </c>
      <c r="AB38" s="71"/>
      <c r="AC38" s="71"/>
      <c r="AD38" s="71" t="s">
        <v>41</v>
      </c>
      <c r="AE38" s="71" t="s">
        <v>41</v>
      </c>
      <c r="AF38" s="75" t="s">
        <v>41</v>
      </c>
      <c r="AG38" s="71"/>
    </row>
    <row r="39" spans="1:33" s="13" customFormat="1" ht="15.6" customHeight="1">
      <c r="B39" s="50" t="s">
        <v>83</v>
      </c>
      <c r="C39" s="66" t="s">
        <v>41</v>
      </c>
      <c r="D39" s="52"/>
      <c r="E39" s="52"/>
      <c r="F39" s="52"/>
      <c r="G39" s="52"/>
      <c r="H39" s="67"/>
      <c r="I39" s="67"/>
      <c r="J39" s="69"/>
      <c r="K39" s="66">
        <v>30</v>
      </c>
      <c r="L39" s="69">
        <v>70</v>
      </c>
      <c r="M39" s="66">
        <v>40</v>
      </c>
      <c r="N39" s="52">
        <v>40</v>
      </c>
      <c r="O39" s="52">
        <v>30</v>
      </c>
      <c r="P39" s="52">
        <v>20</v>
      </c>
      <c r="Q39" s="52">
        <v>20</v>
      </c>
      <c r="R39" s="52">
        <v>30</v>
      </c>
      <c r="S39" s="52">
        <v>50</v>
      </c>
      <c r="T39" s="67"/>
      <c r="U39" s="69"/>
      <c r="V39" s="76">
        <f t="shared" si="0"/>
        <v>3.8333333333333335</v>
      </c>
      <c r="W39" s="69" t="s">
        <v>84</v>
      </c>
      <c r="X39" s="74" t="s">
        <v>41</v>
      </c>
      <c r="Y39" s="71"/>
      <c r="Z39" s="71"/>
      <c r="AA39" s="71" t="s">
        <v>41</v>
      </c>
      <c r="AB39" s="71"/>
      <c r="AC39" s="71"/>
      <c r="AD39" s="71" t="s">
        <v>41</v>
      </c>
      <c r="AE39" s="71" t="s">
        <v>41</v>
      </c>
      <c r="AF39" s="75" t="s">
        <v>41</v>
      </c>
      <c r="AG39" s="71"/>
    </row>
    <row r="40" spans="1:33" s="13" customFormat="1" ht="15.6" customHeight="1">
      <c r="B40" s="50">
        <v>141</v>
      </c>
      <c r="C40" s="66" t="s">
        <v>41</v>
      </c>
      <c r="D40" s="52"/>
      <c r="E40" s="52"/>
      <c r="F40" s="52"/>
      <c r="G40" s="52"/>
      <c r="H40" s="67"/>
      <c r="I40" s="67"/>
      <c r="J40" s="69"/>
      <c r="K40" s="66">
        <v>30</v>
      </c>
      <c r="L40" s="69">
        <v>70</v>
      </c>
      <c r="M40" s="66">
        <v>40</v>
      </c>
      <c r="N40" s="52">
        <v>40</v>
      </c>
      <c r="O40" s="52">
        <v>30</v>
      </c>
      <c r="P40" s="52">
        <v>20</v>
      </c>
      <c r="Q40" s="52">
        <v>20</v>
      </c>
      <c r="R40" s="52">
        <v>30</v>
      </c>
      <c r="S40" s="52">
        <v>50</v>
      </c>
      <c r="T40" s="67"/>
      <c r="U40" s="69"/>
      <c r="V40" s="76">
        <f t="shared" si="0"/>
        <v>3.8333333333333335</v>
      </c>
      <c r="W40" s="69" t="s">
        <v>85</v>
      </c>
      <c r="X40" s="74" t="s">
        <v>41</v>
      </c>
      <c r="Y40" s="71"/>
      <c r="Z40" s="71"/>
      <c r="AA40" s="71" t="s">
        <v>41</v>
      </c>
      <c r="AB40" s="71"/>
      <c r="AC40" s="71"/>
      <c r="AD40" s="71" t="s">
        <v>41</v>
      </c>
      <c r="AE40" s="71" t="s">
        <v>41</v>
      </c>
      <c r="AF40" s="75" t="s">
        <v>41</v>
      </c>
      <c r="AG40" s="71"/>
    </row>
    <row r="41" spans="1:33" s="13" customFormat="1" ht="15.6" customHeight="1">
      <c r="B41" s="50" t="s">
        <v>86</v>
      </c>
      <c r="C41" s="66"/>
      <c r="D41" s="52"/>
      <c r="E41" s="52"/>
      <c r="F41" s="52"/>
      <c r="G41" s="52"/>
      <c r="H41" s="52" t="s">
        <v>41</v>
      </c>
      <c r="I41" s="67"/>
      <c r="J41" s="69"/>
      <c r="K41" s="66">
        <v>30</v>
      </c>
      <c r="L41" s="69">
        <v>50</v>
      </c>
      <c r="M41" s="66">
        <v>15</v>
      </c>
      <c r="N41" s="52">
        <v>10</v>
      </c>
      <c r="O41" s="52"/>
      <c r="P41" s="52">
        <v>10</v>
      </c>
      <c r="Q41" s="52">
        <v>10</v>
      </c>
      <c r="R41" s="52">
        <v>10</v>
      </c>
      <c r="S41" s="52">
        <v>20</v>
      </c>
      <c r="T41" s="67"/>
      <c r="U41" s="69"/>
      <c r="V41" s="76">
        <f t="shared" si="0"/>
        <v>1.25</v>
      </c>
      <c r="W41" s="69" t="s">
        <v>85</v>
      </c>
      <c r="X41" s="74" t="s">
        <v>41</v>
      </c>
      <c r="Y41" s="71" t="s">
        <v>41</v>
      </c>
      <c r="Z41" s="71"/>
      <c r="AA41" s="71" t="s">
        <v>41</v>
      </c>
      <c r="AB41" s="71"/>
      <c r="AC41" s="71"/>
      <c r="AD41" s="71" t="s">
        <v>41</v>
      </c>
      <c r="AE41" s="71" t="s">
        <v>41</v>
      </c>
      <c r="AF41" s="75" t="s">
        <v>41</v>
      </c>
      <c r="AG41" s="71"/>
    </row>
    <row r="42" spans="1:33" s="13" customFormat="1" ht="15.6" customHeight="1">
      <c r="B42" s="50" t="s">
        <v>87</v>
      </c>
      <c r="C42" s="66"/>
      <c r="D42" s="52"/>
      <c r="E42" s="52"/>
      <c r="F42" s="52"/>
      <c r="G42" s="52" t="s">
        <v>41</v>
      </c>
      <c r="H42" s="67"/>
      <c r="I42" s="67"/>
      <c r="J42" s="69"/>
      <c r="K42" s="66">
        <v>30</v>
      </c>
      <c r="L42" s="69">
        <v>70</v>
      </c>
      <c r="M42" s="66">
        <v>15</v>
      </c>
      <c r="N42" s="52">
        <v>10</v>
      </c>
      <c r="O42" s="52"/>
      <c r="P42" s="52">
        <v>10</v>
      </c>
      <c r="Q42" s="52">
        <v>10</v>
      </c>
      <c r="R42" s="52">
        <v>10</v>
      </c>
      <c r="S42" s="52">
        <v>20</v>
      </c>
      <c r="T42" s="67"/>
      <c r="U42" s="69"/>
      <c r="V42" s="76">
        <f t="shared" si="0"/>
        <v>1.25</v>
      </c>
      <c r="W42" s="69" t="s">
        <v>88</v>
      </c>
      <c r="X42" s="74" t="s">
        <v>41</v>
      </c>
      <c r="Y42" s="71" t="s">
        <v>41</v>
      </c>
      <c r="Z42" s="71"/>
      <c r="AA42" s="71" t="s">
        <v>41</v>
      </c>
      <c r="AB42" s="71"/>
      <c r="AC42" s="71"/>
      <c r="AD42" s="71" t="s">
        <v>41</v>
      </c>
      <c r="AE42" s="71" t="s">
        <v>41</v>
      </c>
      <c r="AF42" s="75" t="s">
        <v>41</v>
      </c>
      <c r="AG42" s="71"/>
    </row>
    <row r="43" spans="1:33" s="13" customFormat="1" ht="15.6" customHeight="1">
      <c r="A43" s="13" t="s">
        <v>89</v>
      </c>
      <c r="B43" s="50" t="s">
        <v>90</v>
      </c>
      <c r="C43" s="66" t="s">
        <v>89</v>
      </c>
      <c r="D43" s="52" t="s">
        <v>89</v>
      </c>
      <c r="E43" s="52" t="s">
        <v>89</v>
      </c>
      <c r="F43" s="52" t="s">
        <v>89</v>
      </c>
      <c r="G43" s="52" t="s">
        <v>89</v>
      </c>
      <c r="H43" s="67" t="s">
        <v>89</v>
      </c>
      <c r="I43" s="67" t="s">
        <v>89</v>
      </c>
      <c r="J43" s="69" t="s">
        <v>41</v>
      </c>
      <c r="K43" s="66">
        <v>40</v>
      </c>
      <c r="L43" s="69">
        <v>60</v>
      </c>
      <c r="M43" s="66">
        <v>15</v>
      </c>
      <c r="N43" s="52">
        <v>10</v>
      </c>
      <c r="O43" s="52" t="s">
        <v>89</v>
      </c>
      <c r="P43" s="52">
        <v>10</v>
      </c>
      <c r="Q43" s="52">
        <v>10</v>
      </c>
      <c r="R43" s="52">
        <v>10</v>
      </c>
      <c r="S43" s="52">
        <v>30</v>
      </c>
      <c r="T43" s="67" t="s">
        <v>89</v>
      </c>
      <c r="U43" s="69" t="s">
        <v>89</v>
      </c>
      <c r="V43" s="76">
        <v>1.42</v>
      </c>
      <c r="W43" s="69" t="s">
        <v>85</v>
      </c>
      <c r="X43" s="74" t="s">
        <v>41</v>
      </c>
      <c r="Y43" s="71" t="s">
        <v>41</v>
      </c>
      <c r="Z43" s="71" t="s">
        <v>89</v>
      </c>
      <c r="AA43" s="71" t="s">
        <v>41</v>
      </c>
      <c r="AB43" s="71" t="s">
        <v>89</v>
      </c>
      <c r="AC43" s="71" t="s">
        <v>89</v>
      </c>
      <c r="AD43" s="71" t="s">
        <v>41</v>
      </c>
      <c r="AE43" s="71" t="s">
        <v>41</v>
      </c>
      <c r="AF43" s="75" t="s">
        <v>41</v>
      </c>
      <c r="AG43" s="71" t="s">
        <v>89</v>
      </c>
    </row>
    <row r="44" spans="1:33" s="13" customFormat="1" ht="15.6" customHeight="1">
      <c r="A44" s="13" t="s">
        <v>89</v>
      </c>
      <c r="B44" s="50" t="s">
        <v>91</v>
      </c>
      <c r="C44" s="66" t="s">
        <v>89</v>
      </c>
      <c r="D44" s="52" t="s">
        <v>89</v>
      </c>
      <c r="E44" s="52" t="s">
        <v>89</v>
      </c>
      <c r="F44" s="52" t="s">
        <v>89</v>
      </c>
      <c r="G44" s="52" t="s">
        <v>89</v>
      </c>
      <c r="H44" s="67" t="s">
        <v>89</v>
      </c>
      <c r="I44" s="67" t="s">
        <v>89</v>
      </c>
      <c r="J44" s="69" t="s">
        <v>41</v>
      </c>
      <c r="K44" s="66">
        <v>40</v>
      </c>
      <c r="L44" s="69">
        <v>60</v>
      </c>
      <c r="M44" s="66">
        <v>15</v>
      </c>
      <c r="N44" s="52">
        <v>10</v>
      </c>
      <c r="O44" s="52" t="s">
        <v>89</v>
      </c>
      <c r="P44" s="52">
        <v>10</v>
      </c>
      <c r="Q44" s="52">
        <v>10</v>
      </c>
      <c r="R44" s="52">
        <v>10</v>
      </c>
      <c r="S44" s="52">
        <v>30</v>
      </c>
      <c r="T44" s="67" t="s">
        <v>89</v>
      </c>
      <c r="U44" s="69" t="s">
        <v>89</v>
      </c>
      <c r="V44" s="76">
        <v>1.42</v>
      </c>
      <c r="W44" s="69" t="s">
        <v>88</v>
      </c>
      <c r="X44" s="74" t="s">
        <v>41</v>
      </c>
      <c r="Y44" s="71" t="s">
        <v>41</v>
      </c>
      <c r="Z44" s="71" t="s">
        <v>89</v>
      </c>
      <c r="AA44" s="71" t="s">
        <v>41</v>
      </c>
      <c r="AB44" s="71" t="s">
        <v>89</v>
      </c>
      <c r="AC44" s="71" t="s">
        <v>89</v>
      </c>
      <c r="AD44" s="71" t="s">
        <v>41</v>
      </c>
      <c r="AE44" s="71" t="s">
        <v>41</v>
      </c>
      <c r="AF44" s="75" t="s">
        <v>41</v>
      </c>
      <c r="AG44" s="71" t="s">
        <v>89</v>
      </c>
    </row>
    <row r="45" spans="1:33" s="13" customFormat="1" ht="15.6" customHeight="1">
      <c r="A45" s="13" t="s">
        <v>89</v>
      </c>
      <c r="B45" s="50" t="s">
        <v>92</v>
      </c>
      <c r="C45" s="66" t="s">
        <v>89</v>
      </c>
      <c r="D45" s="52" t="s">
        <v>89</v>
      </c>
      <c r="E45" s="52" t="s">
        <v>89</v>
      </c>
      <c r="F45" s="52" t="s">
        <v>89</v>
      </c>
      <c r="G45" s="52" t="s">
        <v>89</v>
      </c>
      <c r="H45" s="67" t="s">
        <v>89</v>
      </c>
      <c r="I45" s="67" t="s">
        <v>89</v>
      </c>
      <c r="J45" s="69" t="s">
        <v>41</v>
      </c>
      <c r="K45" s="66">
        <v>30</v>
      </c>
      <c r="L45" s="69">
        <v>70</v>
      </c>
      <c r="M45" s="66">
        <v>30</v>
      </c>
      <c r="N45" s="52">
        <v>10</v>
      </c>
      <c r="O45" s="52" t="s">
        <v>89</v>
      </c>
      <c r="P45" s="52">
        <v>10</v>
      </c>
      <c r="Q45" s="52">
        <v>10</v>
      </c>
      <c r="R45" s="52">
        <v>20</v>
      </c>
      <c r="S45" s="52">
        <v>30</v>
      </c>
      <c r="T45" s="67" t="s">
        <v>89</v>
      </c>
      <c r="U45" s="69" t="s">
        <v>89</v>
      </c>
      <c r="V45" s="76">
        <v>1.83</v>
      </c>
      <c r="W45" s="69">
        <v>8</v>
      </c>
      <c r="X45" s="74" t="s">
        <v>41</v>
      </c>
      <c r="Y45" s="71" t="s">
        <v>89</v>
      </c>
      <c r="Z45" s="71" t="s">
        <v>89</v>
      </c>
      <c r="AA45" s="71" t="s">
        <v>89</v>
      </c>
      <c r="AB45" s="71" t="s">
        <v>89</v>
      </c>
      <c r="AC45" s="71" t="s">
        <v>89</v>
      </c>
      <c r="AD45" s="71" t="s">
        <v>41</v>
      </c>
      <c r="AE45" s="71" t="s">
        <v>89</v>
      </c>
      <c r="AF45" s="75" t="s">
        <v>41</v>
      </c>
      <c r="AG45" s="71" t="s">
        <v>89</v>
      </c>
    </row>
    <row r="46" spans="1:33" s="13" customFormat="1" ht="15.6" customHeight="1" thickBot="1">
      <c r="B46" s="50" t="s">
        <v>93</v>
      </c>
      <c r="C46" s="94"/>
      <c r="D46" s="95"/>
      <c r="E46" s="87" t="s">
        <v>41</v>
      </c>
      <c r="F46" s="95"/>
      <c r="G46" s="95"/>
      <c r="H46" s="96"/>
      <c r="I46" s="96"/>
      <c r="J46" s="97"/>
      <c r="K46" s="66">
        <v>40</v>
      </c>
      <c r="L46" s="69">
        <v>60</v>
      </c>
      <c r="M46" s="66">
        <v>15</v>
      </c>
      <c r="N46" s="52">
        <v>10</v>
      </c>
      <c r="O46" s="52" t="s">
        <v>89</v>
      </c>
      <c r="P46" s="52">
        <v>10</v>
      </c>
      <c r="Q46" s="52">
        <v>10</v>
      </c>
      <c r="R46" s="52">
        <v>10</v>
      </c>
      <c r="S46" s="52">
        <v>30</v>
      </c>
      <c r="T46" s="96"/>
      <c r="U46" s="97"/>
      <c r="V46" s="98">
        <f>SUM(M46:U46)/60</f>
        <v>1.4166666666666667</v>
      </c>
      <c r="W46" s="83" t="s">
        <v>69</v>
      </c>
      <c r="X46" s="74" t="s">
        <v>41</v>
      </c>
      <c r="Y46" s="71" t="s">
        <v>41</v>
      </c>
      <c r="Z46" s="71" t="s">
        <v>89</v>
      </c>
      <c r="AA46" s="71" t="s">
        <v>41</v>
      </c>
      <c r="AB46" s="71" t="s">
        <v>89</v>
      </c>
      <c r="AC46" s="71" t="s">
        <v>89</v>
      </c>
      <c r="AD46" s="71" t="s">
        <v>41</v>
      </c>
      <c r="AE46" s="71" t="s">
        <v>41</v>
      </c>
      <c r="AF46" s="75" t="s">
        <v>41</v>
      </c>
      <c r="AG46" s="99"/>
    </row>
    <row r="47" spans="1:33" s="13" customFormat="1" ht="13.5" customHeight="1" thickBot="1">
      <c r="B47" s="51" t="s">
        <v>94</v>
      </c>
      <c r="C47" s="86"/>
      <c r="D47" s="87"/>
      <c r="E47" s="87" t="s">
        <v>41</v>
      </c>
      <c r="F47" s="87"/>
      <c r="G47" s="87"/>
      <c r="H47" s="88"/>
      <c r="I47" s="88"/>
      <c r="J47" s="89"/>
      <c r="K47" s="86">
        <v>30</v>
      </c>
      <c r="L47" s="89">
        <v>70</v>
      </c>
      <c r="M47" s="86">
        <v>15</v>
      </c>
      <c r="N47" s="87">
        <v>10</v>
      </c>
      <c r="O47" s="87"/>
      <c r="P47" s="87">
        <v>10</v>
      </c>
      <c r="Q47" s="87">
        <v>10</v>
      </c>
      <c r="R47" s="87">
        <v>10</v>
      </c>
      <c r="S47" s="87">
        <v>20</v>
      </c>
      <c r="T47" s="88"/>
      <c r="U47" s="89"/>
      <c r="V47" s="90">
        <f t="shared" si="0"/>
        <v>1.25</v>
      </c>
      <c r="W47" s="89" t="s">
        <v>88</v>
      </c>
      <c r="X47" s="74" t="s">
        <v>41</v>
      </c>
      <c r="Y47" s="71" t="s">
        <v>41</v>
      </c>
      <c r="Z47" s="71"/>
      <c r="AA47" s="71" t="s">
        <v>41</v>
      </c>
      <c r="AB47" s="71"/>
      <c r="AC47" s="71"/>
      <c r="AD47" s="71" t="s">
        <v>41</v>
      </c>
      <c r="AE47" s="71" t="s">
        <v>41</v>
      </c>
      <c r="AF47" s="75" t="s">
        <v>41</v>
      </c>
      <c r="AG47" s="91"/>
    </row>
    <row r="48" spans="1:33" ht="13.5" customHeight="1">
      <c r="B48" s="21"/>
    </row>
    <row r="49" spans="2:2">
      <c r="B49" s="21"/>
    </row>
    <row r="75" spans="2:9">
      <c r="B75" s="92"/>
    </row>
    <row r="76" spans="2:9">
      <c r="B76" s="21"/>
      <c r="C76" s="22"/>
      <c r="D76" s="22"/>
      <c r="E76" s="22"/>
      <c r="F76" s="22"/>
      <c r="G76" s="22"/>
      <c r="H76" s="22"/>
      <c r="I76" s="22"/>
    </row>
    <row r="77" spans="2:9">
      <c r="B77" s="21"/>
      <c r="C77" s="22"/>
      <c r="D77" s="22"/>
      <c r="E77" s="22"/>
      <c r="F77" s="22"/>
      <c r="G77" s="22"/>
      <c r="H77" s="22"/>
      <c r="I77" s="22"/>
    </row>
    <row r="78" spans="2:9">
      <c r="B78" s="21"/>
      <c r="C78" s="22"/>
      <c r="D78" s="22"/>
      <c r="E78" s="22"/>
      <c r="F78" s="22"/>
      <c r="G78" s="22"/>
      <c r="H78" s="22"/>
      <c r="I78" s="22"/>
    </row>
    <row r="79" spans="2:9">
      <c r="B79" s="21"/>
      <c r="C79" s="22"/>
      <c r="D79" s="22"/>
      <c r="E79" s="22"/>
      <c r="F79" s="22"/>
      <c r="G79" s="22"/>
      <c r="H79" s="22"/>
      <c r="I79" s="22"/>
    </row>
    <row r="80" spans="2:9">
      <c r="B80" s="21"/>
      <c r="C80" s="22"/>
      <c r="D80" s="22"/>
      <c r="E80" s="22"/>
      <c r="F80" s="22"/>
      <c r="G80" s="22"/>
      <c r="H80" s="22"/>
      <c r="I80" s="22"/>
    </row>
    <row r="81" spans="2:9">
      <c r="B81" s="21"/>
      <c r="C81" s="22"/>
      <c r="D81" s="22"/>
      <c r="E81" s="22"/>
      <c r="F81" s="22"/>
      <c r="G81" s="22"/>
      <c r="H81" s="22"/>
      <c r="I81" s="22"/>
    </row>
    <row r="82" spans="2:9">
      <c r="B82" s="21"/>
      <c r="C82" s="22"/>
      <c r="D82" s="22"/>
      <c r="E82" s="22"/>
      <c r="F82" s="22"/>
      <c r="G82" s="22"/>
      <c r="H82" s="22"/>
      <c r="I82" s="22"/>
    </row>
    <row r="83" spans="2:9">
      <c r="B83" s="21"/>
      <c r="C83" s="22"/>
      <c r="D83" s="22"/>
      <c r="E83" s="22"/>
      <c r="F83" s="22"/>
      <c r="G83" s="22"/>
      <c r="H83" s="22"/>
      <c r="I83" s="22"/>
    </row>
    <row r="84" spans="2:9">
      <c r="B84" s="21"/>
      <c r="C84" s="22"/>
      <c r="D84" s="22"/>
      <c r="E84" s="22"/>
      <c r="F84" s="22"/>
      <c r="G84" s="22"/>
      <c r="H84" s="22"/>
      <c r="I84" s="22"/>
    </row>
  </sheetData>
  <mergeCells count="5">
    <mergeCell ref="C3:J3"/>
    <mergeCell ref="C4:J4"/>
    <mergeCell ref="K4:L4"/>
    <mergeCell ref="M4:W4"/>
    <mergeCell ref="X4:AF4"/>
  </mergeCell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3EEE-C174-4A45-AD68-4DB04924143A}">
  <dimension ref="A1:K9"/>
  <sheetViews>
    <sheetView zoomScale="85" zoomScaleNormal="85" workbookViewId="0">
      <selection activeCell="M17" sqref="M17"/>
    </sheetView>
  </sheetViews>
  <sheetFormatPr defaultRowHeight="14.4"/>
  <cols>
    <col min="1" max="1" width="15" bestFit="1" customWidth="1"/>
    <col min="2" max="3" width="16.5546875" bestFit="1" customWidth="1"/>
    <col min="4" max="4" width="19.109375" bestFit="1" customWidth="1"/>
    <col min="5" max="5" width="16" bestFit="1" customWidth="1"/>
    <col min="6" max="8" width="7.44140625" bestFit="1" customWidth="1"/>
    <col min="9" max="10" width="13.88671875" bestFit="1" customWidth="1"/>
    <col min="11" max="11" width="16" bestFit="1" customWidth="1"/>
    <col min="12" max="12" width="16.109375" customWidth="1"/>
    <col min="13" max="13" width="19.109375" bestFit="1" customWidth="1"/>
    <col min="14" max="15" width="16.5546875" bestFit="1" customWidth="1"/>
    <col min="16" max="16" width="19.109375" bestFit="1" customWidth="1"/>
    <col min="17" max="18" width="16.5546875" bestFit="1" customWidth="1"/>
    <col min="19" max="19" width="19.109375" bestFit="1" customWidth="1"/>
    <col min="20" max="21" width="16.5546875" bestFit="1" customWidth="1"/>
    <col min="22" max="22" width="19.109375" bestFit="1" customWidth="1"/>
    <col min="23" max="24" width="16.5546875" bestFit="1" customWidth="1"/>
    <col min="25" max="25" width="19.109375" bestFit="1" customWidth="1"/>
    <col min="26" max="27" width="16.5546875" bestFit="1" customWidth="1"/>
    <col min="28" max="28" width="19.109375" bestFit="1" customWidth="1"/>
    <col min="29" max="30" width="16.5546875" bestFit="1" customWidth="1"/>
    <col min="31" max="31" width="19.109375" bestFit="1" customWidth="1"/>
    <col min="32" max="33" width="16.5546875" bestFit="1" customWidth="1"/>
    <col min="34" max="34" width="19.109375" bestFit="1" customWidth="1"/>
    <col min="35" max="36" width="16.5546875" bestFit="1" customWidth="1"/>
    <col min="37" max="37" width="19.109375" bestFit="1" customWidth="1"/>
    <col min="38" max="39" width="16.5546875" bestFit="1" customWidth="1"/>
    <col min="40" max="40" width="19.109375" bestFit="1" customWidth="1"/>
    <col min="41" max="42" width="16.5546875" bestFit="1" customWidth="1"/>
    <col min="43" max="43" width="19.109375" bestFit="1" customWidth="1"/>
    <col min="44" max="45" width="16.5546875" bestFit="1" customWidth="1"/>
    <col min="46" max="46" width="19.109375" bestFit="1" customWidth="1"/>
    <col min="47" max="48" width="16.5546875" bestFit="1" customWidth="1"/>
    <col min="49" max="49" width="19.109375" bestFit="1" customWidth="1"/>
    <col min="50" max="51" width="24.5546875" bestFit="1" customWidth="1"/>
    <col min="52" max="52" width="27.109375" bestFit="1" customWidth="1"/>
    <col min="53" max="170" width="13.5546875" bestFit="1" customWidth="1"/>
    <col min="171" max="171" width="5.88671875" bestFit="1" customWidth="1"/>
    <col min="172" max="480" width="19.109375" bestFit="1" customWidth="1"/>
    <col min="481" max="482" width="24.5546875" bestFit="1" customWidth="1"/>
    <col min="483" max="483" width="27.109375" bestFit="1" customWidth="1"/>
  </cols>
  <sheetData>
    <row r="1" spans="1:11">
      <c r="A1" s="37" t="s">
        <v>95</v>
      </c>
      <c r="B1" t="s" vm="1">
        <v>96</v>
      </c>
      <c r="H1" s="37" t="s">
        <v>97</v>
      </c>
      <c r="I1" t="s" vm="2">
        <v>98</v>
      </c>
    </row>
    <row r="3" spans="1:11">
      <c r="A3" s="37" t="s">
        <v>99</v>
      </c>
      <c r="B3" s="37" t="s">
        <v>97</v>
      </c>
      <c r="C3" t="s">
        <v>100</v>
      </c>
      <c r="D3" t="s">
        <v>101</v>
      </c>
      <c r="E3" t="s">
        <v>102</v>
      </c>
      <c r="H3" s="37" t="s">
        <v>95</v>
      </c>
      <c r="I3" t="s">
        <v>100</v>
      </c>
      <c r="J3" t="s">
        <v>101</v>
      </c>
      <c r="K3" t="s">
        <v>102</v>
      </c>
    </row>
    <row r="4" spans="1:11">
      <c r="A4">
        <v>271</v>
      </c>
      <c r="C4" s="41"/>
      <c r="D4" s="41"/>
      <c r="E4" s="41"/>
      <c r="H4" t="s">
        <v>103</v>
      </c>
      <c r="I4" s="41">
        <v>0.14645399538618917</v>
      </c>
      <c r="J4" s="41">
        <v>0.2318840579710145</v>
      </c>
      <c r="K4" s="41">
        <v>0.2394964833015045</v>
      </c>
    </row>
    <row r="5" spans="1:11">
      <c r="A5">
        <v>271</v>
      </c>
      <c r="B5" t="s">
        <v>98</v>
      </c>
      <c r="C5" s="41">
        <v>1</v>
      </c>
      <c r="D5" s="41">
        <v>1</v>
      </c>
      <c r="E5" s="41">
        <v>1</v>
      </c>
      <c r="H5" t="s">
        <v>104</v>
      </c>
      <c r="I5" s="41">
        <v>6.082250627724263E-2</v>
      </c>
      <c r="J5" s="41">
        <v>0.19323671497584541</v>
      </c>
      <c r="K5" s="41">
        <v>0.2947971493781732</v>
      </c>
    </row>
    <row r="6" spans="1:11">
      <c r="A6" t="s">
        <v>105</v>
      </c>
      <c r="C6" s="41">
        <v>1</v>
      </c>
      <c r="D6" s="41">
        <v>1</v>
      </c>
      <c r="E6" s="41">
        <v>1</v>
      </c>
      <c r="H6" t="s">
        <v>106</v>
      </c>
      <c r="I6" s="41">
        <v>0.62324544693667561</v>
      </c>
      <c r="J6" s="41">
        <v>0.21739130434782608</v>
      </c>
      <c r="K6" s="41">
        <v>8.3143136615585256E-2</v>
      </c>
    </row>
    <row r="7" spans="1:11">
      <c r="H7" t="s">
        <v>15</v>
      </c>
      <c r="I7" s="41">
        <v>9.0164303263566198E-2</v>
      </c>
      <c r="J7" s="41">
        <v>0.14975845410628019</v>
      </c>
      <c r="K7" s="41">
        <v>8.3143136615585256E-2</v>
      </c>
    </row>
    <row r="8" spans="1:11">
      <c r="H8" t="s">
        <v>107</v>
      </c>
      <c r="I8" s="41">
        <v>7.9313748136326412E-2</v>
      </c>
      <c r="J8" s="41">
        <v>0.20772946859903382</v>
      </c>
      <c r="K8" s="41">
        <v>0.29942009408915182</v>
      </c>
    </row>
    <row r="9" spans="1:11">
      <c r="H9" t="s">
        <v>105</v>
      </c>
      <c r="I9" s="41">
        <v>1</v>
      </c>
      <c r="J9" s="41">
        <v>1</v>
      </c>
      <c r="K9" s="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7281-87B3-409D-8AB2-73C87B29BC0D}">
  <dimension ref="A1:A8"/>
  <sheetViews>
    <sheetView showGridLines="0" topLeftCell="J46" zoomScale="50" zoomScaleNormal="50" zoomScaleSheetLayoutView="55" workbookViewId="0">
      <selection activeCell="BS75" sqref="BS75"/>
    </sheetView>
  </sheetViews>
  <sheetFormatPr defaultRowHeight="14.4"/>
  <sheetData>
    <row r="1" customFormat="1"/>
    <row r="2" customFormat="1"/>
    <row r="3" customFormat="1"/>
    <row r="4" customFormat="1"/>
    <row r="5" customFormat="1"/>
    <row r="6" customFormat="1"/>
    <row r="7" customFormat="1"/>
    <row r="8" customFormat="1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D720-AF61-436A-AD3F-4D96293FBE2F}">
  <dimension ref="A1:O218"/>
  <sheetViews>
    <sheetView workbookViewId="0">
      <selection activeCell="H9" sqref="H9"/>
    </sheetView>
  </sheetViews>
  <sheetFormatPr defaultRowHeight="14.4"/>
  <cols>
    <col min="1" max="1" width="20.5546875" bestFit="1" customWidth="1"/>
    <col min="2" max="2" width="13" bestFit="1" customWidth="1"/>
    <col min="3" max="3" width="18.33203125" bestFit="1" customWidth="1"/>
    <col min="4" max="5" width="10.5546875" bestFit="1" customWidth="1"/>
    <col min="6" max="7" width="13" bestFit="1" customWidth="1"/>
    <col min="8" max="8" width="45.109375" bestFit="1" customWidth="1"/>
    <col min="9" max="9" width="15.88671875" bestFit="1" customWidth="1"/>
    <col min="10" max="11" width="15" bestFit="1" customWidth="1"/>
    <col min="12" max="12" width="17.5546875" bestFit="1" customWidth="1"/>
    <col min="13" max="14" width="12.109375" bestFit="1" customWidth="1"/>
    <col min="15" max="15" width="14.5546875" customWidth="1"/>
    <col min="16" max="16" width="15.88671875" bestFit="1" customWidth="1"/>
  </cols>
  <sheetData>
    <row r="1" spans="1:15">
      <c r="A1" t="s">
        <v>95</v>
      </c>
      <c r="B1" t="s">
        <v>97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39</v>
      </c>
      <c r="I1" t="s">
        <v>99</v>
      </c>
      <c r="J1" t="s">
        <v>113</v>
      </c>
      <c r="K1" t="s">
        <v>114</v>
      </c>
      <c r="L1" t="s">
        <v>115</v>
      </c>
      <c r="M1" s="38" t="s">
        <v>116</v>
      </c>
      <c r="N1" t="s">
        <v>117</v>
      </c>
      <c r="O1" t="s">
        <v>118</v>
      </c>
    </row>
    <row r="2" spans="1:15">
      <c r="A2" t="s">
        <v>119</v>
      </c>
      <c r="B2" t="s">
        <v>120</v>
      </c>
      <c r="C2" t="s">
        <v>60</v>
      </c>
      <c r="D2">
        <v>1581</v>
      </c>
      <c r="E2">
        <v>8</v>
      </c>
      <c r="F2">
        <v>14044</v>
      </c>
      <c r="G2">
        <v>53</v>
      </c>
      <c r="I2">
        <v>192</v>
      </c>
      <c r="J2">
        <v>237957</v>
      </c>
      <c r="K2">
        <v>167</v>
      </c>
      <c r="L2">
        <v>2696</v>
      </c>
      <c r="M2" s="38">
        <v>6.6440575398076102E-3</v>
      </c>
      <c r="N2" s="38">
        <v>4.7904191616766498E-2</v>
      </c>
      <c r="O2" s="38">
        <v>1.9658753709198801E-2</v>
      </c>
    </row>
    <row r="3" spans="1:15">
      <c r="A3" t="s">
        <v>104</v>
      </c>
      <c r="B3" t="s">
        <v>120</v>
      </c>
      <c r="C3" t="s">
        <v>68</v>
      </c>
      <c r="D3">
        <v>15886</v>
      </c>
      <c r="E3">
        <v>12</v>
      </c>
      <c r="F3">
        <v>9373</v>
      </c>
      <c r="G3">
        <v>183</v>
      </c>
      <c r="I3">
        <v>192</v>
      </c>
      <c r="J3">
        <v>237957</v>
      </c>
      <c r="K3">
        <v>167</v>
      </c>
      <c r="L3">
        <v>2696</v>
      </c>
      <c r="M3" s="38">
        <v>6.6759960833259802E-2</v>
      </c>
      <c r="N3" s="38">
        <v>7.1856287425149698E-2</v>
      </c>
      <c r="O3" s="38">
        <v>6.7878338278931805E-2</v>
      </c>
    </row>
    <row r="4" spans="1:15">
      <c r="A4" t="s">
        <v>104</v>
      </c>
      <c r="B4" t="s">
        <v>120</v>
      </c>
      <c r="C4" t="s">
        <v>75</v>
      </c>
      <c r="D4">
        <v>1476</v>
      </c>
      <c r="E4">
        <v>4</v>
      </c>
      <c r="F4">
        <v>8274</v>
      </c>
      <c r="G4">
        <v>25</v>
      </c>
      <c r="I4">
        <v>192</v>
      </c>
      <c r="J4">
        <v>237957</v>
      </c>
      <c r="K4">
        <v>167</v>
      </c>
      <c r="L4">
        <v>2696</v>
      </c>
      <c r="M4" s="38">
        <v>6.2028013464617603E-3</v>
      </c>
      <c r="N4" s="38">
        <v>2.39520958083832E-2</v>
      </c>
      <c r="O4" s="38">
        <v>9.2729970326409505E-3</v>
      </c>
    </row>
    <row r="5" spans="1:15">
      <c r="A5" t="s">
        <v>15</v>
      </c>
      <c r="B5" t="s">
        <v>120</v>
      </c>
      <c r="C5" t="s">
        <v>121</v>
      </c>
      <c r="D5">
        <v>1060</v>
      </c>
      <c r="E5">
        <v>1</v>
      </c>
      <c r="F5">
        <v>7630</v>
      </c>
      <c r="G5">
        <v>12</v>
      </c>
      <c r="I5">
        <v>192</v>
      </c>
      <c r="J5">
        <v>237957</v>
      </c>
      <c r="K5">
        <v>167</v>
      </c>
      <c r="L5">
        <v>2696</v>
      </c>
      <c r="M5" s="38">
        <v>4.4545863328248397E-3</v>
      </c>
      <c r="N5" s="38">
        <v>5.9880239520958096E-3</v>
      </c>
      <c r="O5" s="38">
        <v>4.4510385756676603E-3</v>
      </c>
    </row>
    <row r="6" spans="1:15">
      <c r="A6" t="s">
        <v>15</v>
      </c>
      <c r="B6" t="s">
        <v>120</v>
      </c>
      <c r="C6" t="s">
        <v>70</v>
      </c>
      <c r="D6">
        <v>700</v>
      </c>
      <c r="E6">
        <v>2</v>
      </c>
      <c r="F6">
        <v>9218</v>
      </c>
      <c r="G6">
        <v>14</v>
      </c>
      <c r="I6">
        <v>192</v>
      </c>
      <c r="J6">
        <v>237957</v>
      </c>
      <c r="K6">
        <v>167</v>
      </c>
      <c r="L6">
        <v>2696</v>
      </c>
      <c r="M6" s="38">
        <v>2.9417079556390401E-3</v>
      </c>
      <c r="N6" s="38">
        <v>1.19760479041916E-2</v>
      </c>
      <c r="O6" s="38">
        <v>5.1928783382789298E-3</v>
      </c>
    </row>
    <row r="7" spans="1:15">
      <c r="A7" t="s">
        <v>15</v>
      </c>
      <c r="B7" t="s">
        <v>120</v>
      </c>
      <c r="C7" t="s">
        <v>73</v>
      </c>
      <c r="D7">
        <v>19607</v>
      </c>
      <c r="E7">
        <v>4</v>
      </c>
      <c r="F7">
        <v>11320</v>
      </c>
      <c r="G7">
        <v>133</v>
      </c>
      <c r="I7">
        <v>192</v>
      </c>
      <c r="J7">
        <v>237957</v>
      </c>
      <c r="K7">
        <v>167</v>
      </c>
      <c r="L7">
        <v>2696</v>
      </c>
      <c r="M7" s="38">
        <v>8.2397239837449607E-2</v>
      </c>
      <c r="N7" s="38">
        <v>2.39520958083832E-2</v>
      </c>
      <c r="O7" s="38">
        <v>4.9332344213649897E-2</v>
      </c>
    </row>
    <row r="8" spans="1:15">
      <c r="A8" t="s">
        <v>15</v>
      </c>
      <c r="B8" t="s">
        <v>120</v>
      </c>
      <c r="C8" t="s">
        <v>122</v>
      </c>
      <c r="D8">
        <v>10440</v>
      </c>
      <c r="E8">
        <v>14</v>
      </c>
      <c r="F8">
        <v>8211</v>
      </c>
      <c r="G8">
        <v>147</v>
      </c>
      <c r="I8">
        <v>192</v>
      </c>
      <c r="J8">
        <v>237957</v>
      </c>
      <c r="K8">
        <v>167</v>
      </c>
      <c r="L8">
        <v>2696</v>
      </c>
      <c r="M8" s="38">
        <v>4.3873472938388003E-2</v>
      </c>
      <c r="N8" s="38">
        <v>8.3832335329341298E-2</v>
      </c>
      <c r="O8" s="38">
        <v>5.4525222551928799E-2</v>
      </c>
    </row>
    <row r="9" spans="1:15">
      <c r="A9" t="s">
        <v>103</v>
      </c>
      <c r="B9" t="s">
        <v>120</v>
      </c>
      <c r="C9" t="s">
        <v>42</v>
      </c>
      <c r="D9">
        <v>9350</v>
      </c>
      <c r="E9">
        <v>18</v>
      </c>
      <c r="F9">
        <v>4915</v>
      </c>
      <c r="G9">
        <v>109</v>
      </c>
      <c r="I9">
        <v>192</v>
      </c>
      <c r="J9">
        <v>237957</v>
      </c>
      <c r="K9">
        <v>167</v>
      </c>
      <c r="L9">
        <v>2696</v>
      </c>
      <c r="M9" s="38">
        <v>3.9292813407464398E-2</v>
      </c>
      <c r="N9" s="38">
        <v>0.107784431137725</v>
      </c>
      <c r="O9" s="38">
        <v>4.04302670623145E-2</v>
      </c>
    </row>
    <row r="10" spans="1:15">
      <c r="A10" t="s">
        <v>103</v>
      </c>
      <c r="B10" t="s">
        <v>120</v>
      </c>
      <c r="C10" t="s">
        <v>59</v>
      </c>
      <c r="D10">
        <v>8892</v>
      </c>
      <c r="E10">
        <v>13</v>
      </c>
      <c r="F10">
        <v>8929</v>
      </c>
      <c r="G10">
        <v>151</v>
      </c>
      <c r="I10">
        <v>192</v>
      </c>
      <c r="J10">
        <v>237957</v>
      </c>
      <c r="K10">
        <v>167</v>
      </c>
      <c r="L10">
        <v>2696</v>
      </c>
      <c r="M10" s="38">
        <v>3.7368095916489097E-2</v>
      </c>
      <c r="N10" s="38">
        <v>7.7844311377245498E-2</v>
      </c>
      <c r="O10" s="38">
        <v>5.6008902077151299E-2</v>
      </c>
    </row>
    <row r="11" spans="1:15">
      <c r="A11" t="s">
        <v>104</v>
      </c>
      <c r="B11" t="s">
        <v>120</v>
      </c>
      <c r="C11" t="s">
        <v>123</v>
      </c>
      <c r="D11">
        <v>3911</v>
      </c>
      <c r="E11">
        <v>1</v>
      </c>
      <c r="F11">
        <v>12498</v>
      </c>
      <c r="G11">
        <v>48</v>
      </c>
      <c r="I11">
        <v>192</v>
      </c>
      <c r="J11">
        <v>237957</v>
      </c>
      <c r="K11">
        <v>167</v>
      </c>
      <c r="L11">
        <v>2696</v>
      </c>
      <c r="M11" s="38">
        <v>1.6435742592149E-2</v>
      </c>
      <c r="N11" s="38">
        <v>5.9880239520958096E-3</v>
      </c>
      <c r="O11" s="38">
        <v>1.78041543026706E-2</v>
      </c>
    </row>
    <row r="12" spans="1:15">
      <c r="A12" t="s">
        <v>103</v>
      </c>
      <c r="B12" t="s">
        <v>120</v>
      </c>
      <c r="C12" t="s">
        <v>55</v>
      </c>
      <c r="D12">
        <v>1608</v>
      </c>
      <c r="E12">
        <v>14</v>
      </c>
      <c r="F12">
        <v>7919</v>
      </c>
      <c r="G12">
        <v>41</v>
      </c>
      <c r="I12">
        <v>192</v>
      </c>
      <c r="J12">
        <v>237957</v>
      </c>
      <c r="K12">
        <v>167</v>
      </c>
      <c r="L12">
        <v>2696</v>
      </c>
      <c r="M12" s="38">
        <v>6.7575234180965501E-3</v>
      </c>
      <c r="N12" s="38">
        <v>8.3832335329341298E-2</v>
      </c>
      <c r="O12" s="38">
        <v>1.52077151335312E-2</v>
      </c>
    </row>
    <row r="13" spans="1:15">
      <c r="A13" t="s">
        <v>103</v>
      </c>
      <c r="B13" t="s">
        <v>120</v>
      </c>
      <c r="C13" t="s">
        <v>72</v>
      </c>
      <c r="D13">
        <v>2000</v>
      </c>
      <c r="E13">
        <v>1</v>
      </c>
      <c r="F13">
        <v>4836</v>
      </c>
      <c r="G13">
        <v>13</v>
      </c>
      <c r="I13">
        <v>192</v>
      </c>
      <c r="J13">
        <v>237957</v>
      </c>
      <c r="K13">
        <v>167</v>
      </c>
      <c r="L13">
        <v>2696</v>
      </c>
      <c r="M13" s="38">
        <v>8.4048798732544103E-3</v>
      </c>
      <c r="N13" s="38">
        <v>5.9880239520958096E-3</v>
      </c>
      <c r="O13" s="38">
        <v>4.8219584569732903E-3</v>
      </c>
    </row>
    <row r="14" spans="1:15">
      <c r="A14" t="s">
        <v>103</v>
      </c>
      <c r="B14" t="s">
        <v>120</v>
      </c>
      <c r="C14" t="s">
        <v>61</v>
      </c>
      <c r="D14">
        <v>50717</v>
      </c>
      <c r="E14">
        <v>8</v>
      </c>
      <c r="F14">
        <v>7698</v>
      </c>
      <c r="G14">
        <v>546</v>
      </c>
      <c r="I14">
        <v>192</v>
      </c>
      <c r="J14">
        <v>237957</v>
      </c>
      <c r="K14">
        <v>167</v>
      </c>
      <c r="L14">
        <v>2696</v>
      </c>
      <c r="M14" s="38">
        <v>0.213135146265922</v>
      </c>
      <c r="N14" s="38">
        <v>4.7904191616766498E-2</v>
      </c>
      <c r="O14" s="38">
        <v>0.202522255192878</v>
      </c>
    </row>
    <row r="15" spans="1:15">
      <c r="A15" t="s">
        <v>124</v>
      </c>
      <c r="B15" t="s">
        <v>120</v>
      </c>
      <c r="C15" t="s">
        <v>125</v>
      </c>
      <c r="D15">
        <v>914</v>
      </c>
      <c r="E15">
        <v>3</v>
      </c>
      <c r="F15">
        <v>5925</v>
      </c>
      <c r="G15">
        <v>32</v>
      </c>
      <c r="I15">
        <v>192</v>
      </c>
      <c r="J15">
        <v>237957</v>
      </c>
      <c r="K15">
        <v>167</v>
      </c>
      <c r="L15">
        <v>2696</v>
      </c>
      <c r="M15" s="38">
        <v>3.8410301020772699E-3</v>
      </c>
      <c r="N15" s="38">
        <v>1.79640718562874E-2</v>
      </c>
      <c r="O15" s="38">
        <v>1.18694362017804E-2</v>
      </c>
    </row>
    <row r="16" spans="1:15">
      <c r="A16" t="s">
        <v>124</v>
      </c>
      <c r="B16" t="s">
        <v>120</v>
      </c>
      <c r="C16" t="s">
        <v>126</v>
      </c>
      <c r="D16">
        <v>20226</v>
      </c>
      <c r="E16">
        <v>6</v>
      </c>
      <c r="F16">
        <v>5953</v>
      </c>
      <c r="G16">
        <v>179</v>
      </c>
      <c r="I16">
        <v>192</v>
      </c>
      <c r="J16">
        <v>237957</v>
      </c>
      <c r="K16">
        <v>167</v>
      </c>
      <c r="L16">
        <v>2696</v>
      </c>
      <c r="M16" s="38">
        <v>8.49985501582219E-2</v>
      </c>
      <c r="N16" s="38">
        <v>3.59281437125748E-2</v>
      </c>
      <c r="O16" s="38">
        <v>6.6394658753709201E-2</v>
      </c>
    </row>
    <row r="17" spans="1:15">
      <c r="A17" t="s">
        <v>124</v>
      </c>
      <c r="B17" t="s">
        <v>120</v>
      </c>
      <c r="C17" t="s">
        <v>127</v>
      </c>
      <c r="D17">
        <v>278</v>
      </c>
      <c r="E17">
        <v>1</v>
      </c>
      <c r="F17">
        <v>19068</v>
      </c>
      <c r="G17">
        <v>8</v>
      </c>
      <c r="I17">
        <v>192</v>
      </c>
      <c r="J17">
        <v>237957</v>
      </c>
      <c r="K17">
        <v>167</v>
      </c>
      <c r="L17">
        <v>2696</v>
      </c>
      <c r="M17" s="38">
        <v>1.1682783023823601E-3</v>
      </c>
      <c r="N17" s="38">
        <v>5.9880239520958096E-3</v>
      </c>
      <c r="O17" s="38">
        <v>2.9673590504451001E-3</v>
      </c>
    </row>
    <row r="18" spans="1:15">
      <c r="A18" t="s">
        <v>119</v>
      </c>
      <c r="B18" t="s">
        <v>120</v>
      </c>
      <c r="C18" t="s">
        <v>128</v>
      </c>
      <c r="D18">
        <v>345</v>
      </c>
      <c r="E18">
        <v>5</v>
      </c>
      <c r="F18">
        <v>12127</v>
      </c>
      <c r="G18">
        <v>11</v>
      </c>
      <c r="I18">
        <v>192</v>
      </c>
      <c r="J18">
        <v>237957</v>
      </c>
      <c r="K18">
        <v>167</v>
      </c>
      <c r="L18">
        <v>2696</v>
      </c>
      <c r="M18" s="38">
        <v>1.4498417781363901E-3</v>
      </c>
      <c r="N18" s="38">
        <v>2.9940119760479E-2</v>
      </c>
      <c r="O18" s="38">
        <v>4.0801186943620199E-3</v>
      </c>
    </row>
    <row r="19" spans="1:15">
      <c r="A19" t="s">
        <v>106</v>
      </c>
      <c r="B19" t="s">
        <v>120</v>
      </c>
      <c r="C19" t="s">
        <v>40</v>
      </c>
      <c r="D19">
        <v>88966</v>
      </c>
      <c r="E19">
        <v>52</v>
      </c>
      <c r="F19">
        <v>7470</v>
      </c>
      <c r="G19">
        <v>991</v>
      </c>
      <c r="I19">
        <v>192</v>
      </c>
      <c r="J19">
        <v>237957</v>
      </c>
      <c r="K19">
        <v>167</v>
      </c>
      <c r="L19">
        <v>2696</v>
      </c>
      <c r="M19" s="38">
        <v>0.37387427140197599</v>
      </c>
      <c r="N19" s="38">
        <v>0.31137724550898199</v>
      </c>
      <c r="O19" s="38">
        <v>0.36758160237388698</v>
      </c>
    </row>
    <row r="20" spans="1:15">
      <c r="A20" t="s">
        <v>103</v>
      </c>
      <c r="B20" t="s">
        <v>129</v>
      </c>
      <c r="C20" t="s">
        <v>42</v>
      </c>
      <c r="D20">
        <v>21965</v>
      </c>
      <c r="E20">
        <v>19</v>
      </c>
      <c r="F20">
        <v>4604</v>
      </c>
      <c r="G20">
        <v>169</v>
      </c>
      <c r="I20">
        <v>201</v>
      </c>
      <c r="J20">
        <v>237413</v>
      </c>
      <c r="K20">
        <v>156</v>
      </c>
      <c r="L20">
        <v>2607</v>
      </c>
      <c r="M20" s="38">
        <v>9.2518101367658895E-2</v>
      </c>
      <c r="N20" s="38">
        <v>0.121794871794872</v>
      </c>
      <c r="O20" s="38">
        <v>6.4825469888761006E-2</v>
      </c>
    </row>
    <row r="21" spans="1:15">
      <c r="A21" t="s">
        <v>103</v>
      </c>
      <c r="B21" t="s">
        <v>129</v>
      </c>
      <c r="C21" t="s">
        <v>59</v>
      </c>
      <c r="D21">
        <v>11214</v>
      </c>
      <c r="E21">
        <v>19</v>
      </c>
      <c r="F21">
        <v>8221</v>
      </c>
      <c r="G21">
        <v>177</v>
      </c>
      <c r="I21">
        <v>201</v>
      </c>
      <c r="J21">
        <v>237413</v>
      </c>
      <c r="K21">
        <v>156</v>
      </c>
      <c r="L21">
        <v>2607</v>
      </c>
      <c r="M21" s="38">
        <v>4.7234144718275799E-2</v>
      </c>
      <c r="N21" s="38">
        <v>0.121794871794872</v>
      </c>
      <c r="O21" s="38">
        <v>6.7894131185270407E-2</v>
      </c>
    </row>
    <row r="22" spans="1:15">
      <c r="A22" t="s">
        <v>104</v>
      </c>
      <c r="B22" t="s">
        <v>129</v>
      </c>
      <c r="C22" t="s">
        <v>75</v>
      </c>
      <c r="D22">
        <v>2632</v>
      </c>
      <c r="E22">
        <v>2</v>
      </c>
      <c r="F22">
        <v>6221</v>
      </c>
      <c r="G22">
        <v>32</v>
      </c>
      <c r="I22">
        <v>201</v>
      </c>
      <c r="J22">
        <v>237413</v>
      </c>
      <c r="K22">
        <v>156</v>
      </c>
      <c r="L22">
        <v>2607</v>
      </c>
      <c r="M22" s="38">
        <v>1.1086166300918699E-2</v>
      </c>
      <c r="N22" s="38">
        <v>1.2820512820512799E-2</v>
      </c>
      <c r="O22" s="38">
        <v>1.2274645186037599E-2</v>
      </c>
    </row>
    <row r="23" spans="1:15">
      <c r="A23" t="s">
        <v>124</v>
      </c>
      <c r="B23" t="s">
        <v>129</v>
      </c>
      <c r="C23" t="s">
        <v>64</v>
      </c>
      <c r="D23">
        <v>3782</v>
      </c>
      <c r="E23">
        <v>3</v>
      </c>
      <c r="F23">
        <v>4883</v>
      </c>
      <c r="G23">
        <v>33</v>
      </c>
      <c r="I23">
        <v>201</v>
      </c>
      <c r="J23">
        <v>237413</v>
      </c>
      <c r="K23">
        <v>156</v>
      </c>
      <c r="L23">
        <v>2607</v>
      </c>
      <c r="M23" s="38">
        <v>1.5930045953675701E-2</v>
      </c>
      <c r="N23" s="38">
        <v>1.9230769230769201E-2</v>
      </c>
      <c r="O23" s="38">
        <v>1.26582278481013E-2</v>
      </c>
    </row>
    <row r="24" spans="1:15">
      <c r="A24" t="s">
        <v>104</v>
      </c>
      <c r="B24" t="s">
        <v>129</v>
      </c>
      <c r="C24" t="s">
        <v>123</v>
      </c>
      <c r="D24">
        <v>1382</v>
      </c>
      <c r="E24">
        <v>4</v>
      </c>
      <c r="F24">
        <v>8240</v>
      </c>
      <c r="G24">
        <v>20</v>
      </c>
      <c r="I24">
        <v>201</v>
      </c>
      <c r="J24">
        <v>237413</v>
      </c>
      <c r="K24">
        <v>156</v>
      </c>
      <c r="L24">
        <v>2607</v>
      </c>
      <c r="M24" s="38">
        <v>5.8210797218349502E-3</v>
      </c>
      <c r="N24" s="38">
        <v>2.5641025641025599E-2</v>
      </c>
      <c r="O24" s="38">
        <v>7.6716532412734999E-3</v>
      </c>
    </row>
    <row r="25" spans="1:15">
      <c r="A25" t="s">
        <v>124</v>
      </c>
      <c r="B25" t="s">
        <v>129</v>
      </c>
      <c r="C25" t="s">
        <v>65</v>
      </c>
      <c r="D25">
        <v>5400</v>
      </c>
      <c r="E25">
        <v>2</v>
      </c>
      <c r="F25">
        <v>7214</v>
      </c>
      <c r="G25">
        <v>59</v>
      </c>
      <c r="I25">
        <v>201</v>
      </c>
      <c r="J25">
        <v>237413</v>
      </c>
      <c r="K25">
        <v>156</v>
      </c>
      <c r="L25">
        <v>2607</v>
      </c>
      <c r="M25" s="38">
        <v>2.2745174021641602E-2</v>
      </c>
      <c r="N25" s="38">
        <v>1.2820512820512799E-2</v>
      </c>
      <c r="O25" s="38">
        <v>2.2631377061756799E-2</v>
      </c>
    </row>
    <row r="26" spans="1:15">
      <c r="A26" t="s">
        <v>103</v>
      </c>
      <c r="B26" t="s">
        <v>129</v>
      </c>
      <c r="C26" t="s">
        <v>55</v>
      </c>
      <c r="D26">
        <v>5815</v>
      </c>
      <c r="E26">
        <v>19</v>
      </c>
      <c r="F26">
        <v>5040</v>
      </c>
      <c r="G26">
        <v>111</v>
      </c>
      <c r="I26">
        <v>201</v>
      </c>
      <c r="J26">
        <v>237413</v>
      </c>
      <c r="K26">
        <v>156</v>
      </c>
      <c r="L26">
        <v>2607</v>
      </c>
      <c r="M26" s="38">
        <v>2.44931827658974E-2</v>
      </c>
      <c r="N26" s="38">
        <v>0.121794871794872</v>
      </c>
      <c r="O26" s="38">
        <v>4.25776754890679E-2</v>
      </c>
    </row>
    <row r="27" spans="1:15">
      <c r="A27" t="s">
        <v>106</v>
      </c>
      <c r="B27" t="s">
        <v>129</v>
      </c>
      <c r="C27" t="s">
        <v>40</v>
      </c>
      <c r="D27">
        <v>172681</v>
      </c>
      <c r="E27">
        <v>79</v>
      </c>
      <c r="F27">
        <v>7910</v>
      </c>
      <c r="G27">
        <v>1839</v>
      </c>
      <c r="I27">
        <v>201</v>
      </c>
      <c r="J27">
        <v>237413</v>
      </c>
      <c r="K27">
        <v>156</v>
      </c>
      <c r="L27">
        <v>2607</v>
      </c>
      <c r="M27" s="38">
        <v>0.72734433245020302</v>
      </c>
      <c r="N27" s="38">
        <v>0.50641025641025605</v>
      </c>
      <c r="O27" s="38">
        <v>0.70540851553509798</v>
      </c>
    </row>
    <row r="28" spans="1:15">
      <c r="A28" t="s">
        <v>124</v>
      </c>
      <c r="B28" t="s">
        <v>129</v>
      </c>
      <c r="C28" t="s">
        <v>125</v>
      </c>
      <c r="D28">
        <v>548</v>
      </c>
      <c r="E28">
        <v>1</v>
      </c>
      <c r="F28">
        <v>4911</v>
      </c>
      <c r="G28">
        <v>7</v>
      </c>
      <c r="I28">
        <v>201</v>
      </c>
      <c r="J28">
        <v>237413</v>
      </c>
      <c r="K28">
        <v>156</v>
      </c>
      <c r="L28">
        <v>2607</v>
      </c>
      <c r="M28" s="38">
        <v>2.3082139562702999E-3</v>
      </c>
      <c r="N28" s="38">
        <v>6.41025641025641E-3</v>
      </c>
      <c r="O28" s="38">
        <v>2.6850786344457199E-3</v>
      </c>
    </row>
    <row r="29" spans="1:15">
      <c r="A29" t="s">
        <v>119</v>
      </c>
      <c r="B29" t="s">
        <v>129</v>
      </c>
      <c r="C29" t="s">
        <v>60</v>
      </c>
      <c r="D29">
        <v>400</v>
      </c>
      <c r="E29">
        <v>2</v>
      </c>
      <c r="F29">
        <v>18205</v>
      </c>
      <c r="G29">
        <v>7</v>
      </c>
      <c r="I29">
        <v>201</v>
      </c>
      <c r="J29">
        <v>237413</v>
      </c>
      <c r="K29">
        <v>156</v>
      </c>
      <c r="L29">
        <v>2607</v>
      </c>
      <c r="M29" s="38">
        <v>1.68482770530679E-3</v>
      </c>
      <c r="N29" s="38">
        <v>1.2820512820512799E-2</v>
      </c>
      <c r="O29" s="38">
        <v>2.6850786344457199E-3</v>
      </c>
    </row>
    <row r="30" spans="1:15">
      <c r="A30" t="s">
        <v>104</v>
      </c>
      <c r="B30" t="s">
        <v>129</v>
      </c>
      <c r="C30" t="s">
        <v>68</v>
      </c>
      <c r="D30">
        <v>9594</v>
      </c>
      <c r="E30">
        <v>5</v>
      </c>
      <c r="F30">
        <v>8778</v>
      </c>
      <c r="G30">
        <v>137</v>
      </c>
      <c r="I30">
        <v>201</v>
      </c>
      <c r="J30">
        <v>237413</v>
      </c>
      <c r="K30">
        <v>156</v>
      </c>
      <c r="L30">
        <v>2607</v>
      </c>
      <c r="M30" s="38">
        <v>4.0410592511783298E-2</v>
      </c>
      <c r="N30" s="38">
        <v>3.2051282051282E-2</v>
      </c>
      <c r="O30" s="38">
        <v>5.2550824702723403E-2</v>
      </c>
    </row>
    <row r="31" spans="1:15">
      <c r="A31" t="s">
        <v>103</v>
      </c>
      <c r="B31" t="s">
        <v>129</v>
      </c>
      <c r="C31" t="s">
        <v>72</v>
      </c>
      <c r="D31">
        <v>2000</v>
      </c>
      <c r="E31">
        <v>1</v>
      </c>
      <c r="F31">
        <v>4836</v>
      </c>
      <c r="G31">
        <v>16</v>
      </c>
      <c r="I31">
        <v>201</v>
      </c>
      <c r="J31">
        <v>237413</v>
      </c>
      <c r="K31">
        <v>156</v>
      </c>
      <c r="L31">
        <v>2607</v>
      </c>
      <c r="M31" s="38">
        <v>8.4241385265339305E-3</v>
      </c>
      <c r="N31" s="38">
        <v>6.41025641025641E-3</v>
      </c>
      <c r="O31" s="38">
        <v>6.1373225930187996E-3</v>
      </c>
    </row>
    <row r="32" spans="1:15">
      <c r="A32" t="s">
        <v>103</v>
      </c>
      <c r="B32" t="s">
        <v>130</v>
      </c>
      <c r="C32" t="s">
        <v>72</v>
      </c>
      <c r="D32">
        <v>9108</v>
      </c>
      <c r="E32">
        <v>15</v>
      </c>
      <c r="F32">
        <v>11736</v>
      </c>
      <c r="G32">
        <v>169</v>
      </c>
      <c r="I32">
        <v>202</v>
      </c>
      <c r="J32">
        <v>193806</v>
      </c>
      <c r="K32">
        <v>137</v>
      </c>
      <c r="L32">
        <v>2283</v>
      </c>
      <c r="M32" s="38">
        <v>4.6995449057304697E-2</v>
      </c>
      <c r="N32" s="38">
        <v>0.109489051094891</v>
      </c>
      <c r="O32" s="38">
        <v>7.4025405168637801E-2</v>
      </c>
    </row>
    <row r="33" spans="1:15">
      <c r="A33" t="s">
        <v>15</v>
      </c>
      <c r="B33" t="s">
        <v>130</v>
      </c>
      <c r="C33" t="s">
        <v>64</v>
      </c>
      <c r="D33">
        <v>4418</v>
      </c>
      <c r="E33">
        <v>3</v>
      </c>
      <c r="F33">
        <v>7220</v>
      </c>
      <c r="G33">
        <v>51</v>
      </c>
      <c r="I33">
        <v>202</v>
      </c>
      <c r="J33">
        <v>193806</v>
      </c>
      <c r="K33">
        <v>137</v>
      </c>
      <c r="L33">
        <v>2283</v>
      </c>
      <c r="M33" s="38">
        <v>2.2795991868156801E-2</v>
      </c>
      <c r="N33" s="38">
        <v>2.18978102189781E-2</v>
      </c>
      <c r="O33" s="38">
        <v>2.2339027595269401E-2</v>
      </c>
    </row>
    <row r="34" spans="1:15">
      <c r="A34" t="s">
        <v>15</v>
      </c>
      <c r="B34" t="s">
        <v>130</v>
      </c>
      <c r="C34" t="s">
        <v>73</v>
      </c>
      <c r="D34">
        <v>13632</v>
      </c>
      <c r="E34">
        <v>4</v>
      </c>
      <c r="F34">
        <v>12323</v>
      </c>
      <c r="G34">
        <v>140</v>
      </c>
      <c r="I34">
        <v>202</v>
      </c>
      <c r="J34">
        <v>193806</v>
      </c>
      <c r="K34">
        <v>137</v>
      </c>
      <c r="L34">
        <v>2283</v>
      </c>
      <c r="M34" s="38">
        <v>7.0338379616730104E-2</v>
      </c>
      <c r="N34" s="38">
        <v>2.9197080291970798E-2</v>
      </c>
      <c r="O34" s="38">
        <v>6.1322820849759103E-2</v>
      </c>
    </row>
    <row r="35" spans="1:15">
      <c r="A35" t="s">
        <v>15</v>
      </c>
      <c r="B35" t="s">
        <v>130</v>
      </c>
      <c r="C35" t="s">
        <v>131</v>
      </c>
      <c r="D35">
        <v>443</v>
      </c>
      <c r="E35">
        <v>2</v>
      </c>
      <c r="F35">
        <v>14512</v>
      </c>
      <c r="G35">
        <v>10</v>
      </c>
      <c r="I35">
        <v>202</v>
      </c>
      <c r="J35">
        <v>193806</v>
      </c>
      <c r="K35">
        <v>137</v>
      </c>
      <c r="L35">
        <v>2283</v>
      </c>
      <c r="M35" s="38">
        <v>2.28579094558476E-3</v>
      </c>
      <c r="N35" s="38">
        <v>1.4598540145985399E-2</v>
      </c>
      <c r="O35" s="38">
        <v>4.3802014892685096E-3</v>
      </c>
    </row>
    <row r="36" spans="1:15">
      <c r="A36" t="s">
        <v>106</v>
      </c>
      <c r="B36" t="s">
        <v>130</v>
      </c>
      <c r="C36" t="s">
        <v>40</v>
      </c>
      <c r="D36">
        <v>130371</v>
      </c>
      <c r="E36">
        <v>83</v>
      </c>
      <c r="F36">
        <v>9590</v>
      </c>
      <c r="G36">
        <v>1524</v>
      </c>
      <c r="I36">
        <v>202</v>
      </c>
      <c r="J36">
        <v>193806</v>
      </c>
      <c r="K36">
        <v>137</v>
      </c>
      <c r="L36">
        <v>2283</v>
      </c>
      <c r="M36" s="38">
        <v>0.67268815206959498</v>
      </c>
      <c r="N36" s="38">
        <v>0.60583941605839398</v>
      </c>
      <c r="O36" s="38">
        <v>0.66754270696452001</v>
      </c>
    </row>
    <row r="37" spans="1:15">
      <c r="A37" t="s">
        <v>104</v>
      </c>
      <c r="B37" t="s">
        <v>130</v>
      </c>
      <c r="C37" t="s">
        <v>68</v>
      </c>
      <c r="D37">
        <v>4988</v>
      </c>
      <c r="E37">
        <v>6</v>
      </c>
      <c r="F37">
        <v>11047</v>
      </c>
      <c r="G37">
        <v>65</v>
      </c>
      <c r="I37">
        <v>202</v>
      </c>
      <c r="J37">
        <v>193806</v>
      </c>
      <c r="K37">
        <v>137</v>
      </c>
      <c r="L37">
        <v>2283</v>
      </c>
      <c r="M37" s="38">
        <v>2.5737077283468999E-2</v>
      </c>
      <c r="N37" s="38">
        <v>4.3795620437956199E-2</v>
      </c>
      <c r="O37" s="38">
        <v>2.8471309680245301E-2</v>
      </c>
    </row>
    <row r="38" spans="1:15">
      <c r="A38" t="s">
        <v>119</v>
      </c>
      <c r="B38" t="s">
        <v>130</v>
      </c>
      <c r="C38" t="s">
        <v>128</v>
      </c>
      <c r="D38">
        <v>250</v>
      </c>
      <c r="E38">
        <v>2</v>
      </c>
      <c r="F38">
        <v>11428</v>
      </c>
      <c r="G38">
        <v>7</v>
      </c>
      <c r="I38">
        <v>202</v>
      </c>
      <c r="J38">
        <v>193806</v>
      </c>
      <c r="K38">
        <v>137</v>
      </c>
      <c r="L38">
        <v>2283</v>
      </c>
      <c r="M38" s="38">
        <v>1.28994974355799E-3</v>
      </c>
      <c r="N38" s="38">
        <v>1.4598540145985399E-2</v>
      </c>
      <c r="O38" s="38">
        <v>3.0661410424879499E-3</v>
      </c>
    </row>
    <row r="39" spans="1:15">
      <c r="A39" t="s">
        <v>103</v>
      </c>
      <c r="B39" t="s">
        <v>130</v>
      </c>
      <c r="C39" t="s">
        <v>61</v>
      </c>
      <c r="D39">
        <v>10763</v>
      </c>
      <c r="E39">
        <v>4</v>
      </c>
      <c r="F39">
        <v>6304</v>
      </c>
      <c r="G39">
        <v>100</v>
      </c>
      <c r="I39">
        <v>202</v>
      </c>
      <c r="J39">
        <v>193806</v>
      </c>
      <c r="K39">
        <v>137</v>
      </c>
      <c r="L39">
        <v>2283</v>
      </c>
      <c r="M39" s="38">
        <v>5.5534916359658598E-2</v>
      </c>
      <c r="N39" s="38">
        <v>2.9197080291970798E-2</v>
      </c>
      <c r="O39" s="38">
        <v>4.38020148926851E-2</v>
      </c>
    </row>
    <row r="40" spans="1:15">
      <c r="A40" t="s">
        <v>119</v>
      </c>
      <c r="B40" t="s">
        <v>130</v>
      </c>
      <c r="C40" t="s">
        <v>60</v>
      </c>
      <c r="D40">
        <v>3679</v>
      </c>
      <c r="E40">
        <v>14</v>
      </c>
      <c r="F40">
        <v>12050</v>
      </c>
      <c r="G40">
        <v>100</v>
      </c>
      <c r="I40">
        <v>202</v>
      </c>
      <c r="J40">
        <v>193806</v>
      </c>
      <c r="K40">
        <v>137</v>
      </c>
      <c r="L40">
        <v>2283</v>
      </c>
      <c r="M40" s="38">
        <v>1.8982900426199399E-2</v>
      </c>
      <c r="N40" s="38">
        <v>0.102189781021898</v>
      </c>
      <c r="O40" s="38">
        <v>4.38020148926851E-2</v>
      </c>
    </row>
    <row r="41" spans="1:15">
      <c r="A41" t="s">
        <v>124</v>
      </c>
      <c r="B41" t="s">
        <v>130</v>
      </c>
      <c r="C41" t="s">
        <v>65</v>
      </c>
      <c r="D41">
        <v>16154</v>
      </c>
      <c r="E41">
        <v>4</v>
      </c>
      <c r="F41">
        <v>5378</v>
      </c>
      <c r="G41">
        <v>117</v>
      </c>
      <c r="I41">
        <v>202</v>
      </c>
      <c r="J41">
        <v>193806</v>
      </c>
      <c r="K41">
        <v>137</v>
      </c>
      <c r="L41">
        <v>2283</v>
      </c>
      <c r="M41" s="38">
        <v>8.3351392629743101E-2</v>
      </c>
      <c r="N41" s="38">
        <v>2.9197080291970798E-2</v>
      </c>
      <c r="O41" s="38">
        <v>5.1248357424441497E-2</v>
      </c>
    </row>
    <row r="42" spans="1:15">
      <c r="A42" t="s">
        <v>106</v>
      </c>
      <c r="B42" t="s">
        <v>132</v>
      </c>
      <c r="C42" t="s">
        <v>40</v>
      </c>
      <c r="D42">
        <v>370639</v>
      </c>
      <c r="E42">
        <v>103</v>
      </c>
      <c r="F42">
        <v>7504</v>
      </c>
      <c r="G42">
        <v>3805</v>
      </c>
      <c r="I42">
        <v>211</v>
      </c>
      <c r="J42">
        <v>434124</v>
      </c>
      <c r="K42">
        <v>154</v>
      </c>
      <c r="L42">
        <v>4743</v>
      </c>
      <c r="M42" s="38">
        <v>0.85376298016234997</v>
      </c>
      <c r="N42" s="38">
        <v>0.668831168831169</v>
      </c>
      <c r="O42" s="38">
        <v>0.80223487244360103</v>
      </c>
    </row>
    <row r="43" spans="1:15">
      <c r="A43" t="s">
        <v>103</v>
      </c>
      <c r="B43" t="s">
        <v>132</v>
      </c>
      <c r="C43" t="s">
        <v>72</v>
      </c>
      <c r="D43">
        <v>9120</v>
      </c>
      <c r="E43">
        <v>8</v>
      </c>
      <c r="F43">
        <v>8636</v>
      </c>
      <c r="G43">
        <v>226</v>
      </c>
      <c r="I43">
        <v>211</v>
      </c>
      <c r="J43">
        <v>434124</v>
      </c>
      <c r="K43">
        <v>154</v>
      </c>
      <c r="L43">
        <v>4743</v>
      </c>
      <c r="M43" s="38">
        <v>2.1007822649749801E-2</v>
      </c>
      <c r="N43" s="38">
        <v>5.1948051948052E-2</v>
      </c>
      <c r="O43" s="38">
        <v>4.7649167193759202E-2</v>
      </c>
    </row>
    <row r="44" spans="1:15">
      <c r="A44" t="s">
        <v>119</v>
      </c>
      <c r="B44" t="s">
        <v>132</v>
      </c>
      <c r="C44" t="s">
        <v>58</v>
      </c>
      <c r="D44">
        <v>2888</v>
      </c>
      <c r="E44">
        <v>5</v>
      </c>
      <c r="F44">
        <v>6212</v>
      </c>
      <c r="G44">
        <v>45</v>
      </c>
      <c r="I44">
        <v>211</v>
      </c>
      <c r="J44">
        <v>434124</v>
      </c>
      <c r="K44">
        <v>154</v>
      </c>
      <c r="L44">
        <v>4743</v>
      </c>
      <c r="M44" s="38">
        <v>6.6524771724207803E-3</v>
      </c>
      <c r="N44" s="38">
        <v>3.2467532467532499E-2</v>
      </c>
      <c r="O44" s="38">
        <v>9.4876660341556007E-3</v>
      </c>
    </row>
    <row r="45" spans="1:15">
      <c r="A45" t="s">
        <v>119</v>
      </c>
      <c r="B45" t="s">
        <v>132</v>
      </c>
      <c r="C45" t="s">
        <v>60</v>
      </c>
      <c r="D45">
        <v>3831</v>
      </c>
      <c r="E45">
        <v>14</v>
      </c>
      <c r="F45">
        <v>9149</v>
      </c>
      <c r="G45">
        <v>98</v>
      </c>
      <c r="I45">
        <v>211</v>
      </c>
      <c r="J45">
        <v>434124</v>
      </c>
      <c r="K45">
        <v>154</v>
      </c>
      <c r="L45">
        <v>4743</v>
      </c>
      <c r="M45" s="38">
        <v>8.8246676064903107E-3</v>
      </c>
      <c r="N45" s="38">
        <v>9.0909090909090898E-2</v>
      </c>
      <c r="O45" s="38">
        <v>2.06620282521611E-2</v>
      </c>
    </row>
    <row r="46" spans="1:15">
      <c r="A46" t="s">
        <v>15</v>
      </c>
      <c r="B46" t="s">
        <v>132</v>
      </c>
      <c r="C46" t="s">
        <v>70</v>
      </c>
      <c r="D46">
        <v>890</v>
      </c>
      <c r="E46">
        <v>2</v>
      </c>
      <c r="F46">
        <v>8844</v>
      </c>
      <c r="G46">
        <v>22</v>
      </c>
      <c r="I46">
        <v>211</v>
      </c>
      <c r="J46">
        <v>434124</v>
      </c>
      <c r="K46">
        <v>154</v>
      </c>
      <c r="L46">
        <v>4743</v>
      </c>
      <c r="M46" s="38">
        <v>2.05010549981111E-3</v>
      </c>
      <c r="N46" s="38">
        <v>1.2987012987013E-2</v>
      </c>
      <c r="O46" s="38">
        <v>4.6384145055871802E-3</v>
      </c>
    </row>
    <row r="47" spans="1:15">
      <c r="A47" t="s">
        <v>15</v>
      </c>
      <c r="B47" t="s">
        <v>132</v>
      </c>
      <c r="C47" t="s">
        <v>133</v>
      </c>
      <c r="D47">
        <v>9500</v>
      </c>
      <c r="E47">
        <v>4</v>
      </c>
      <c r="F47">
        <v>4484</v>
      </c>
      <c r="G47">
        <v>49</v>
      </c>
      <c r="I47">
        <v>211</v>
      </c>
      <c r="J47">
        <v>434124</v>
      </c>
      <c r="K47">
        <v>154</v>
      </c>
      <c r="L47">
        <v>4743</v>
      </c>
      <c r="M47" s="38">
        <v>2.1883148593489402E-2</v>
      </c>
      <c r="N47" s="38">
        <v>2.5974025974026E-2</v>
      </c>
      <c r="O47" s="38">
        <v>1.03310141260805E-2</v>
      </c>
    </row>
    <row r="48" spans="1:15">
      <c r="A48" t="s">
        <v>15</v>
      </c>
      <c r="B48" t="s">
        <v>132</v>
      </c>
      <c r="C48" t="s">
        <v>73</v>
      </c>
      <c r="D48">
        <v>12090</v>
      </c>
      <c r="E48">
        <v>4</v>
      </c>
      <c r="F48">
        <v>4371</v>
      </c>
      <c r="G48">
        <v>93</v>
      </c>
      <c r="I48">
        <v>211</v>
      </c>
      <c r="J48">
        <v>434124</v>
      </c>
      <c r="K48">
        <v>154</v>
      </c>
      <c r="L48">
        <v>4743</v>
      </c>
      <c r="M48" s="38">
        <v>2.7849185946872301E-2</v>
      </c>
      <c r="N48" s="38">
        <v>2.5974025974026E-2</v>
      </c>
      <c r="O48" s="38">
        <v>1.9607843137254902E-2</v>
      </c>
    </row>
    <row r="49" spans="1:15">
      <c r="A49" t="s">
        <v>124</v>
      </c>
      <c r="B49" t="s">
        <v>132</v>
      </c>
      <c r="C49" t="s">
        <v>62</v>
      </c>
      <c r="D49">
        <v>18185</v>
      </c>
      <c r="E49">
        <v>6</v>
      </c>
      <c r="F49">
        <v>5665</v>
      </c>
      <c r="G49">
        <v>265</v>
      </c>
      <c r="I49">
        <v>211</v>
      </c>
      <c r="J49">
        <v>434124</v>
      </c>
      <c r="K49">
        <v>154</v>
      </c>
      <c r="L49">
        <v>4743</v>
      </c>
      <c r="M49" s="38">
        <v>4.1888953386590003E-2</v>
      </c>
      <c r="N49" s="38">
        <v>3.8961038961039002E-2</v>
      </c>
      <c r="O49" s="38">
        <v>5.5871811090027403E-2</v>
      </c>
    </row>
    <row r="50" spans="1:15">
      <c r="A50" t="s">
        <v>124</v>
      </c>
      <c r="B50" t="s">
        <v>132</v>
      </c>
      <c r="C50" t="s">
        <v>127</v>
      </c>
      <c r="D50">
        <v>1050</v>
      </c>
      <c r="E50">
        <v>2</v>
      </c>
      <c r="F50">
        <v>6520</v>
      </c>
      <c r="G50">
        <v>39</v>
      </c>
      <c r="I50">
        <v>211</v>
      </c>
      <c r="J50">
        <v>434124</v>
      </c>
      <c r="K50">
        <v>154</v>
      </c>
      <c r="L50">
        <v>4743</v>
      </c>
      <c r="M50" s="38">
        <v>2.4186637919119901E-3</v>
      </c>
      <c r="N50" s="38">
        <v>1.2987012987013E-2</v>
      </c>
      <c r="O50" s="38">
        <v>8.2226438962681794E-3</v>
      </c>
    </row>
    <row r="51" spans="1:15">
      <c r="A51" t="s">
        <v>104</v>
      </c>
      <c r="B51" t="s">
        <v>132</v>
      </c>
      <c r="C51" t="s">
        <v>68</v>
      </c>
      <c r="D51">
        <v>5931</v>
      </c>
      <c r="E51">
        <v>6</v>
      </c>
      <c r="F51">
        <v>9591</v>
      </c>
      <c r="G51">
        <v>101</v>
      </c>
      <c r="I51">
        <v>211</v>
      </c>
      <c r="J51">
        <v>434124</v>
      </c>
      <c r="K51">
        <v>154</v>
      </c>
      <c r="L51">
        <v>4743</v>
      </c>
      <c r="M51" s="38">
        <v>1.36619951903143E-2</v>
      </c>
      <c r="N51" s="38">
        <v>3.8961038961039002E-2</v>
      </c>
      <c r="O51" s="38">
        <v>2.12945393211048E-2</v>
      </c>
    </row>
    <row r="52" spans="1:15">
      <c r="A52" t="s">
        <v>124</v>
      </c>
      <c r="B52" t="s">
        <v>134</v>
      </c>
      <c r="C52" t="s">
        <v>62</v>
      </c>
      <c r="D52">
        <v>12276</v>
      </c>
      <c r="E52">
        <v>15</v>
      </c>
      <c r="F52">
        <v>5959</v>
      </c>
      <c r="G52">
        <v>177</v>
      </c>
      <c r="I52">
        <v>212</v>
      </c>
      <c r="J52">
        <v>303877</v>
      </c>
      <c r="K52">
        <v>189</v>
      </c>
      <c r="L52">
        <v>3935</v>
      </c>
      <c r="M52" s="38">
        <v>4.0397924160104202E-2</v>
      </c>
      <c r="N52" s="38">
        <v>7.9365079365079402E-2</v>
      </c>
      <c r="O52" s="38">
        <v>4.4980940279542601E-2</v>
      </c>
    </row>
    <row r="53" spans="1:15">
      <c r="A53" t="s">
        <v>119</v>
      </c>
      <c r="B53" t="s">
        <v>134</v>
      </c>
      <c r="C53" t="s">
        <v>60</v>
      </c>
      <c r="D53">
        <v>1469</v>
      </c>
      <c r="E53">
        <v>9</v>
      </c>
      <c r="F53">
        <v>12491</v>
      </c>
      <c r="G53">
        <v>60</v>
      </c>
      <c r="I53">
        <v>212</v>
      </c>
      <c r="J53">
        <v>303877</v>
      </c>
      <c r="K53">
        <v>189</v>
      </c>
      <c r="L53">
        <v>3935</v>
      </c>
      <c r="M53" s="38">
        <v>4.8341927819479597E-3</v>
      </c>
      <c r="N53" s="38">
        <v>4.7619047619047603E-2</v>
      </c>
      <c r="O53" s="38">
        <v>1.52477763659466E-2</v>
      </c>
    </row>
    <row r="54" spans="1:15">
      <c r="A54" t="s">
        <v>15</v>
      </c>
      <c r="B54" t="s">
        <v>134</v>
      </c>
      <c r="C54" t="s">
        <v>73</v>
      </c>
      <c r="D54">
        <v>10602</v>
      </c>
      <c r="E54">
        <v>8</v>
      </c>
      <c r="F54">
        <v>15089</v>
      </c>
      <c r="G54">
        <v>180</v>
      </c>
      <c r="I54">
        <v>212</v>
      </c>
      <c r="J54">
        <v>303877</v>
      </c>
      <c r="K54">
        <v>189</v>
      </c>
      <c r="L54">
        <v>3935</v>
      </c>
      <c r="M54" s="38">
        <v>3.4889116320090001E-2</v>
      </c>
      <c r="N54" s="38">
        <v>4.2328042328042298E-2</v>
      </c>
      <c r="O54" s="38">
        <v>4.5743329097839902E-2</v>
      </c>
    </row>
    <row r="55" spans="1:15">
      <c r="A55" t="s">
        <v>104</v>
      </c>
      <c r="B55" t="s">
        <v>134</v>
      </c>
      <c r="C55" t="s">
        <v>75</v>
      </c>
      <c r="D55">
        <v>3380</v>
      </c>
      <c r="E55">
        <v>4</v>
      </c>
      <c r="F55">
        <v>5906</v>
      </c>
      <c r="G55">
        <v>46</v>
      </c>
      <c r="I55">
        <v>212</v>
      </c>
      <c r="J55">
        <v>303877</v>
      </c>
      <c r="K55">
        <v>189</v>
      </c>
      <c r="L55">
        <v>3935</v>
      </c>
      <c r="M55" s="38">
        <v>1.112292144519E-2</v>
      </c>
      <c r="N55" s="38">
        <v>2.1164021164021201E-2</v>
      </c>
      <c r="O55" s="38">
        <v>1.16899618805591E-2</v>
      </c>
    </row>
    <row r="56" spans="1:15">
      <c r="A56" t="s">
        <v>104</v>
      </c>
      <c r="B56" t="s">
        <v>134</v>
      </c>
      <c r="C56" t="s">
        <v>68</v>
      </c>
      <c r="D56">
        <v>1610</v>
      </c>
      <c r="E56">
        <v>6</v>
      </c>
      <c r="F56">
        <v>13305</v>
      </c>
      <c r="G56">
        <v>35</v>
      </c>
      <c r="I56">
        <v>212</v>
      </c>
      <c r="J56">
        <v>303877</v>
      </c>
      <c r="K56">
        <v>189</v>
      </c>
      <c r="L56">
        <v>3935</v>
      </c>
      <c r="M56" s="38">
        <v>5.2981963096910903E-3</v>
      </c>
      <c r="N56" s="38">
        <v>3.1746031746031703E-2</v>
      </c>
      <c r="O56" s="38">
        <v>8.8945362134688708E-3</v>
      </c>
    </row>
    <row r="57" spans="1:15">
      <c r="A57" t="s">
        <v>15</v>
      </c>
      <c r="B57" t="s">
        <v>134</v>
      </c>
      <c r="C57" t="s">
        <v>70</v>
      </c>
      <c r="D57">
        <v>1002</v>
      </c>
      <c r="E57">
        <v>2</v>
      </c>
      <c r="F57">
        <v>9400</v>
      </c>
      <c r="G57">
        <v>32</v>
      </c>
      <c r="I57">
        <v>212</v>
      </c>
      <c r="J57">
        <v>303877</v>
      </c>
      <c r="K57">
        <v>189</v>
      </c>
      <c r="L57">
        <v>3935</v>
      </c>
      <c r="M57" s="38">
        <v>3.2973867716214098E-3</v>
      </c>
      <c r="N57" s="38">
        <v>1.0582010582010601E-2</v>
      </c>
      <c r="O57" s="38">
        <v>8.1321473951715406E-3</v>
      </c>
    </row>
    <row r="58" spans="1:15">
      <c r="A58" t="s">
        <v>15</v>
      </c>
      <c r="B58" t="s">
        <v>134</v>
      </c>
      <c r="C58" t="s">
        <v>135</v>
      </c>
      <c r="D58">
        <v>2120</v>
      </c>
      <c r="E58">
        <v>7</v>
      </c>
      <c r="F58">
        <v>4896</v>
      </c>
      <c r="G58">
        <v>26</v>
      </c>
      <c r="I58">
        <v>212</v>
      </c>
      <c r="J58">
        <v>303877</v>
      </c>
      <c r="K58">
        <v>189</v>
      </c>
      <c r="L58">
        <v>3935</v>
      </c>
      <c r="M58" s="38">
        <v>6.9765069419534904E-3</v>
      </c>
      <c r="N58" s="38">
        <v>3.7037037037037E-2</v>
      </c>
      <c r="O58" s="38">
        <v>6.6073697585768698E-3</v>
      </c>
    </row>
    <row r="59" spans="1:15">
      <c r="A59" t="s">
        <v>15</v>
      </c>
      <c r="B59" t="s">
        <v>134</v>
      </c>
      <c r="C59" t="s">
        <v>136</v>
      </c>
      <c r="D59">
        <v>3070</v>
      </c>
      <c r="E59">
        <v>3</v>
      </c>
      <c r="F59">
        <v>3970</v>
      </c>
      <c r="G59">
        <v>25</v>
      </c>
      <c r="I59">
        <v>212</v>
      </c>
      <c r="J59">
        <v>303877</v>
      </c>
      <c r="K59">
        <v>189</v>
      </c>
      <c r="L59">
        <v>3935</v>
      </c>
      <c r="M59" s="38">
        <v>1.0102771845187399E-2</v>
      </c>
      <c r="N59" s="38">
        <v>1.58730158730159E-2</v>
      </c>
      <c r="O59" s="38">
        <v>6.35324015247776E-3</v>
      </c>
    </row>
    <row r="60" spans="1:15">
      <c r="A60" t="s">
        <v>15</v>
      </c>
      <c r="B60" t="s">
        <v>134</v>
      </c>
      <c r="C60" t="s">
        <v>137</v>
      </c>
      <c r="D60">
        <v>10000</v>
      </c>
      <c r="E60">
        <v>1</v>
      </c>
      <c r="F60">
        <v>7537</v>
      </c>
      <c r="G60">
        <v>129</v>
      </c>
      <c r="I60">
        <v>212</v>
      </c>
      <c r="J60">
        <v>303877</v>
      </c>
      <c r="K60">
        <v>189</v>
      </c>
      <c r="L60">
        <v>3935</v>
      </c>
      <c r="M60" s="38">
        <v>3.2908051612988203E-2</v>
      </c>
      <c r="N60" s="38">
        <v>5.2910052910052898E-3</v>
      </c>
      <c r="O60" s="38">
        <v>3.2782719186785297E-2</v>
      </c>
    </row>
    <row r="61" spans="1:15">
      <c r="A61" t="s">
        <v>119</v>
      </c>
      <c r="B61" t="s">
        <v>134</v>
      </c>
      <c r="C61" t="s">
        <v>47</v>
      </c>
      <c r="D61">
        <v>355</v>
      </c>
      <c r="E61">
        <v>3</v>
      </c>
      <c r="F61">
        <v>6149</v>
      </c>
      <c r="G61">
        <v>11</v>
      </c>
      <c r="I61">
        <v>212</v>
      </c>
      <c r="J61">
        <v>303877</v>
      </c>
      <c r="K61">
        <v>189</v>
      </c>
      <c r="L61">
        <v>3935</v>
      </c>
      <c r="M61" s="38">
        <v>1.16823583226108E-3</v>
      </c>
      <c r="N61" s="38">
        <v>1.58730158730159E-2</v>
      </c>
      <c r="O61" s="38">
        <v>2.7954256670902201E-3</v>
      </c>
    </row>
    <row r="62" spans="1:15">
      <c r="A62" t="s">
        <v>119</v>
      </c>
      <c r="B62" t="s">
        <v>134</v>
      </c>
      <c r="C62" t="s">
        <v>52</v>
      </c>
      <c r="D62">
        <v>2596</v>
      </c>
      <c r="E62">
        <v>7</v>
      </c>
      <c r="F62">
        <v>5800</v>
      </c>
      <c r="G62">
        <v>40</v>
      </c>
      <c r="I62">
        <v>212</v>
      </c>
      <c r="J62">
        <v>303877</v>
      </c>
      <c r="K62">
        <v>189</v>
      </c>
      <c r="L62">
        <v>3935</v>
      </c>
      <c r="M62" s="38">
        <v>8.5429301987317192E-3</v>
      </c>
      <c r="N62" s="38">
        <v>3.7037037037037E-2</v>
      </c>
      <c r="O62" s="38">
        <v>1.01651842439644E-2</v>
      </c>
    </row>
    <row r="63" spans="1:15">
      <c r="A63" t="s">
        <v>104</v>
      </c>
      <c r="B63" t="s">
        <v>134</v>
      </c>
      <c r="C63" t="s">
        <v>57</v>
      </c>
      <c r="D63">
        <v>1630</v>
      </c>
      <c r="E63">
        <v>1</v>
      </c>
      <c r="F63">
        <v>7899</v>
      </c>
      <c r="G63">
        <v>22</v>
      </c>
      <c r="I63">
        <v>212</v>
      </c>
      <c r="J63">
        <v>303877</v>
      </c>
      <c r="K63">
        <v>189</v>
      </c>
      <c r="L63">
        <v>3935</v>
      </c>
      <c r="M63" s="38">
        <v>5.3640124129170699E-3</v>
      </c>
      <c r="N63" s="38">
        <v>5.2910052910052898E-3</v>
      </c>
      <c r="O63" s="38">
        <v>5.5908513341804298E-3</v>
      </c>
    </row>
    <row r="64" spans="1:15">
      <c r="A64" t="s">
        <v>124</v>
      </c>
      <c r="B64" t="s">
        <v>134</v>
      </c>
      <c r="C64" t="s">
        <v>127</v>
      </c>
      <c r="D64">
        <v>250</v>
      </c>
      <c r="E64">
        <v>2</v>
      </c>
      <c r="F64">
        <v>16534</v>
      </c>
      <c r="G64">
        <v>12</v>
      </c>
      <c r="I64">
        <v>212</v>
      </c>
      <c r="J64">
        <v>303877</v>
      </c>
      <c r="K64">
        <v>189</v>
      </c>
      <c r="L64">
        <v>3935</v>
      </c>
      <c r="M64" s="38">
        <v>8.2270129032470396E-4</v>
      </c>
      <c r="N64" s="38">
        <v>1.0582010582010601E-2</v>
      </c>
      <c r="O64" s="38">
        <v>3.0495552731893299E-3</v>
      </c>
    </row>
    <row r="65" spans="1:15">
      <c r="A65" t="s">
        <v>119</v>
      </c>
      <c r="B65" t="s">
        <v>134</v>
      </c>
      <c r="C65" t="s">
        <v>54</v>
      </c>
      <c r="D65">
        <v>34077</v>
      </c>
      <c r="E65">
        <v>11</v>
      </c>
      <c r="F65">
        <v>4182</v>
      </c>
      <c r="G65">
        <v>231</v>
      </c>
      <c r="I65">
        <v>212</v>
      </c>
      <c r="J65">
        <v>303877</v>
      </c>
      <c r="K65">
        <v>189</v>
      </c>
      <c r="L65">
        <v>3935</v>
      </c>
      <c r="M65" s="38">
        <v>0.11214076748158</v>
      </c>
      <c r="N65" s="38">
        <v>5.8201058201058198E-2</v>
      </c>
      <c r="O65" s="38">
        <v>5.87039390088945E-2</v>
      </c>
    </row>
    <row r="66" spans="1:15">
      <c r="A66" t="s">
        <v>103</v>
      </c>
      <c r="B66" t="s">
        <v>134</v>
      </c>
      <c r="C66" t="s">
        <v>59</v>
      </c>
      <c r="D66">
        <v>13557</v>
      </c>
      <c r="E66">
        <v>30</v>
      </c>
      <c r="F66">
        <v>10653</v>
      </c>
      <c r="G66">
        <v>258</v>
      </c>
      <c r="I66">
        <v>212</v>
      </c>
      <c r="J66">
        <v>303877</v>
      </c>
      <c r="K66">
        <v>189</v>
      </c>
      <c r="L66">
        <v>3935</v>
      </c>
      <c r="M66" s="38">
        <v>4.4613445571728E-2</v>
      </c>
      <c r="N66" s="38">
        <v>0.158730158730159</v>
      </c>
      <c r="O66" s="38">
        <v>6.5565438373570498E-2</v>
      </c>
    </row>
    <row r="67" spans="1:15">
      <c r="A67" t="s">
        <v>103</v>
      </c>
      <c r="B67" t="s">
        <v>134</v>
      </c>
      <c r="C67" t="s">
        <v>61</v>
      </c>
      <c r="D67">
        <v>30496</v>
      </c>
      <c r="E67">
        <v>8</v>
      </c>
      <c r="F67">
        <v>7572</v>
      </c>
      <c r="G67">
        <v>306</v>
      </c>
      <c r="I67">
        <v>212</v>
      </c>
      <c r="J67">
        <v>303877</v>
      </c>
      <c r="K67">
        <v>189</v>
      </c>
      <c r="L67">
        <v>3935</v>
      </c>
      <c r="M67" s="38">
        <v>0.100356394198969</v>
      </c>
      <c r="N67" s="38">
        <v>4.2328042328042298E-2</v>
      </c>
      <c r="O67" s="38">
        <v>7.7763659466327795E-2</v>
      </c>
    </row>
    <row r="68" spans="1:15">
      <c r="A68" t="s">
        <v>106</v>
      </c>
      <c r="B68" t="s">
        <v>134</v>
      </c>
      <c r="C68" t="s">
        <v>40</v>
      </c>
      <c r="D68">
        <v>175387</v>
      </c>
      <c r="E68">
        <v>72</v>
      </c>
      <c r="F68">
        <v>11390</v>
      </c>
      <c r="G68">
        <v>2345</v>
      </c>
      <c r="I68">
        <v>212</v>
      </c>
      <c r="J68">
        <v>303877</v>
      </c>
      <c r="K68">
        <v>189</v>
      </c>
      <c r="L68">
        <v>3935</v>
      </c>
      <c r="M68" s="38">
        <v>0.57716444482471496</v>
      </c>
      <c r="N68" s="38">
        <v>0.38095238095238099</v>
      </c>
      <c r="O68" s="38">
        <v>0.59593392630241404</v>
      </c>
    </row>
    <row r="69" spans="1:15">
      <c r="A69" t="s">
        <v>106</v>
      </c>
      <c r="B69" t="s">
        <v>138</v>
      </c>
      <c r="C69" t="s">
        <v>40</v>
      </c>
      <c r="D69">
        <v>134787</v>
      </c>
      <c r="E69">
        <v>55</v>
      </c>
      <c r="F69">
        <v>7983</v>
      </c>
      <c r="G69">
        <v>1382</v>
      </c>
      <c r="I69">
        <v>221</v>
      </c>
      <c r="J69">
        <v>174811</v>
      </c>
      <c r="K69">
        <v>115</v>
      </c>
      <c r="L69">
        <v>1911</v>
      </c>
      <c r="M69" s="38">
        <v>0.77104415626018996</v>
      </c>
      <c r="N69" s="38">
        <v>0.47826086956521702</v>
      </c>
      <c r="O69" s="38">
        <v>0.72318158032443802</v>
      </c>
    </row>
    <row r="70" spans="1:15">
      <c r="A70" t="s">
        <v>119</v>
      </c>
      <c r="B70" t="s">
        <v>138</v>
      </c>
      <c r="C70" t="s">
        <v>58</v>
      </c>
      <c r="D70">
        <v>2888</v>
      </c>
      <c r="E70">
        <v>5</v>
      </c>
      <c r="F70">
        <v>6223</v>
      </c>
      <c r="G70">
        <v>43</v>
      </c>
      <c r="I70">
        <v>221</v>
      </c>
      <c r="J70">
        <v>174811</v>
      </c>
      <c r="K70">
        <v>115</v>
      </c>
      <c r="L70">
        <v>1911</v>
      </c>
      <c r="M70" s="38">
        <v>1.6520699498315299E-2</v>
      </c>
      <c r="N70" s="38">
        <v>4.3478260869565202E-2</v>
      </c>
      <c r="O70" s="38">
        <v>2.2501308215593901E-2</v>
      </c>
    </row>
    <row r="71" spans="1:15">
      <c r="A71" t="s">
        <v>119</v>
      </c>
      <c r="B71" t="s">
        <v>138</v>
      </c>
      <c r="C71" t="s">
        <v>60</v>
      </c>
      <c r="D71">
        <v>666</v>
      </c>
      <c r="E71">
        <v>4</v>
      </c>
      <c r="F71">
        <v>10460</v>
      </c>
      <c r="G71">
        <v>30</v>
      </c>
      <c r="I71">
        <v>221</v>
      </c>
      <c r="J71">
        <v>174811</v>
      </c>
      <c r="K71">
        <v>115</v>
      </c>
      <c r="L71">
        <v>1911</v>
      </c>
      <c r="M71" s="38">
        <v>3.8098289009272901E-3</v>
      </c>
      <c r="N71" s="38">
        <v>3.4782608695652202E-2</v>
      </c>
      <c r="O71" s="38">
        <v>1.56985871271586E-2</v>
      </c>
    </row>
    <row r="72" spans="1:15">
      <c r="A72" t="s">
        <v>103</v>
      </c>
      <c r="B72" t="s">
        <v>138</v>
      </c>
      <c r="C72" t="s">
        <v>59</v>
      </c>
      <c r="D72">
        <v>7227</v>
      </c>
      <c r="E72">
        <v>21</v>
      </c>
      <c r="F72">
        <v>8693</v>
      </c>
      <c r="G72">
        <v>160</v>
      </c>
      <c r="I72">
        <v>221</v>
      </c>
      <c r="J72">
        <v>174811</v>
      </c>
      <c r="K72">
        <v>115</v>
      </c>
      <c r="L72">
        <v>1911</v>
      </c>
      <c r="M72" s="38">
        <v>4.1341791992494797E-2</v>
      </c>
      <c r="N72" s="38">
        <v>0.182608695652174</v>
      </c>
      <c r="O72" s="38">
        <v>8.3725798011512295E-2</v>
      </c>
    </row>
    <row r="73" spans="1:15">
      <c r="A73" t="s">
        <v>103</v>
      </c>
      <c r="B73" t="s">
        <v>138</v>
      </c>
      <c r="C73" t="s">
        <v>72</v>
      </c>
      <c r="D73">
        <v>1701</v>
      </c>
      <c r="E73">
        <v>1</v>
      </c>
      <c r="F73">
        <v>4094</v>
      </c>
      <c r="G73">
        <v>13</v>
      </c>
      <c r="I73">
        <v>221</v>
      </c>
      <c r="J73">
        <v>174811</v>
      </c>
      <c r="K73">
        <v>115</v>
      </c>
      <c r="L73">
        <v>1911</v>
      </c>
      <c r="M73" s="38">
        <v>9.7305089496656401E-3</v>
      </c>
      <c r="N73" s="38">
        <v>8.6956521739130401E-3</v>
      </c>
      <c r="O73" s="38">
        <v>6.8027210884353704E-3</v>
      </c>
    </row>
    <row r="74" spans="1:15">
      <c r="A74" t="s">
        <v>15</v>
      </c>
      <c r="B74" t="s">
        <v>138</v>
      </c>
      <c r="C74" t="s">
        <v>56</v>
      </c>
      <c r="D74">
        <v>455</v>
      </c>
      <c r="E74">
        <v>1</v>
      </c>
      <c r="F74">
        <v>9337</v>
      </c>
      <c r="G74">
        <v>6</v>
      </c>
      <c r="I74">
        <v>221</v>
      </c>
      <c r="J74">
        <v>174811</v>
      </c>
      <c r="K74">
        <v>115</v>
      </c>
      <c r="L74">
        <v>1911</v>
      </c>
      <c r="M74" s="38">
        <v>2.6028110359187901E-3</v>
      </c>
      <c r="N74" s="38">
        <v>8.6956521739130401E-3</v>
      </c>
      <c r="O74" s="38">
        <v>3.13971742543171E-3</v>
      </c>
    </row>
    <row r="75" spans="1:15">
      <c r="A75" t="s">
        <v>15</v>
      </c>
      <c r="B75" t="s">
        <v>138</v>
      </c>
      <c r="C75" t="s">
        <v>70</v>
      </c>
      <c r="D75">
        <v>890</v>
      </c>
      <c r="E75">
        <v>2</v>
      </c>
      <c r="F75">
        <v>9946</v>
      </c>
      <c r="G75">
        <v>21</v>
      </c>
      <c r="I75">
        <v>221</v>
      </c>
      <c r="J75">
        <v>174811</v>
      </c>
      <c r="K75">
        <v>115</v>
      </c>
      <c r="L75">
        <v>1911</v>
      </c>
      <c r="M75" s="38">
        <v>5.0912127955334598E-3</v>
      </c>
      <c r="N75" s="38">
        <v>1.7391304347826101E-2</v>
      </c>
      <c r="O75" s="38">
        <v>1.0989010989011E-2</v>
      </c>
    </row>
    <row r="76" spans="1:15">
      <c r="A76" t="s">
        <v>15</v>
      </c>
      <c r="B76" t="s">
        <v>138</v>
      </c>
      <c r="C76" t="s">
        <v>73</v>
      </c>
      <c r="D76">
        <v>12090</v>
      </c>
      <c r="E76">
        <v>4</v>
      </c>
      <c r="F76">
        <v>3919</v>
      </c>
      <c r="G76">
        <v>86</v>
      </c>
      <c r="I76">
        <v>221</v>
      </c>
      <c r="J76">
        <v>174811</v>
      </c>
      <c r="K76">
        <v>115</v>
      </c>
      <c r="L76">
        <v>1911</v>
      </c>
      <c r="M76" s="38">
        <v>6.9160407525842196E-2</v>
      </c>
      <c r="N76" s="38">
        <v>3.4782608695652202E-2</v>
      </c>
      <c r="O76" s="38">
        <v>4.50026164311879E-2</v>
      </c>
    </row>
    <row r="77" spans="1:15">
      <c r="A77" t="s">
        <v>104</v>
      </c>
      <c r="B77" t="s">
        <v>138</v>
      </c>
      <c r="C77" t="s">
        <v>68</v>
      </c>
      <c r="D77">
        <v>5931</v>
      </c>
      <c r="E77">
        <v>6</v>
      </c>
      <c r="F77">
        <v>9596</v>
      </c>
      <c r="G77">
        <v>62</v>
      </c>
      <c r="I77">
        <v>221</v>
      </c>
      <c r="J77">
        <v>174811</v>
      </c>
      <c r="K77">
        <v>115</v>
      </c>
      <c r="L77">
        <v>1911</v>
      </c>
      <c r="M77" s="38">
        <v>3.3928070887987598E-2</v>
      </c>
      <c r="N77" s="38">
        <v>5.21739130434783E-2</v>
      </c>
      <c r="O77" s="38">
        <v>3.2443746729461001E-2</v>
      </c>
    </row>
    <row r="78" spans="1:15">
      <c r="A78" t="s">
        <v>124</v>
      </c>
      <c r="B78" t="s">
        <v>138</v>
      </c>
      <c r="C78" t="s">
        <v>127</v>
      </c>
      <c r="D78">
        <v>821</v>
      </c>
      <c r="E78">
        <v>6</v>
      </c>
      <c r="F78">
        <v>4593</v>
      </c>
      <c r="G78">
        <v>17</v>
      </c>
      <c r="I78">
        <v>221</v>
      </c>
      <c r="J78">
        <v>174811</v>
      </c>
      <c r="K78">
        <v>115</v>
      </c>
      <c r="L78">
        <v>1911</v>
      </c>
      <c r="M78" s="38">
        <v>4.6965007922842401E-3</v>
      </c>
      <c r="N78" s="38">
        <v>5.21739130434783E-2</v>
      </c>
      <c r="O78" s="38">
        <v>8.8958660387231797E-3</v>
      </c>
    </row>
    <row r="79" spans="1:15">
      <c r="A79" t="s">
        <v>124</v>
      </c>
      <c r="B79" t="s">
        <v>138</v>
      </c>
      <c r="C79" t="s">
        <v>62</v>
      </c>
      <c r="D79">
        <v>7355</v>
      </c>
      <c r="E79">
        <v>10</v>
      </c>
      <c r="F79">
        <v>6215</v>
      </c>
      <c r="G79">
        <v>91</v>
      </c>
      <c r="I79">
        <v>221</v>
      </c>
      <c r="J79">
        <v>174811</v>
      </c>
      <c r="K79">
        <v>115</v>
      </c>
      <c r="L79">
        <v>1911</v>
      </c>
      <c r="M79" s="38">
        <v>4.2074011360841101E-2</v>
      </c>
      <c r="N79" s="38">
        <v>8.6956521739130405E-2</v>
      </c>
      <c r="O79" s="38">
        <v>4.7619047619047603E-2</v>
      </c>
    </row>
    <row r="80" spans="1:15">
      <c r="A80" t="s">
        <v>15</v>
      </c>
      <c r="B80" t="s">
        <v>139</v>
      </c>
      <c r="C80" t="s">
        <v>70</v>
      </c>
      <c r="D80">
        <v>627</v>
      </c>
      <c r="E80">
        <v>2</v>
      </c>
      <c r="F80">
        <v>8651</v>
      </c>
      <c r="G80">
        <v>15</v>
      </c>
      <c r="I80">
        <v>222</v>
      </c>
      <c r="J80">
        <v>297188</v>
      </c>
      <c r="K80">
        <v>178</v>
      </c>
      <c r="L80">
        <v>3613</v>
      </c>
      <c r="M80" s="38">
        <v>2.10977563024079E-3</v>
      </c>
      <c r="N80" s="38">
        <v>1.1235955056179799E-2</v>
      </c>
      <c r="O80" s="38">
        <v>4.1516745087185197E-3</v>
      </c>
    </row>
    <row r="81" spans="1:15">
      <c r="A81" t="s">
        <v>103</v>
      </c>
      <c r="B81" t="s">
        <v>139</v>
      </c>
      <c r="C81" t="s">
        <v>127</v>
      </c>
      <c r="D81">
        <v>150</v>
      </c>
      <c r="E81">
        <v>1</v>
      </c>
      <c r="F81">
        <v>16131</v>
      </c>
      <c r="G81">
        <v>8</v>
      </c>
      <c r="I81">
        <v>222</v>
      </c>
      <c r="J81">
        <v>297188</v>
      </c>
      <c r="K81">
        <v>178</v>
      </c>
      <c r="L81">
        <v>3613</v>
      </c>
      <c r="M81" s="38">
        <v>5.0473101201932804E-4</v>
      </c>
      <c r="N81" s="38">
        <v>5.6179775280898901E-3</v>
      </c>
      <c r="O81" s="38">
        <v>2.2142264046498801E-3</v>
      </c>
    </row>
    <row r="82" spans="1:15">
      <c r="A82" t="s">
        <v>103</v>
      </c>
      <c r="B82" t="s">
        <v>139</v>
      </c>
      <c r="C82" t="s">
        <v>61</v>
      </c>
      <c r="D82">
        <v>6003</v>
      </c>
      <c r="E82">
        <v>5</v>
      </c>
      <c r="F82">
        <v>7363</v>
      </c>
      <c r="G82">
        <v>69</v>
      </c>
      <c r="I82">
        <v>222</v>
      </c>
      <c r="J82">
        <v>297188</v>
      </c>
      <c r="K82">
        <v>178</v>
      </c>
      <c r="L82">
        <v>3613</v>
      </c>
      <c r="M82" s="38">
        <v>2.0199335101013498E-2</v>
      </c>
      <c r="N82" s="38">
        <v>2.8089887640449399E-2</v>
      </c>
      <c r="O82" s="38">
        <v>1.90977027401052E-2</v>
      </c>
    </row>
    <row r="83" spans="1:15">
      <c r="A83" t="s">
        <v>103</v>
      </c>
      <c r="B83" t="s">
        <v>139</v>
      </c>
      <c r="C83" t="s">
        <v>59</v>
      </c>
      <c r="D83">
        <v>20674</v>
      </c>
      <c r="E83">
        <v>31</v>
      </c>
      <c r="F83">
        <v>9933</v>
      </c>
      <c r="G83">
        <v>373</v>
      </c>
      <c r="I83">
        <v>222</v>
      </c>
      <c r="J83">
        <v>297188</v>
      </c>
      <c r="K83">
        <v>178</v>
      </c>
      <c r="L83">
        <v>3613</v>
      </c>
      <c r="M83" s="38">
        <v>6.9565392949917204E-2</v>
      </c>
      <c r="N83" s="38">
        <v>0.174157303370787</v>
      </c>
      <c r="O83" s="38">
        <v>0.1032383061168</v>
      </c>
    </row>
    <row r="84" spans="1:15">
      <c r="A84" t="s">
        <v>103</v>
      </c>
      <c r="B84" t="s">
        <v>139</v>
      </c>
      <c r="C84" t="s">
        <v>52</v>
      </c>
      <c r="D84">
        <v>329</v>
      </c>
      <c r="E84">
        <v>1</v>
      </c>
      <c r="F84">
        <v>5259</v>
      </c>
      <c r="G84">
        <v>5</v>
      </c>
      <c r="I84">
        <v>222</v>
      </c>
      <c r="J84">
        <v>297188</v>
      </c>
      <c r="K84">
        <v>178</v>
      </c>
      <c r="L84">
        <v>3613</v>
      </c>
      <c r="M84" s="38">
        <v>1.10704335302906E-3</v>
      </c>
      <c r="N84" s="38">
        <v>5.6179775280898901E-3</v>
      </c>
      <c r="O84" s="38">
        <v>1.38389150290617E-3</v>
      </c>
    </row>
    <row r="85" spans="1:15">
      <c r="A85" t="s">
        <v>104</v>
      </c>
      <c r="B85" t="s">
        <v>139</v>
      </c>
      <c r="C85" t="s">
        <v>68</v>
      </c>
      <c r="D85">
        <v>1484</v>
      </c>
      <c r="E85">
        <v>5</v>
      </c>
      <c r="F85">
        <v>10282</v>
      </c>
      <c r="G85">
        <v>36</v>
      </c>
      <c r="I85">
        <v>222</v>
      </c>
      <c r="J85">
        <v>297188</v>
      </c>
      <c r="K85">
        <v>178</v>
      </c>
      <c r="L85">
        <v>3613</v>
      </c>
      <c r="M85" s="38">
        <v>4.9934721455778801E-3</v>
      </c>
      <c r="N85" s="38">
        <v>2.8089887640449399E-2</v>
      </c>
      <c r="O85" s="38">
        <v>9.9640188209244394E-3</v>
      </c>
    </row>
    <row r="86" spans="1:15">
      <c r="A86" t="s">
        <v>104</v>
      </c>
      <c r="B86" t="s">
        <v>139</v>
      </c>
      <c r="C86" t="s">
        <v>62</v>
      </c>
      <c r="D86">
        <v>16784</v>
      </c>
      <c r="E86">
        <v>15</v>
      </c>
      <c r="F86">
        <v>7411</v>
      </c>
      <c r="G86">
        <v>188</v>
      </c>
      <c r="I86">
        <v>222</v>
      </c>
      <c r="J86">
        <v>297188</v>
      </c>
      <c r="K86">
        <v>178</v>
      </c>
      <c r="L86">
        <v>3613</v>
      </c>
      <c r="M86" s="38">
        <v>5.6476035371549299E-2</v>
      </c>
      <c r="N86" s="38">
        <v>8.4269662921348298E-2</v>
      </c>
      <c r="O86" s="38">
        <v>5.2034320509272099E-2</v>
      </c>
    </row>
    <row r="87" spans="1:15">
      <c r="A87" t="s">
        <v>104</v>
      </c>
      <c r="B87" t="s">
        <v>139</v>
      </c>
      <c r="C87" t="s">
        <v>56</v>
      </c>
      <c r="D87">
        <v>772</v>
      </c>
      <c r="E87">
        <v>3</v>
      </c>
      <c r="F87">
        <v>9176</v>
      </c>
      <c r="G87">
        <v>20</v>
      </c>
      <c r="I87">
        <v>222</v>
      </c>
      <c r="J87">
        <v>297188</v>
      </c>
      <c r="K87">
        <v>178</v>
      </c>
      <c r="L87">
        <v>3613</v>
      </c>
      <c r="M87" s="38">
        <v>2.59768227519281E-3</v>
      </c>
      <c r="N87" s="38">
        <v>1.6853932584269701E-2</v>
      </c>
      <c r="O87" s="38">
        <v>5.5355660116246904E-3</v>
      </c>
    </row>
    <row r="88" spans="1:15">
      <c r="A88" t="s">
        <v>103</v>
      </c>
      <c r="B88" t="s">
        <v>139</v>
      </c>
      <c r="C88" t="s">
        <v>42</v>
      </c>
      <c r="D88">
        <v>12067</v>
      </c>
      <c r="E88">
        <v>6</v>
      </c>
      <c r="F88">
        <v>11194</v>
      </c>
      <c r="G88">
        <v>53</v>
      </c>
      <c r="I88">
        <v>222</v>
      </c>
      <c r="J88">
        <v>297188</v>
      </c>
      <c r="K88">
        <v>178</v>
      </c>
      <c r="L88">
        <v>3613</v>
      </c>
      <c r="M88" s="38">
        <v>4.06039274802482E-2</v>
      </c>
      <c r="N88" s="38">
        <v>3.3707865168539297E-2</v>
      </c>
      <c r="O88" s="38">
        <v>1.46692499308054E-2</v>
      </c>
    </row>
    <row r="89" spans="1:15">
      <c r="A89" t="s">
        <v>15</v>
      </c>
      <c r="B89" t="s">
        <v>139</v>
      </c>
      <c r="C89" t="s">
        <v>47</v>
      </c>
      <c r="D89">
        <v>1839</v>
      </c>
      <c r="E89">
        <v>10</v>
      </c>
      <c r="F89">
        <v>4095</v>
      </c>
      <c r="G89">
        <v>41</v>
      </c>
      <c r="I89">
        <v>222</v>
      </c>
      <c r="J89">
        <v>297188</v>
      </c>
      <c r="K89">
        <v>178</v>
      </c>
      <c r="L89">
        <v>3613</v>
      </c>
      <c r="M89" s="38">
        <v>6.1880022073569603E-3</v>
      </c>
      <c r="N89" s="38">
        <v>5.6179775280898903E-2</v>
      </c>
      <c r="O89" s="38">
        <v>1.13479103238306E-2</v>
      </c>
    </row>
    <row r="90" spans="1:15">
      <c r="A90" t="s">
        <v>140</v>
      </c>
      <c r="B90" t="s">
        <v>139</v>
      </c>
      <c r="C90" t="s">
        <v>73</v>
      </c>
      <c r="D90">
        <v>23182</v>
      </c>
      <c r="E90">
        <v>8</v>
      </c>
      <c r="F90">
        <v>15294</v>
      </c>
      <c r="G90">
        <v>271</v>
      </c>
      <c r="I90">
        <v>222</v>
      </c>
      <c r="J90">
        <v>297188</v>
      </c>
      <c r="K90">
        <v>178</v>
      </c>
      <c r="L90">
        <v>3613</v>
      </c>
      <c r="M90" s="38">
        <v>7.8004495470880397E-2</v>
      </c>
      <c r="N90" s="38">
        <v>4.49438202247191E-2</v>
      </c>
      <c r="O90" s="38">
        <v>7.5006919457514504E-2</v>
      </c>
    </row>
    <row r="91" spans="1:15">
      <c r="A91" t="s">
        <v>103</v>
      </c>
      <c r="B91" t="s">
        <v>139</v>
      </c>
      <c r="C91" t="s">
        <v>54</v>
      </c>
      <c r="D91">
        <v>16804</v>
      </c>
      <c r="E91">
        <v>13</v>
      </c>
      <c r="F91">
        <v>5509</v>
      </c>
      <c r="G91">
        <v>163</v>
      </c>
      <c r="I91">
        <v>222</v>
      </c>
      <c r="J91">
        <v>297188</v>
      </c>
      <c r="K91">
        <v>178</v>
      </c>
      <c r="L91">
        <v>3613</v>
      </c>
      <c r="M91" s="38">
        <v>5.6543332839818598E-2</v>
      </c>
      <c r="N91" s="38">
        <v>7.3033707865168496E-2</v>
      </c>
      <c r="O91" s="38">
        <v>4.5114862994741198E-2</v>
      </c>
    </row>
    <row r="92" spans="1:15">
      <c r="A92" t="s">
        <v>12</v>
      </c>
      <c r="B92" t="s">
        <v>139</v>
      </c>
      <c r="C92" t="s">
        <v>60</v>
      </c>
      <c r="D92">
        <v>1350</v>
      </c>
      <c r="E92">
        <v>2</v>
      </c>
      <c r="F92">
        <v>9648</v>
      </c>
      <c r="G92">
        <v>32</v>
      </c>
      <c r="I92">
        <v>222</v>
      </c>
      <c r="J92">
        <v>297188</v>
      </c>
      <c r="K92">
        <v>178</v>
      </c>
      <c r="L92">
        <v>3613</v>
      </c>
      <c r="M92" s="38">
        <v>4.5425791081739504E-3</v>
      </c>
      <c r="N92" s="38">
        <v>1.1235955056179799E-2</v>
      </c>
      <c r="O92" s="38">
        <v>8.8569056185994997E-3</v>
      </c>
    </row>
    <row r="93" spans="1:15">
      <c r="A93" t="s">
        <v>12</v>
      </c>
      <c r="B93" t="s">
        <v>139</v>
      </c>
      <c r="C93" t="s">
        <v>77</v>
      </c>
      <c r="D93">
        <v>1969</v>
      </c>
      <c r="E93">
        <v>15</v>
      </c>
      <c r="F93">
        <v>5872</v>
      </c>
      <c r="G93">
        <v>46</v>
      </c>
      <c r="I93">
        <v>222</v>
      </c>
      <c r="J93">
        <v>297188</v>
      </c>
      <c r="K93">
        <v>178</v>
      </c>
      <c r="L93">
        <v>3613</v>
      </c>
      <c r="M93" s="38">
        <v>6.6254357511070401E-3</v>
      </c>
      <c r="N93" s="38">
        <v>8.4269662921348298E-2</v>
      </c>
      <c r="O93" s="38">
        <v>1.27318018267368E-2</v>
      </c>
    </row>
    <row r="94" spans="1:15">
      <c r="A94" t="s">
        <v>106</v>
      </c>
      <c r="B94" t="s">
        <v>139</v>
      </c>
      <c r="C94" t="s">
        <v>78</v>
      </c>
      <c r="D94">
        <v>994</v>
      </c>
      <c r="E94">
        <v>1</v>
      </c>
      <c r="F94">
        <v>5341</v>
      </c>
      <c r="G94">
        <v>3</v>
      </c>
      <c r="I94">
        <v>222</v>
      </c>
      <c r="J94">
        <v>297188</v>
      </c>
      <c r="K94">
        <v>178</v>
      </c>
      <c r="L94">
        <v>3613</v>
      </c>
      <c r="M94" s="38">
        <v>3.3446841729814101E-3</v>
      </c>
      <c r="N94" s="38">
        <v>5.6179775280898901E-3</v>
      </c>
      <c r="O94" s="38">
        <v>8.3033490174370299E-4</v>
      </c>
    </row>
    <row r="95" spans="1:15">
      <c r="A95" t="s">
        <v>106</v>
      </c>
      <c r="B95" t="s">
        <v>139</v>
      </c>
      <c r="C95" t="s">
        <v>40</v>
      </c>
      <c r="D95">
        <v>189937</v>
      </c>
      <c r="E95">
        <v>57</v>
      </c>
      <c r="F95">
        <v>11194</v>
      </c>
      <c r="G95">
        <v>2266</v>
      </c>
      <c r="I95">
        <v>222</v>
      </c>
      <c r="J95">
        <v>297188</v>
      </c>
      <c r="K95">
        <v>178</v>
      </c>
      <c r="L95">
        <v>3613</v>
      </c>
      <c r="M95" s="38">
        <v>0.63911396153276701</v>
      </c>
      <c r="N95" s="38">
        <v>0.32022471910112399</v>
      </c>
      <c r="O95" s="38">
        <v>0.62717962911707703</v>
      </c>
    </row>
    <row r="96" spans="1:15">
      <c r="A96" t="s">
        <v>140</v>
      </c>
      <c r="B96" t="s">
        <v>139</v>
      </c>
      <c r="C96" t="s">
        <v>131</v>
      </c>
      <c r="D96">
        <v>2223</v>
      </c>
      <c r="E96">
        <v>3</v>
      </c>
      <c r="F96">
        <v>10667</v>
      </c>
      <c r="G96">
        <v>24</v>
      </c>
      <c r="I96">
        <v>222</v>
      </c>
      <c r="J96">
        <v>297188</v>
      </c>
      <c r="K96">
        <v>178</v>
      </c>
      <c r="L96">
        <v>3613</v>
      </c>
      <c r="M96" s="38">
        <v>7.4801135981264399E-3</v>
      </c>
      <c r="N96" s="38">
        <v>1.6853932584269701E-2</v>
      </c>
      <c r="O96" s="38">
        <v>6.64267921394963E-3</v>
      </c>
    </row>
    <row r="97" spans="1:15">
      <c r="A97" t="s">
        <v>103</v>
      </c>
      <c r="B97" t="s">
        <v>141</v>
      </c>
      <c r="C97" t="s">
        <v>42</v>
      </c>
      <c r="D97">
        <v>21124</v>
      </c>
      <c r="E97">
        <v>20</v>
      </c>
      <c r="F97">
        <v>7784</v>
      </c>
      <c r="G97">
        <v>183</v>
      </c>
      <c r="I97">
        <v>231</v>
      </c>
      <c r="J97">
        <v>268382</v>
      </c>
      <c r="K97">
        <v>157</v>
      </c>
      <c r="L97">
        <v>2797</v>
      </c>
      <c r="M97" s="38">
        <v>7.8708706247065802E-2</v>
      </c>
      <c r="N97" s="38">
        <v>0.12738853503184699</v>
      </c>
      <c r="O97" s="38">
        <v>6.5427243475151997E-2</v>
      </c>
    </row>
    <row r="98" spans="1:15">
      <c r="A98" t="s">
        <v>12</v>
      </c>
      <c r="B98" t="s">
        <v>141</v>
      </c>
      <c r="C98" t="s">
        <v>77</v>
      </c>
      <c r="D98">
        <v>3963</v>
      </c>
      <c r="E98">
        <v>6</v>
      </c>
      <c r="F98">
        <v>5170</v>
      </c>
      <c r="G98">
        <v>52</v>
      </c>
      <c r="I98">
        <v>231</v>
      </c>
      <c r="J98">
        <v>268382</v>
      </c>
      <c r="K98">
        <v>157</v>
      </c>
      <c r="L98">
        <v>2797</v>
      </c>
      <c r="M98" s="38">
        <v>1.47662659939936E-2</v>
      </c>
      <c r="N98" s="38">
        <v>3.8216560509554097E-2</v>
      </c>
      <c r="O98" s="38">
        <v>1.85913478727208E-2</v>
      </c>
    </row>
    <row r="99" spans="1:15">
      <c r="A99" t="s">
        <v>12</v>
      </c>
      <c r="B99" t="s">
        <v>141</v>
      </c>
      <c r="C99" t="s">
        <v>60</v>
      </c>
      <c r="D99">
        <v>1138</v>
      </c>
      <c r="E99">
        <v>6</v>
      </c>
      <c r="F99">
        <v>9775</v>
      </c>
      <c r="G99">
        <v>36</v>
      </c>
      <c r="I99">
        <v>231</v>
      </c>
      <c r="J99">
        <v>268382</v>
      </c>
      <c r="K99">
        <v>157</v>
      </c>
      <c r="L99">
        <v>2797</v>
      </c>
      <c r="M99" s="38">
        <v>4.2402247542681704E-3</v>
      </c>
      <c r="N99" s="38">
        <v>3.8216560509554097E-2</v>
      </c>
      <c r="O99" s="38">
        <v>1.28709331426528E-2</v>
      </c>
    </row>
    <row r="100" spans="1:15">
      <c r="A100" t="s">
        <v>140</v>
      </c>
      <c r="B100" t="s">
        <v>141</v>
      </c>
      <c r="C100" t="s">
        <v>73</v>
      </c>
      <c r="D100">
        <v>19732</v>
      </c>
      <c r="E100">
        <v>4</v>
      </c>
      <c r="F100">
        <v>7833</v>
      </c>
      <c r="G100">
        <v>196</v>
      </c>
      <c r="I100">
        <v>231</v>
      </c>
      <c r="J100">
        <v>268382</v>
      </c>
      <c r="K100">
        <v>157</v>
      </c>
      <c r="L100">
        <v>2797</v>
      </c>
      <c r="M100" s="38">
        <v>7.3522069289296596E-2</v>
      </c>
      <c r="N100" s="38">
        <v>2.54777070063694E-2</v>
      </c>
      <c r="O100" s="38">
        <v>7.0075080443332202E-2</v>
      </c>
    </row>
    <row r="101" spans="1:15">
      <c r="A101" t="s">
        <v>103</v>
      </c>
      <c r="B101" t="s">
        <v>141</v>
      </c>
      <c r="C101" t="s">
        <v>54</v>
      </c>
      <c r="D101">
        <v>5199</v>
      </c>
      <c r="E101">
        <v>9</v>
      </c>
      <c r="F101">
        <v>5778</v>
      </c>
      <c r="G101">
        <v>69</v>
      </c>
      <c r="I101">
        <v>231</v>
      </c>
      <c r="J101">
        <v>268382</v>
      </c>
      <c r="K101">
        <v>157</v>
      </c>
      <c r="L101">
        <v>2797</v>
      </c>
      <c r="M101" s="38">
        <v>1.93716419133921E-2</v>
      </c>
      <c r="N101" s="38">
        <v>5.7324840764331197E-2</v>
      </c>
      <c r="O101" s="38">
        <v>2.4669288523418001E-2</v>
      </c>
    </row>
    <row r="102" spans="1:15">
      <c r="A102" t="s">
        <v>104</v>
      </c>
      <c r="B102" t="s">
        <v>141</v>
      </c>
      <c r="C102" t="s">
        <v>62</v>
      </c>
      <c r="D102">
        <v>7592</v>
      </c>
      <c r="E102">
        <v>7</v>
      </c>
      <c r="F102">
        <v>6025</v>
      </c>
      <c r="G102">
        <v>71</v>
      </c>
      <c r="I102">
        <v>231</v>
      </c>
      <c r="J102">
        <v>268382</v>
      </c>
      <c r="K102">
        <v>157</v>
      </c>
      <c r="L102">
        <v>2797</v>
      </c>
      <c r="M102" s="38">
        <v>2.8288037200706499E-2</v>
      </c>
      <c r="N102" s="38">
        <v>4.4585987261146501E-2</v>
      </c>
      <c r="O102" s="38">
        <v>2.5384340364676398E-2</v>
      </c>
    </row>
    <row r="103" spans="1:15">
      <c r="A103" t="s">
        <v>106</v>
      </c>
      <c r="B103" t="s">
        <v>141</v>
      </c>
      <c r="C103" t="s">
        <v>40</v>
      </c>
      <c r="D103">
        <v>160051</v>
      </c>
      <c r="E103">
        <v>55</v>
      </c>
      <c r="F103">
        <v>7784</v>
      </c>
      <c r="G103">
        <v>1751</v>
      </c>
      <c r="I103">
        <v>231</v>
      </c>
      <c r="J103">
        <v>268382</v>
      </c>
      <c r="K103">
        <v>157</v>
      </c>
      <c r="L103">
        <v>2797</v>
      </c>
      <c r="M103" s="38">
        <v>0.596355195206832</v>
      </c>
      <c r="N103" s="38">
        <v>0.35031847133757998</v>
      </c>
      <c r="O103" s="38">
        <v>0.626027887021809</v>
      </c>
    </row>
    <row r="104" spans="1:15">
      <c r="A104" t="s">
        <v>106</v>
      </c>
      <c r="B104" t="s">
        <v>141</v>
      </c>
      <c r="C104" t="s">
        <v>87</v>
      </c>
      <c r="D104">
        <v>13638</v>
      </c>
      <c r="E104">
        <v>16</v>
      </c>
      <c r="F104">
        <v>5422</v>
      </c>
      <c r="G104">
        <v>124</v>
      </c>
      <c r="I104">
        <v>231</v>
      </c>
      <c r="J104">
        <v>268382</v>
      </c>
      <c r="K104">
        <v>157</v>
      </c>
      <c r="L104">
        <v>2797</v>
      </c>
      <c r="M104" s="38">
        <v>5.0815628469867598E-2</v>
      </c>
      <c r="N104" s="38">
        <v>0.101910828025478</v>
      </c>
      <c r="O104" s="38">
        <v>4.4333214158026497E-2</v>
      </c>
    </row>
    <row r="105" spans="1:15">
      <c r="A105" t="s">
        <v>15</v>
      </c>
      <c r="B105" t="s">
        <v>141</v>
      </c>
      <c r="C105" t="s">
        <v>48</v>
      </c>
      <c r="D105">
        <v>2151</v>
      </c>
      <c r="E105">
        <v>1</v>
      </c>
      <c r="F105">
        <v>4048</v>
      </c>
      <c r="G105">
        <v>13</v>
      </c>
      <c r="I105">
        <v>231</v>
      </c>
      <c r="J105">
        <v>268382</v>
      </c>
      <c r="K105">
        <v>157</v>
      </c>
      <c r="L105">
        <v>2797</v>
      </c>
      <c r="M105" s="38">
        <v>8.0146954713803502E-3</v>
      </c>
      <c r="N105" s="38">
        <v>6.3694267515923596E-3</v>
      </c>
      <c r="O105" s="38">
        <v>4.6478369681801903E-3</v>
      </c>
    </row>
    <row r="106" spans="1:15">
      <c r="A106" t="s">
        <v>104</v>
      </c>
      <c r="B106" t="s">
        <v>141</v>
      </c>
      <c r="C106" t="s">
        <v>56</v>
      </c>
      <c r="D106">
        <v>301</v>
      </c>
      <c r="E106">
        <v>2</v>
      </c>
      <c r="F106">
        <v>5471</v>
      </c>
      <c r="G106">
        <v>8</v>
      </c>
      <c r="I106">
        <v>231</v>
      </c>
      <c r="J106">
        <v>268382</v>
      </c>
      <c r="K106">
        <v>157</v>
      </c>
      <c r="L106">
        <v>2797</v>
      </c>
      <c r="M106" s="38">
        <v>1.1215357214716299E-3</v>
      </c>
      <c r="N106" s="38">
        <v>1.27388535031847E-2</v>
      </c>
      <c r="O106" s="38">
        <v>2.8602073650339601E-3</v>
      </c>
    </row>
    <row r="107" spans="1:15">
      <c r="A107" t="s">
        <v>15</v>
      </c>
      <c r="B107" t="s">
        <v>141</v>
      </c>
      <c r="C107" t="s">
        <v>47</v>
      </c>
      <c r="D107">
        <v>3149</v>
      </c>
      <c r="E107">
        <v>9</v>
      </c>
      <c r="F107">
        <v>5669</v>
      </c>
      <c r="G107">
        <v>52</v>
      </c>
      <c r="I107">
        <v>231</v>
      </c>
      <c r="J107">
        <v>268382</v>
      </c>
      <c r="K107">
        <v>157</v>
      </c>
      <c r="L107">
        <v>2797</v>
      </c>
      <c r="M107" s="38">
        <v>1.17332757040338E-2</v>
      </c>
      <c r="N107" s="38">
        <v>5.7324840764331197E-2</v>
      </c>
      <c r="O107" s="38">
        <v>1.85913478727208E-2</v>
      </c>
    </row>
    <row r="108" spans="1:15">
      <c r="A108" t="s">
        <v>103</v>
      </c>
      <c r="B108" t="s">
        <v>141</v>
      </c>
      <c r="C108" t="s">
        <v>59</v>
      </c>
      <c r="D108">
        <v>14544</v>
      </c>
      <c r="E108">
        <v>20</v>
      </c>
      <c r="F108">
        <v>8623</v>
      </c>
      <c r="G108">
        <v>235</v>
      </c>
      <c r="I108">
        <v>231</v>
      </c>
      <c r="J108">
        <v>268382</v>
      </c>
      <c r="K108">
        <v>157</v>
      </c>
      <c r="L108">
        <v>2797</v>
      </c>
      <c r="M108" s="38">
        <v>5.4191413731174198E-2</v>
      </c>
      <c r="N108" s="38">
        <v>0.12738853503184699</v>
      </c>
      <c r="O108" s="38">
        <v>8.4018591347872706E-2</v>
      </c>
    </row>
    <row r="109" spans="1:15">
      <c r="A109" t="s">
        <v>103</v>
      </c>
      <c r="B109" t="s">
        <v>141</v>
      </c>
      <c r="C109" t="s">
        <v>72</v>
      </c>
      <c r="D109">
        <v>15800</v>
      </c>
      <c r="E109">
        <v>2</v>
      </c>
      <c r="F109">
        <v>449</v>
      </c>
      <c r="G109">
        <v>7</v>
      </c>
      <c r="I109">
        <v>231</v>
      </c>
      <c r="J109">
        <v>268382</v>
      </c>
      <c r="K109">
        <v>157</v>
      </c>
      <c r="L109">
        <v>2797</v>
      </c>
      <c r="M109" s="38">
        <v>5.8871310296517598E-2</v>
      </c>
      <c r="N109" s="38">
        <v>1.27388535031847E-2</v>
      </c>
      <c r="O109" s="38">
        <v>2.5026814444047201E-3</v>
      </c>
    </row>
    <row r="110" spans="1:15">
      <c r="A110" t="s">
        <v>103</v>
      </c>
      <c r="B110" t="s">
        <v>142</v>
      </c>
      <c r="C110" t="s">
        <v>80</v>
      </c>
      <c r="D110">
        <v>805</v>
      </c>
      <c r="E110">
        <v>5</v>
      </c>
      <c r="F110">
        <v>4935</v>
      </c>
      <c r="G110">
        <v>10</v>
      </c>
      <c r="I110">
        <v>232</v>
      </c>
      <c r="J110">
        <v>324169</v>
      </c>
      <c r="K110">
        <v>201</v>
      </c>
      <c r="L110">
        <v>3939</v>
      </c>
      <c r="M110" s="38">
        <v>2.4832726139760401E-3</v>
      </c>
      <c r="N110" s="38">
        <v>2.48756218905473E-2</v>
      </c>
      <c r="O110" s="38">
        <v>2.5387154100025401E-3</v>
      </c>
    </row>
    <row r="111" spans="1:15">
      <c r="A111" t="s">
        <v>103</v>
      </c>
      <c r="B111" t="s">
        <v>142</v>
      </c>
      <c r="C111" t="s">
        <v>77</v>
      </c>
      <c r="D111">
        <v>6131</v>
      </c>
      <c r="E111">
        <v>11</v>
      </c>
      <c r="F111">
        <v>9865</v>
      </c>
      <c r="G111">
        <v>114</v>
      </c>
      <c r="I111">
        <v>232</v>
      </c>
      <c r="J111">
        <v>324169</v>
      </c>
      <c r="K111">
        <v>201</v>
      </c>
      <c r="L111">
        <v>3939</v>
      </c>
      <c r="M111" s="38">
        <v>1.8912974405325599E-2</v>
      </c>
      <c r="N111" s="38">
        <v>5.4726368159204002E-2</v>
      </c>
      <c r="O111" s="38">
        <v>2.8941355674028901E-2</v>
      </c>
    </row>
    <row r="112" spans="1:15">
      <c r="A112" t="s">
        <v>103</v>
      </c>
      <c r="B112" t="s">
        <v>142</v>
      </c>
      <c r="C112" t="s">
        <v>61</v>
      </c>
      <c r="D112">
        <v>4882</v>
      </c>
      <c r="E112">
        <v>3</v>
      </c>
      <c r="F112">
        <v>1627</v>
      </c>
      <c r="G112">
        <v>45</v>
      </c>
      <c r="I112">
        <v>232</v>
      </c>
      <c r="J112">
        <v>324169</v>
      </c>
      <c r="K112">
        <v>201</v>
      </c>
      <c r="L112">
        <v>3939</v>
      </c>
      <c r="M112" s="38">
        <v>1.5060045840287001E-2</v>
      </c>
      <c r="N112" s="38">
        <v>1.49253731343284E-2</v>
      </c>
      <c r="O112" s="38">
        <v>1.1424219345011401E-2</v>
      </c>
    </row>
    <row r="113" spans="1:15">
      <c r="A113" t="s">
        <v>12</v>
      </c>
      <c r="B113" t="s">
        <v>142</v>
      </c>
      <c r="C113" t="s">
        <v>54</v>
      </c>
      <c r="D113">
        <v>6361</v>
      </c>
      <c r="E113">
        <v>5</v>
      </c>
      <c r="F113">
        <v>8228</v>
      </c>
      <c r="G113">
        <v>75</v>
      </c>
      <c r="I113">
        <v>232</v>
      </c>
      <c r="J113">
        <v>324169</v>
      </c>
      <c r="K113">
        <v>201</v>
      </c>
      <c r="L113">
        <v>3939</v>
      </c>
      <c r="M113" s="38">
        <v>1.9622480866461602E-2</v>
      </c>
      <c r="N113" s="38">
        <v>2.48756218905473E-2</v>
      </c>
      <c r="O113" s="38">
        <v>1.9040365575019001E-2</v>
      </c>
    </row>
    <row r="114" spans="1:15">
      <c r="A114" t="s">
        <v>12</v>
      </c>
      <c r="B114" t="s">
        <v>142</v>
      </c>
      <c r="C114" t="s">
        <v>127</v>
      </c>
      <c r="D114">
        <v>2297</v>
      </c>
      <c r="E114">
        <v>4</v>
      </c>
      <c r="F114">
        <v>15725</v>
      </c>
      <c r="G114">
        <v>44</v>
      </c>
      <c r="I114">
        <v>232</v>
      </c>
      <c r="J114">
        <v>324169</v>
      </c>
      <c r="K114">
        <v>201</v>
      </c>
      <c r="L114">
        <v>3939</v>
      </c>
      <c r="M114" s="38">
        <v>7.08581017925835E-3</v>
      </c>
      <c r="N114" s="38">
        <v>1.99004975124378E-2</v>
      </c>
      <c r="O114" s="38">
        <v>1.11703478040112E-2</v>
      </c>
    </row>
    <row r="115" spans="1:15">
      <c r="A115" t="s">
        <v>106</v>
      </c>
      <c r="B115" t="s">
        <v>142</v>
      </c>
      <c r="C115" t="s">
        <v>40</v>
      </c>
      <c r="D115">
        <v>200411</v>
      </c>
      <c r="E115">
        <v>75</v>
      </c>
      <c r="F115">
        <v>10683</v>
      </c>
      <c r="G115">
        <v>2493</v>
      </c>
      <c r="I115">
        <v>232</v>
      </c>
      <c r="J115">
        <v>324169</v>
      </c>
      <c r="K115">
        <v>201</v>
      </c>
      <c r="L115">
        <v>3939</v>
      </c>
      <c r="M115" s="38">
        <v>0.61822999731621497</v>
      </c>
      <c r="N115" s="38">
        <v>0.37313432835820898</v>
      </c>
      <c r="O115" s="38">
        <v>0.63290175171363305</v>
      </c>
    </row>
    <row r="116" spans="1:15">
      <c r="A116" t="s">
        <v>15</v>
      </c>
      <c r="B116" t="s">
        <v>142</v>
      </c>
      <c r="C116" t="s">
        <v>121</v>
      </c>
      <c r="D116">
        <v>812</v>
      </c>
      <c r="E116">
        <v>1</v>
      </c>
      <c r="F116">
        <v>10783</v>
      </c>
      <c r="G116">
        <v>6</v>
      </c>
      <c r="I116">
        <v>232</v>
      </c>
      <c r="J116">
        <v>324169</v>
      </c>
      <c r="K116">
        <v>201</v>
      </c>
      <c r="L116">
        <v>3939</v>
      </c>
      <c r="M116" s="38">
        <v>2.5048662888801799E-3</v>
      </c>
      <c r="N116" s="38">
        <v>4.97512437810945E-3</v>
      </c>
      <c r="O116" s="38">
        <v>1.52322924600152E-3</v>
      </c>
    </row>
    <row r="117" spans="1:15">
      <c r="A117" t="s">
        <v>15</v>
      </c>
      <c r="B117" t="s">
        <v>142</v>
      </c>
      <c r="C117" t="s">
        <v>73</v>
      </c>
      <c r="D117">
        <v>40162</v>
      </c>
      <c r="E117">
        <v>15</v>
      </c>
      <c r="F117">
        <v>14505</v>
      </c>
      <c r="G117">
        <v>336</v>
      </c>
      <c r="I117">
        <v>232</v>
      </c>
      <c r="J117">
        <v>324169</v>
      </c>
      <c r="K117">
        <v>201</v>
      </c>
      <c r="L117">
        <v>3939</v>
      </c>
      <c r="M117" s="38">
        <v>0.12389216735715</v>
      </c>
      <c r="N117" s="38">
        <v>7.4626865671641798E-2</v>
      </c>
      <c r="O117" s="38">
        <v>8.5300837776085298E-2</v>
      </c>
    </row>
    <row r="118" spans="1:15">
      <c r="A118" t="s">
        <v>103</v>
      </c>
      <c r="B118" t="s">
        <v>142</v>
      </c>
      <c r="C118" t="s">
        <v>59</v>
      </c>
      <c r="D118">
        <v>29328</v>
      </c>
      <c r="E118">
        <v>30</v>
      </c>
      <c r="F118">
        <v>10940</v>
      </c>
      <c r="G118">
        <v>434</v>
      </c>
      <c r="I118">
        <v>232</v>
      </c>
      <c r="J118">
        <v>324169</v>
      </c>
      <c r="K118">
        <v>201</v>
      </c>
      <c r="L118">
        <v>3939</v>
      </c>
      <c r="M118" s="38">
        <v>9.0471328226943398E-2</v>
      </c>
      <c r="N118" s="38">
        <v>0.14925373134328401</v>
      </c>
      <c r="O118" s="38">
        <v>0.11018024879410999</v>
      </c>
    </row>
    <row r="119" spans="1:15">
      <c r="A119" t="s">
        <v>103</v>
      </c>
      <c r="B119" t="s">
        <v>142</v>
      </c>
      <c r="C119" t="s">
        <v>42</v>
      </c>
      <c r="D119">
        <v>7795</v>
      </c>
      <c r="E119">
        <v>5</v>
      </c>
      <c r="F119">
        <v>10683</v>
      </c>
      <c r="G119">
        <v>68</v>
      </c>
      <c r="I119">
        <v>232</v>
      </c>
      <c r="J119">
        <v>324169</v>
      </c>
      <c r="K119">
        <v>201</v>
      </c>
      <c r="L119">
        <v>3939</v>
      </c>
      <c r="M119" s="38">
        <v>2.4046099411109599E-2</v>
      </c>
      <c r="N119" s="38">
        <v>2.48756218905473E-2</v>
      </c>
      <c r="O119" s="38">
        <v>1.7263264788017301E-2</v>
      </c>
    </row>
    <row r="120" spans="1:15">
      <c r="A120" t="s">
        <v>104</v>
      </c>
      <c r="B120" t="s">
        <v>142</v>
      </c>
      <c r="C120" t="s">
        <v>56</v>
      </c>
      <c r="D120">
        <v>998</v>
      </c>
      <c r="E120">
        <v>3</v>
      </c>
      <c r="F120">
        <v>12410</v>
      </c>
      <c r="G120">
        <v>16</v>
      </c>
      <c r="I120">
        <v>232</v>
      </c>
      <c r="J120">
        <v>324169</v>
      </c>
      <c r="K120">
        <v>201</v>
      </c>
      <c r="L120">
        <v>3939</v>
      </c>
      <c r="M120" s="38">
        <v>3.07864107919018E-3</v>
      </c>
      <c r="N120" s="38">
        <v>1.49253731343284E-2</v>
      </c>
      <c r="O120" s="38">
        <v>4.0619446560040597E-3</v>
      </c>
    </row>
    <row r="121" spans="1:15">
      <c r="A121" t="s">
        <v>104</v>
      </c>
      <c r="B121" t="s">
        <v>142</v>
      </c>
      <c r="C121" t="s">
        <v>62</v>
      </c>
      <c r="D121">
        <v>4455</v>
      </c>
      <c r="E121">
        <v>13</v>
      </c>
      <c r="F121">
        <v>9610</v>
      </c>
      <c r="G121">
        <v>67</v>
      </c>
      <c r="I121">
        <v>232</v>
      </c>
      <c r="J121">
        <v>324169</v>
      </c>
      <c r="K121">
        <v>201</v>
      </c>
      <c r="L121">
        <v>3939</v>
      </c>
      <c r="M121" s="38">
        <v>1.3742831671134499E-2</v>
      </c>
      <c r="N121" s="38">
        <v>6.4676616915422896E-2</v>
      </c>
      <c r="O121" s="38">
        <v>1.7009393247017002E-2</v>
      </c>
    </row>
    <row r="122" spans="1:15">
      <c r="A122" t="s">
        <v>104</v>
      </c>
      <c r="B122" t="s">
        <v>142</v>
      </c>
      <c r="C122" t="s">
        <v>87</v>
      </c>
      <c r="D122">
        <v>13869</v>
      </c>
      <c r="E122">
        <v>11</v>
      </c>
      <c r="F122">
        <v>8203</v>
      </c>
      <c r="G122">
        <v>149</v>
      </c>
      <c r="I122">
        <v>232</v>
      </c>
      <c r="J122">
        <v>324169</v>
      </c>
      <c r="K122">
        <v>201</v>
      </c>
      <c r="L122">
        <v>3939</v>
      </c>
      <c r="M122" s="38">
        <v>4.2783239606501502E-2</v>
      </c>
      <c r="N122" s="38">
        <v>5.4726368159204002E-2</v>
      </c>
      <c r="O122" s="38">
        <v>3.7826859609037797E-2</v>
      </c>
    </row>
    <row r="123" spans="1:15">
      <c r="A123" t="s">
        <v>15</v>
      </c>
      <c r="B123" t="s">
        <v>142</v>
      </c>
      <c r="C123" t="s">
        <v>47</v>
      </c>
      <c r="D123">
        <v>5863</v>
      </c>
      <c r="E123">
        <v>20</v>
      </c>
      <c r="F123">
        <v>5356</v>
      </c>
      <c r="G123">
        <v>82</v>
      </c>
      <c r="I123">
        <v>232</v>
      </c>
      <c r="J123">
        <v>324169</v>
      </c>
      <c r="K123">
        <v>201</v>
      </c>
      <c r="L123">
        <v>3939</v>
      </c>
      <c r="M123" s="38">
        <v>1.8086245137567101E-2</v>
      </c>
      <c r="N123" s="38">
        <v>9.9502487562189101E-2</v>
      </c>
      <c r="O123" s="38">
        <v>2.0817466362020799E-2</v>
      </c>
    </row>
    <row r="124" spans="1:15">
      <c r="A124" t="s">
        <v>15</v>
      </c>
      <c r="B124" t="s">
        <v>143</v>
      </c>
      <c r="C124" t="s">
        <v>77</v>
      </c>
      <c r="D124">
        <v>84339</v>
      </c>
      <c r="E124">
        <v>9</v>
      </c>
      <c r="F124">
        <v>6487</v>
      </c>
      <c r="G124">
        <v>89</v>
      </c>
      <c r="I124">
        <v>241</v>
      </c>
      <c r="J124">
        <v>447244</v>
      </c>
      <c r="K124">
        <v>174</v>
      </c>
      <c r="L124">
        <v>3328</v>
      </c>
      <c r="M124" s="38">
        <v>0.18857491660033401</v>
      </c>
      <c r="N124" s="38">
        <v>5.1724137931034503E-2</v>
      </c>
      <c r="O124" s="38">
        <v>2.6742788461538498E-2</v>
      </c>
    </row>
    <row r="125" spans="1:15">
      <c r="A125" t="s">
        <v>15</v>
      </c>
      <c r="B125" t="s">
        <v>143</v>
      </c>
      <c r="C125" t="s">
        <v>73</v>
      </c>
      <c r="D125">
        <v>26353</v>
      </c>
      <c r="E125">
        <v>6</v>
      </c>
      <c r="F125">
        <v>8180</v>
      </c>
      <c r="G125">
        <v>136</v>
      </c>
      <c r="I125">
        <v>241</v>
      </c>
      <c r="J125">
        <v>447244</v>
      </c>
      <c r="K125">
        <v>174</v>
      </c>
      <c r="L125">
        <v>3328</v>
      </c>
      <c r="M125" s="38">
        <v>5.8923093434456397E-2</v>
      </c>
      <c r="N125" s="38">
        <v>3.4482758620689703E-2</v>
      </c>
      <c r="O125" s="38">
        <v>4.0865384615384602E-2</v>
      </c>
    </row>
    <row r="126" spans="1:15">
      <c r="A126" t="s">
        <v>15</v>
      </c>
      <c r="B126" t="s">
        <v>143</v>
      </c>
      <c r="C126" t="s">
        <v>47</v>
      </c>
      <c r="D126">
        <v>4644</v>
      </c>
      <c r="E126">
        <v>20</v>
      </c>
      <c r="F126">
        <v>6358</v>
      </c>
      <c r="G126">
        <v>108</v>
      </c>
      <c r="I126">
        <v>241</v>
      </c>
      <c r="J126">
        <v>447244</v>
      </c>
      <c r="K126">
        <v>174</v>
      </c>
      <c r="L126">
        <v>3328</v>
      </c>
      <c r="M126" s="38">
        <v>1.0383593743012801E-2</v>
      </c>
      <c r="N126" s="38">
        <v>0.114942528735632</v>
      </c>
      <c r="O126" s="38">
        <v>3.24519230769231E-2</v>
      </c>
    </row>
    <row r="127" spans="1:15">
      <c r="A127" t="s">
        <v>106</v>
      </c>
      <c r="B127" t="s">
        <v>143</v>
      </c>
      <c r="C127" t="s">
        <v>40</v>
      </c>
      <c r="D127">
        <v>160572</v>
      </c>
      <c r="E127">
        <v>66</v>
      </c>
      <c r="F127">
        <v>7478</v>
      </c>
      <c r="G127">
        <v>1764</v>
      </c>
      <c r="I127">
        <v>241</v>
      </c>
      <c r="J127">
        <v>447244</v>
      </c>
      <c r="K127">
        <v>174</v>
      </c>
      <c r="L127">
        <v>3328</v>
      </c>
      <c r="M127" s="38">
        <v>0.359025498385669</v>
      </c>
      <c r="N127" s="38">
        <v>0.37931034482758602</v>
      </c>
      <c r="O127" s="38">
        <v>0.53004807692307698</v>
      </c>
    </row>
    <row r="128" spans="1:15">
      <c r="A128" t="s">
        <v>103</v>
      </c>
      <c r="B128" t="s">
        <v>143</v>
      </c>
      <c r="C128" t="s">
        <v>42</v>
      </c>
      <c r="D128">
        <v>109487</v>
      </c>
      <c r="E128">
        <v>30</v>
      </c>
      <c r="F128">
        <v>7478</v>
      </c>
      <c r="G128">
        <v>568</v>
      </c>
      <c r="I128">
        <v>241</v>
      </c>
      <c r="J128">
        <v>447244</v>
      </c>
      <c r="K128">
        <v>174</v>
      </c>
      <c r="L128">
        <v>3328</v>
      </c>
      <c r="M128" s="38">
        <v>0.24480373129656299</v>
      </c>
      <c r="N128" s="38">
        <v>0.17241379310344801</v>
      </c>
      <c r="O128" s="38">
        <v>0.17067307692307701</v>
      </c>
    </row>
    <row r="129" spans="1:15">
      <c r="A129" t="s">
        <v>103</v>
      </c>
      <c r="B129" t="s">
        <v>143</v>
      </c>
      <c r="C129" t="s">
        <v>59</v>
      </c>
      <c r="D129">
        <v>26543</v>
      </c>
      <c r="E129">
        <v>18</v>
      </c>
      <c r="F129">
        <v>8349</v>
      </c>
      <c r="G129">
        <v>325</v>
      </c>
      <c r="I129">
        <v>241</v>
      </c>
      <c r="J129">
        <v>447244</v>
      </c>
      <c r="K129">
        <v>174</v>
      </c>
      <c r="L129">
        <v>3328</v>
      </c>
      <c r="M129" s="38">
        <v>5.9347917467869903E-2</v>
      </c>
      <c r="N129" s="38">
        <v>0.10344827586206901</v>
      </c>
      <c r="O129" s="38">
        <v>9.765625E-2</v>
      </c>
    </row>
    <row r="130" spans="1:15">
      <c r="A130" t="s">
        <v>103</v>
      </c>
      <c r="B130" t="s">
        <v>143</v>
      </c>
      <c r="C130" t="s">
        <v>67</v>
      </c>
      <c r="D130">
        <v>874</v>
      </c>
      <c r="E130">
        <v>2</v>
      </c>
      <c r="F130">
        <v>6196</v>
      </c>
      <c r="G130">
        <v>12</v>
      </c>
      <c r="I130">
        <v>241</v>
      </c>
      <c r="J130">
        <v>447244</v>
      </c>
      <c r="K130">
        <v>174</v>
      </c>
      <c r="L130">
        <v>3328</v>
      </c>
      <c r="M130" s="38">
        <v>1.9541905537022301E-3</v>
      </c>
      <c r="N130" s="38">
        <v>1.1494252873563199E-2</v>
      </c>
      <c r="O130" s="38">
        <v>3.6057692307692301E-3</v>
      </c>
    </row>
    <row r="131" spans="1:15">
      <c r="A131" t="s">
        <v>12</v>
      </c>
      <c r="B131" t="s">
        <v>143</v>
      </c>
      <c r="C131" t="s">
        <v>54</v>
      </c>
      <c r="D131">
        <v>3824</v>
      </c>
      <c r="E131">
        <v>4</v>
      </c>
      <c r="F131">
        <v>6325</v>
      </c>
      <c r="G131">
        <v>41</v>
      </c>
      <c r="I131">
        <v>241</v>
      </c>
      <c r="J131">
        <v>447244</v>
      </c>
      <c r="K131">
        <v>174</v>
      </c>
      <c r="L131">
        <v>3328</v>
      </c>
      <c r="M131" s="38">
        <v>8.5501426514385907E-3</v>
      </c>
      <c r="N131" s="38">
        <v>2.2988505747126398E-2</v>
      </c>
      <c r="O131" s="38">
        <v>1.23197115384615E-2</v>
      </c>
    </row>
    <row r="132" spans="1:15">
      <c r="A132" t="s">
        <v>104</v>
      </c>
      <c r="B132" t="s">
        <v>143</v>
      </c>
      <c r="C132" t="s">
        <v>87</v>
      </c>
      <c r="D132">
        <v>20608</v>
      </c>
      <c r="E132">
        <v>17</v>
      </c>
      <c r="F132">
        <v>6289</v>
      </c>
      <c r="G132">
        <v>180</v>
      </c>
      <c r="I132">
        <v>241</v>
      </c>
      <c r="J132">
        <v>447244</v>
      </c>
      <c r="K132">
        <v>174</v>
      </c>
      <c r="L132">
        <v>3328</v>
      </c>
      <c r="M132" s="38">
        <v>4.6077756213610502E-2</v>
      </c>
      <c r="N132" s="38">
        <v>9.7701149425287404E-2</v>
      </c>
      <c r="O132" s="38">
        <v>5.4086538461538498E-2</v>
      </c>
    </row>
    <row r="133" spans="1:15">
      <c r="A133" t="s">
        <v>104</v>
      </c>
      <c r="B133" t="s">
        <v>143</v>
      </c>
      <c r="C133" t="s">
        <v>64</v>
      </c>
      <c r="D133">
        <v>10000</v>
      </c>
      <c r="E133">
        <v>2</v>
      </c>
      <c r="F133">
        <v>8921</v>
      </c>
      <c r="G133">
        <v>105</v>
      </c>
      <c r="I133">
        <v>241</v>
      </c>
      <c r="J133">
        <v>447244</v>
      </c>
      <c r="K133">
        <v>174</v>
      </c>
      <c r="L133">
        <v>3328</v>
      </c>
      <c r="M133" s="38">
        <v>2.2359159653343601E-2</v>
      </c>
      <c r="N133" s="38">
        <v>1.1494252873563199E-2</v>
      </c>
      <c r="O133" s="38">
        <v>3.1550480769230803E-2</v>
      </c>
    </row>
    <row r="134" spans="1:15">
      <c r="A134" t="s">
        <v>12</v>
      </c>
      <c r="B134" t="s">
        <v>144</v>
      </c>
      <c r="C134" t="s">
        <v>127</v>
      </c>
      <c r="D134">
        <v>3823</v>
      </c>
      <c r="E134">
        <v>11</v>
      </c>
      <c r="F134">
        <v>11845</v>
      </c>
      <c r="G134">
        <v>100</v>
      </c>
      <c r="I134">
        <v>242</v>
      </c>
      <c r="J134">
        <v>355495</v>
      </c>
      <c r="K134">
        <v>261</v>
      </c>
      <c r="L134">
        <v>4974</v>
      </c>
      <c r="M134" s="38">
        <v>1.07540190438684E-2</v>
      </c>
      <c r="N134" s="38">
        <v>4.2145593869731802E-2</v>
      </c>
      <c r="O134" s="38">
        <v>2.0104543626859699E-2</v>
      </c>
    </row>
    <row r="135" spans="1:15">
      <c r="A135" t="s">
        <v>103</v>
      </c>
      <c r="B135" t="s">
        <v>144</v>
      </c>
      <c r="C135" t="s">
        <v>42</v>
      </c>
      <c r="D135">
        <v>19320</v>
      </c>
      <c r="E135">
        <v>13</v>
      </c>
      <c r="F135">
        <v>6300</v>
      </c>
      <c r="G135">
        <v>212</v>
      </c>
      <c r="I135">
        <v>242</v>
      </c>
      <c r="J135">
        <v>355495</v>
      </c>
      <c r="K135">
        <v>261</v>
      </c>
      <c r="L135">
        <v>4974</v>
      </c>
      <c r="M135" s="38">
        <v>5.4346755931869599E-2</v>
      </c>
      <c r="N135" s="38">
        <v>4.9808429118773902E-2</v>
      </c>
      <c r="O135" s="38">
        <v>4.2621632488942497E-2</v>
      </c>
    </row>
    <row r="136" spans="1:15">
      <c r="A136" t="s">
        <v>103</v>
      </c>
      <c r="B136" t="s">
        <v>144</v>
      </c>
      <c r="C136" t="s">
        <v>47</v>
      </c>
      <c r="D136">
        <v>4885</v>
      </c>
      <c r="E136">
        <v>21</v>
      </c>
      <c r="F136">
        <v>7770</v>
      </c>
      <c r="G136">
        <v>142</v>
      </c>
      <c r="I136">
        <v>242</v>
      </c>
      <c r="J136">
        <v>355495</v>
      </c>
      <c r="K136">
        <v>261</v>
      </c>
      <c r="L136">
        <v>4974</v>
      </c>
      <c r="M136" s="38">
        <v>1.37414028326699E-2</v>
      </c>
      <c r="N136" s="38">
        <v>8.04597701149425E-2</v>
      </c>
      <c r="O136" s="38">
        <v>2.8548451950140701E-2</v>
      </c>
    </row>
    <row r="137" spans="1:15">
      <c r="A137" t="s">
        <v>103</v>
      </c>
      <c r="B137" t="s">
        <v>144</v>
      </c>
      <c r="C137" t="s">
        <v>59</v>
      </c>
      <c r="D137">
        <v>24694</v>
      </c>
      <c r="E137">
        <v>31</v>
      </c>
      <c r="F137">
        <v>10557</v>
      </c>
      <c r="G137">
        <v>406</v>
      </c>
      <c r="I137">
        <v>242</v>
      </c>
      <c r="J137">
        <v>355495</v>
      </c>
      <c r="K137">
        <v>261</v>
      </c>
      <c r="L137">
        <v>4974</v>
      </c>
      <c r="M137" s="38">
        <v>6.9463705537349305E-2</v>
      </c>
      <c r="N137" s="38">
        <v>0.118773946360153</v>
      </c>
      <c r="O137" s="38">
        <v>8.1624447125050306E-2</v>
      </c>
    </row>
    <row r="138" spans="1:15">
      <c r="A138" t="s">
        <v>106</v>
      </c>
      <c r="B138" t="s">
        <v>144</v>
      </c>
      <c r="C138" t="s">
        <v>40</v>
      </c>
      <c r="D138">
        <v>200202</v>
      </c>
      <c r="E138">
        <v>83</v>
      </c>
      <c r="F138">
        <v>10510</v>
      </c>
      <c r="G138">
        <v>2877</v>
      </c>
      <c r="I138">
        <v>242</v>
      </c>
      <c r="J138">
        <v>355495</v>
      </c>
      <c r="K138">
        <v>261</v>
      </c>
      <c r="L138">
        <v>4974</v>
      </c>
      <c r="M138" s="38">
        <v>0.56316403887537103</v>
      </c>
      <c r="N138" s="38">
        <v>0.31800766283524901</v>
      </c>
      <c r="O138" s="38">
        <v>0.57840772014475295</v>
      </c>
    </row>
    <row r="139" spans="1:15">
      <c r="A139" t="s">
        <v>15</v>
      </c>
      <c r="B139" t="s">
        <v>144</v>
      </c>
      <c r="C139" t="s">
        <v>73</v>
      </c>
      <c r="D139">
        <v>48965</v>
      </c>
      <c r="E139">
        <v>15</v>
      </c>
      <c r="F139">
        <v>14899</v>
      </c>
      <c r="G139">
        <v>378</v>
      </c>
      <c r="I139">
        <v>242</v>
      </c>
      <c r="J139">
        <v>355495</v>
      </c>
      <c r="K139">
        <v>261</v>
      </c>
      <c r="L139">
        <v>4974</v>
      </c>
      <c r="M139" s="38">
        <v>0.13773752092153199</v>
      </c>
      <c r="N139" s="38">
        <v>5.7471264367816098E-2</v>
      </c>
      <c r="O139" s="38">
        <v>7.5995174909529603E-2</v>
      </c>
    </row>
    <row r="140" spans="1:15">
      <c r="A140" t="s">
        <v>15</v>
      </c>
      <c r="B140" t="s">
        <v>144</v>
      </c>
      <c r="C140" t="s">
        <v>77</v>
      </c>
      <c r="D140">
        <v>2381</v>
      </c>
      <c r="E140">
        <v>5</v>
      </c>
      <c r="G140">
        <v>47</v>
      </c>
      <c r="I140">
        <v>242</v>
      </c>
      <c r="J140">
        <v>355495</v>
      </c>
      <c r="K140">
        <v>261</v>
      </c>
      <c r="L140">
        <v>4974</v>
      </c>
      <c r="M140" s="38">
        <v>6.69770320257669E-3</v>
      </c>
      <c r="N140" s="38">
        <v>1.9157088122605401E-2</v>
      </c>
      <c r="O140" s="38">
        <v>9.4491355046240396E-3</v>
      </c>
    </row>
    <row r="141" spans="1:15">
      <c r="A141" t="s">
        <v>107</v>
      </c>
      <c r="B141" t="s">
        <v>144</v>
      </c>
      <c r="C141" t="s">
        <v>83</v>
      </c>
      <c r="D141">
        <v>3373</v>
      </c>
      <c r="E141">
        <v>15</v>
      </c>
      <c r="F141">
        <v>5354</v>
      </c>
      <c r="G141">
        <v>58</v>
      </c>
      <c r="I141">
        <v>242</v>
      </c>
      <c r="J141">
        <v>355495</v>
      </c>
      <c r="K141">
        <v>261</v>
      </c>
      <c r="L141">
        <v>4974</v>
      </c>
      <c r="M141" s="38">
        <v>9.4881784553931797E-3</v>
      </c>
      <c r="N141" s="38">
        <v>5.7471264367816098E-2</v>
      </c>
      <c r="O141" s="38">
        <v>1.1660635303578601E-2</v>
      </c>
    </row>
    <row r="142" spans="1:15">
      <c r="A142" t="s">
        <v>104</v>
      </c>
      <c r="B142" t="s">
        <v>144</v>
      </c>
      <c r="C142" t="s">
        <v>87</v>
      </c>
      <c r="D142">
        <v>10117</v>
      </c>
      <c r="E142">
        <v>12</v>
      </c>
      <c r="F142">
        <v>9442</v>
      </c>
      <c r="G142">
        <v>126</v>
      </c>
      <c r="I142">
        <v>242</v>
      </c>
      <c r="J142">
        <v>355495</v>
      </c>
      <c r="K142">
        <v>261</v>
      </c>
      <c r="L142">
        <v>4974</v>
      </c>
      <c r="M142" s="38">
        <v>2.84589094080086E-2</v>
      </c>
      <c r="N142" s="38">
        <v>4.5977011494252901E-2</v>
      </c>
      <c r="O142" s="38">
        <v>2.5331724969843199E-2</v>
      </c>
    </row>
    <row r="143" spans="1:15">
      <c r="A143" t="s">
        <v>12</v>
      </c>
      <c r="B143" t="s">
        <v>144</v>
      </c>
      <c r="C143" t="s">
        <v>77</v>
      </c>
      <c r="D143">
        <v>20545</v>
      </c>
      <c r="E143">
        <v>36</v>
      </c>
      <c r="F143">
        <v>11334</v>
      </c>
      <c r="G143">
        <v>435</v>
      </c>
      <c r="I143">
        <v>242</v>
      </c>
      <c r="J143">
        <v>355495</v>
      </c>
      <c r="K143">
        <v>261</v>
      </c>
      <c r="L143">
        <v>4974</v>
      </c>
      <c r="M143" s="38">
        <v>5.77926553116078E-2</v>
      </c>
      <c r="N143" s="38">
        <v>0.13793103448275901</v>
      </c>
      <c r="O143" s="38">
        <v>8.7454764776839597E-2</v>
      </c>
    </row>
    <row r="144" spans="1:15">
      <c r="A144" t="s">
        <v>107</v>
      </c>
      <c r="B144" t="s">
        <v>144</v>
      </c>
      <c r="C144" t="s">
        <v>46</v>
      </c>
      <c r="D144">
        <v>50</v>
      </c>
      <c r="E144">
        <v>1</v>
      </c>
      <c r="F144">
        <v>4832</v>
      </c>
      <c r="G144">
        <v>1</v>
      </c>
      <c r="I144">
        <v>242</v>
      </c>
      <c r="J144">
        <v>355495</v>
      </c>
      <c r="K144">
        <v>261</v>
      </c>
      <c r="L144">
        <v>4974</v>
      </c>
      <c r="M144" s="38">
        <v>1.4064895427502499E-4</v>
      </c>
      <c r="N144" s="38">
        <v>3.83141762452107E-3</v>
      </c>
      <c r="O144" s="38">
        <v>2.01045436268597E-4</v>
      </c>
    </row>
    <row r="145" spans="1:15">
      <c r="A145" t="s">
        <v>107</v>
      </c>
      <c r="B145" t="s">
        <v>144</v>
      </c>
      <c r="C145" t="s">
        <v>48</v>
      </c>
      <c r="D145">
        <v>500</v>
      </c>
      <c r="E145">
        <v>1</v>
      </c>
      <c r="F145">
        <v>2654</v>
      </c>
      <c r="G145">
        <v>6</v>
      </c>
      <c r="I145">
        <v>242</v>
      </c>
      <c r="J145">
        <v>355495</v>
      </c>
      <c r="K145">
        <v>261</v>
      </c>
      <c r="L145">
        <v>4974</v>
      </c>
      <c r="M145" s="38">
        <v>1.40648954275025E-3</v>
      </c>
      <c r="N145" s="38">
        <v>3.83141762452107E-3</v>
      </c>
      <c r="O145" s="38">
        <v>1.2062726176115799E-3</v>
      </c>
    </row>
    <row r="146" spans="1:15">
      <c r="A146" t="s">
        <v>104</v>
      </c>
      <c r="B146" t="s">
        <v>144</v>
      </c>
      <c r="C146" t="s">
        <v>61</v>
      </c>
      <c r="D146">
        <v>7683</v>
      </c>
      <c r="E146">
        <v>5</v>
      </c>
      <c r="F146">
        <v>5881</v>
      </c>
      <c r="G146">
        <v>66</v>
      </c>
      <c r="I146">
        <v>242</v>
      </c>
      <c r="J146">
        <v>355495</v>
      </c>
      <c r="K146">
        <v>261</v>
      </c>
      <c r="L146">
        <v>4974</v>
      </c>
      <c r="M146" s="38">
        <v>2.1612118313900301E-2</v>
      </c>
      <c r="N146" s="38">
        <v>1.9157088122605401E-2</v>
      </c>
      <c r="O146" s="38">
        <v>1.32689987937274E-2</v>
      </c>
    </row>
    <row r="147" spans="1:15">
      <c r="A147" t="s">
        <v>104</v>
      </c>
      <c r="B147" t="s">
        <v>144</v>
      </c>
      <c r="C147" t="s">
        <v>73</v>
      </c>
      <c r="D147">
        <v>5065</v>
      </c>
      <c r="E147">
        <v>5</v>
      </c>
      <c r="F147">
        <v>14899</v>
      </c>
      <c r="G147">
        <v>47</v>
      </c>
      <c r="I147">
        <v>242</v>
      </c>
      <c r="J147">
        <v>355495</v>
      </c>
      <c r="K147">
        <v>261</v>
      </c>
      <c r="L147">
        <v>4974</v>
      </c>
      <c r="M147" s="38">
        <v>1.4247739068059999E-2</v>
      </c>
      <c r="N147" s="38">
        <v>1.9157088122605401E-2</v>
      </c>
      <c r="O147" s="38">
        <v>9.4491355046240396E-3</v>
      </c>
    </row>
    <row r="148" spans="1:15">
      <c r="A148" t="s">
        <v>107</v>
      </c>
      <c r="B148" t="s">
        <v>144</v>
      </c>
      <c r="C148" t="s">
        <v>81</v>
      </c>
      <c r="D148">
        <v>3892</v>
      </c>
      <c r="E148">
        <v>7</v>
      </c>
      <c r="F148">
        <v>10672</v>
      </c>
      <c r="G148">
        <v>73</v>
      </c>
      <c r="I148">
        <v>242</v>
      </c>
      <c r="J148">
        <v>355495</v>
      </c>
      <c r="K148">
        <v>261</v>
      </c>
      <c r="L148">
        <v>4974</v>
      </c>
      <c r="M148" s="38">
        <v>1.0948114600767901E-2</v>
      </c>
      <c r="N148" s="38">
        <v>2.68199233716475E-2</v>
      </c>
      <c r="O148" s="38">
        <v>1.46763168476076E-2</v>
      </c>
    </row>
    <row r="149" spans="1:15">
      <c r="A149" t="s">
        <v>107</v>
      </c>
      <c r="B149" t="s">
        <v>145</v>
      </c>
      <c r="C149" t="s">
        <v>46</v>
      </c>
      <c r="D149">
        <v>3813</v>
      </c>
      <c r="E149">
        <v>20</v>
      </c>
      <c r="F149">
        <v>5267</v>
      </c>
      <c r="G149">
        <v>56</v>
      </c>
      <c r="I149">
        <v>251</v>
      </c>
      <c r="J149">
        <v>287086</v>
      </c>
      <c r="K149">
        <v>205</v>
      </c>
      <c r="L149">
        <v>3630</v>
      </c>
      <c r="M149" s="38">
        <v>1.3281734393178399E-2</v>
      </c>
      <c r="N149" s="38">
        <v>9.7560975609756101E-2</v>
      </c>
      <c r="O149" s="38">
        <v>1.5426997245179101E-2</v>
      </c>
    </row>
    <row r="150" spans="1:15">
      <c r="A150" t="s">
        <v>12</v>
      </c>
      <c r="B150" t="s">
        <v>145</v>
      </c>
      <c r="C150" t="s">
        <v>77</v>
      </c>
      <c r="D150">
        <v>15631</v>
      </c>
      <c r="E150">
        <v>15</v>
      </c>
      <c r="F150">
        <v>7746</v>
      </c>
      <c r="G150">
        <v>236</v>
      </c>
      <c r="I150">
        <v>251</v>
      </c>
      <c r="J150">
        <v>287086</v>
      </c>
      <c r="K150">
        <v>205</v>
      </c>
      <c r="L150">
        <v>3630</v>
      </c>
      <c r="M150" s="38">
        <v>5.4447099475418502E-2</v>
      </c>
      <c r="N150" s="38">
        <v>7.3170731707317097E-2</v>
      </c>
      <c r="O150" s="38">
        <v>6.5013774104683203E-2</v>
      </c>
    </row>
    <row r="151" spans="1:15">
      <c r="A151" t="s">
        <v>104</v>
      </c>
      <c r="B151" t="s">
        <v>145</v>
      </c>
      <c r="C151" t="s">
        <v>87</v>
      </c>
      <c r="D151">
        <v>655</v>
      </c>
      <c r="E151">
        <v>3</v>
      </c>
      <c r="F151">
        <v>14272</v>
      </c>
      <c r="G151">
        <v>21</v>
      </c>
      <c r="I151">
        <v>251</v>
      </c>
      <c r="J151">
        <v>287086</v>
      </c>
      <c r="K151">
        <v>205</v>
      </c>
      <c r="L151">
        <v>3630</v>
      </c>
      <c r="M151" s="38">
        <v>2.2815462962317901E-3</v>
      </c>
      <c r="N151" s="38">
        <v>1.46341463414634E-2</v>
      </c>
      <c r="O151" s="38">
        <v>5.7851239669421501E-3</v>
      </c>
    </row>
    <row r="152" spans="1:15">
      <c r="A152" t="s">
        <v>103</v>
      </c>
      <c r="B152" t="s">
        <v>145</v>
      </c>
      <c r="C152" t="s">
        <v>42</v>
      </c>
      <c r="D152">
        <v>35392</v>
      </c>
      <c r="E152">
        <v>10</v>
      </c>
      <c r="F152">
        <v>5661</v>
      </c>
      <c r="G152">
        <v>245</v>
      </c>
      <c r="I152">
        <v>251</v>
      </c>
      <c r="J152">
        <v>287086</v>
      </c>
      <c r="K152">
        <v>205</v>
      </c>
      <c r="L152">
        <v>3630</v>
      </c>
      <c r="M152" s="38">
        <v>0.123280132085856</v>
      </c>
      <c r="N152" s="38">
        <v>4.8780487804878002E-2</v>
      </c>
      <c r="O152" s="38">
        <v>6.7493112947658404E-2</v>
      </c>
    </row>
    <row r="153" spans="1:15">
      <c r="A153" t="s">
        <v>103</v>
      </c>
      <c r="B153" t="s">
        <v>145</v>
      </c>
      <c r="C153" t="s">
        <v>47</v>
      </c>
      <c r="D153">
        <v>6450</v>
      </c>
      <c r="E153">
        <v>17</v>
      </c>
      <c r="F153">
        <v>5515</v>
      </c>
      <c r="G153">
        <v>112</v>
      </c>
      <c r="I153">
        <v>251</v>
      </c>
      <c r="J153">
        <v>287086</v>
      </c>
      <c r="K153">
        <v>205</v>
      </c>
      <c r="L153">
        <v>3630</v>
      </c>
      <c r="M153" s="38">
        <v>2.24671352835039E-2</v>
      </c>
      <c r="N153" s="38">
        <v>8.2926829268292701E-2</v>
      </c>
      <c r="O153" s="38">
        <v>3.0853994490358101E-2</v>
      </c>
    </row>
    <row r="154" spans="1:15">
      <c r="A154" t="s">
        <v>103</v>
      </c>
      <c r="B154" t="s">
        <v>145</v>
      </c>
      <c r="C154" t="s">
        <v>59</v>
      </c>
      <c r="D154">
        <v>18161</v>
      </c>
      <c r="E154">
        <v>26</v>
      </c>
      <c r="F154">
        <v>10594</v>
      </c>
      <c r="G154">
        <v>326</v>
      </c>
      <c r="I154">
        <v>251</v>
      </c>
      <c r="J154">
        <v>287086</v>
      </c>
      <c r="K154">
        <v>205</v>
      </c>
      <c r="L154">
        <v>3630</v>
      </c>
      <c r="M154" s="38">
        <v>6.3259789749413098E-2</v>
      </c>
      <c r="N154" s="38">
        <v>0.12682926829268301</v>
      </c>
      <c r="O154" s="38">
        <v>8.98071625344352E-2</v>
      </c>
    </row>
    <row r="155" spans="1:15">
      <c r="A155" t="s">
        <v>104</v>
      </c>
      <c r="B155" t="s">
        <v>145</v>
      </c>
      <c r="C155" t="s">
        <v>73</v>
      </c>
      <c r="D155">
        <v>25802</v>
      </c>
      <c r="E155">
        <v>5</v>
      </c>
      <c r="F155">
        <v>8039</v>
      </c>
      <c r="G155">
        <v>196</v>
      </c>
      <c r="I155">
        <v>251</v>
      </c>
      <c r="J155">
        <v>287086</v>
      </c>
      <c r="K155">
        <v>205</v>
      </c>
      <c r="L155">
        <v>3630</v>
      </c>
      <c r="M155" s="38">
        <v>8.9875507687591893E-2</v>
      </c>
      <c r="N155" s="38">
        <v>2.4390243902439001E-2</v>
      </c>
      <c r="O155" s="38">
        <v>5.3994490358126701E-2</v>
      </c>
    </row>
    <row r="156" spans="1:15">
      <c r="A156" t="s">
        <v>106</v>
      </c>
      <c r="B156" t="s">
        <v>145</v>
      </c>
      <c r="C156" t="s">
        <v>40</v>
      </c>
      <c r="D156">
        <v>144941</v>
      </c>
      <c r="E156">
        <v>50</v>
      </c>
      <c r="F156">
        <v>9369</v>
      </c>
      <c r="G156">
        <v>1875</v>
      </c>
      <c r="I156">
        <v>251</v>
      </c>
      <c r="J156">
        <v>287086</v>
      </c>
      <c r="K156">
        <v>205</v>
      </c>
      <c r="L156">
        <v>3630</v>
      </c>
      <c r="M156" s="38">
        <v>0.50486962094982002</v>
      </c>
      <c r="N156" s="38">
        <v>0.24390243902438999</v>
      </c>
      <c r="O156" s="38">
        <v>0.51652892561983499</v>
      </c>
    </row>
    <row r="157" spans="1:15">
      <c r="A157" t="s">
        <v>106</v>
      </c>
      <c r="B157" t="s">
        <v>145</v>
      </c>
      <c r="C157" t="s">
        <v>45</v>
      </c>
      <c r="D157">
        <v>28056</v>
      </c>
      <c r="E157">
        <v>38</v>
      </c>
      <c r="F157">
        <v>10315</v>
      </c>
      <c r="G157">
        <v>424</v>
      </c>
      <c r="I157">
        <v>251</v>
      </c>
      <c r="J157">
        <v>287086</v>
      </c>
      <c r="K157">
        <v>205</v>
      </c>
      <c r="L157">
        <v>3630</v>
      </c>
      <c r="M157" s="38">
        <v>9.7726813568059803E-2</v>
      </c>
      <c r="N157" s="38">
        <v>0.185365853658537</v>
      </c>
      <c r="O157" s="38">
        <v>0.11680440771349899</v>
      </c>
    </row>
    <row r="158" spans="1:15">
      <c r="A158" t="s">
        <v>14</v>
      </c>
      <c r="B158" t="s">
        <v>145</v>
      </c>
      <c r="C158" t="s">
        <v>146</v>
      </c>
      <c r="D158">
        <v>2675</v>
      </c>
      <c r="E158">
        <v>6</v>
      </c>
      <c r="F158">
        <v>2855</v>
      </c>
      <c r="G158">
        <v>28</v>
      </c>
      <c r="I158">
        <v>251</v>
      </c>
      <c r="J158">
        <v>287086</v>
      </c>
      <c r="K158">
        <v>205</v>
      </c>
      <c r="L158">
        <v>3630</v>
      </c>
      <c r="M158" s="38">
        <v>9.3177654082748692E-3</v>
      </c>
      <c r="N158" s="38">
        <v>2.92682926829268E-2</v>
      </c>
      <c r="O158" s="38">
        <v>7.7134986225895303E-3</v>
      </c>
    </row>
    <row r="159" spans="1:15">
      <c r="A159" t="s">
        <v>15</v>
      </c>
      <c r="B159" t="s">
        <v>145</v>
      </c>
      <c r="C159" t="s">
        <v>48</v>
      </c>
      <c r="D159">
        <v>2187</v>
      </c>
      <c r="E159">
        <v>1</v>
      </c>
      <c r="F159">
        <v>4179</v>
      </c>
      <c r="G159">
        <v>19</v>
      </c>
      <c r="I159">
        <v>251</v>
      </c>
      <c r="J159">
        <v>287086</v>
      </c>
      <c r="K159">
        <v>205</v>
      </c>
      <c r="L159">
        <v>3630</v>
      </c>
      <c r="M159" s="38">
        <v>7.6179263356624801E-3</v>
      </c>
      <c r="N159" s="38">
        <v>4.8780487804877997E-3</v>
      </c>
      <c r="O159" s="38">
        <v>5.2341597796143197E-3</v>
      </c>
    </row>
    <row r="160" spans="1:15">
      <c r="A160" t="s">
        <v>104</v>
      </c>
      <c r="B160" t="s">
        <v>145</v>
      </c>
      <c r="C160" t="s">
        <v>56</v>
      </c>
      <c r="D160">
        <v>966</v>
      </c>
      <c r="E160">
        <v>2</v>
      </c>
      <c r="F160">
        <v>12781</v>
      </c>
      <c r="G160">
        <v>26</v>
      </c>
      <c r="I160">
        <v>251</v>
      </c>
      <c r="J160">
        <v>287086</v>
      </c>
      <c r="K160">
        <v>205</v>
      </c>
      <c r="L160">
        <v>3630</v>
      </c>
      <c r="M160" s="38">
        <v>3.3648453773433701E-3</v>
      </c>
      <c r="N160" s="38">
        <v>9.7560975609756097E-3</v>
      </c>
      <c r="O160" s="38">
        <v>7.1625344352617103E-3</v>
      </c>
    </row>
    <row r="161" spans="1:15">
      <c r="A161" t="s">
        <v>107</v>
      </c>
      <c r="B161" t="s">
        <v>145</v>
      </c>
      <c r="C161" t="s">
        <v>147</v>
      </c>
      <c r="D161">
        <v>6</v>
      </c>
      <c r="E161">
        <v>2</v>
      </c>
      <c r="F161">
        <v>14012</v>
      </c>
      <c r="G161">
        <v>3</v>
      </c>
      <c r="I161">
        <v>251</v>
      </c>
      <c r="J161">
        <v>287086</v>
      </c>
      <c r="K161">
        <v>205</v>
      </c>
      <c r="L161">
        <v>3630</v>
      </c>
      <c r="M161" s="38">
        <v>2.0899660728840799E-5</v>
      </c>
      <c r="N161" s="38">
        <v>9.7560975609756097E-3</v>
      </c>
      <c r="O161" s="38">
        <v>8.2644628099173595E-4</v>
      </c>
    </row>
    <row r="162" spans="1:15">
      <c r="A162" t="s">
        <v>107</v>
      </c>
      <c r="B162" t="s">
        <v>145</v>
      </c>
      <c r="C162" t="s">
        <v>83</v>
      </c>
      <c r="D162">
        <v>2061</v>
      </c>
      <c r="E162">
        <v>9</v>
      </c>
      <c r="F162">
        <v>4194</v>
      </c>
      <c r="G162">
        <v>52</v>
      </c>
      <c r="I162">
        <v>251</v>
      </c>
      <c r="J162">
        <v>287086</v>
      </c>
      <c r="K162">
        <v>205</v>
      </c>
      <c r="L162">
        <v>3630</v>
      </c>
      <c r="M162" s="38">
        <v>7.1790334603568304E-3</v>
      </c>
      <c r="N162" s="38">
        <v>4.39024390243902E-2</v>
      </c>
      <c r="O162" s="38">
        <v>1.43250688705234E-2</v>
      </c>
    </row>
    <row r="163" spans="1:15">
      <c r="A163" t="s">
        <v>107</v>
      </c>
      <c r="B163" t="s">
        <v>145</v>
      </c>
      <c r="C163" t="s">
        <v>81</v>
      </c>
      <c r="D163">
        <v>290</v>
      </c>
      <c r="E163">
        <v>1</v>
      </c>
      <c r="F163">
        <v>8454</v>
      </c>
      <c r="G163">
        <v>11</v>
      </c>
      <c r="I163">
        <v>251</v>
      </c>
      <c r="J163">
        <v>287086</v>
      </c>
      <c r="K163">
        <v>205</v>
      </c>
      <c r="L163">
        <v>3630</v>
      </c>
      <c r="M163" s="38">
        <v>1.0101502685606399E-3</v>
      </c>
      <c r="N163" s="38">
        <v>4.8780487804877997E-3</v>
      </c>
      <c r="O163" s="38">
        <v>3.0303030303030299E-3</v>
      </c>
    </row>
    <row r="164" spans="1:15">
      <c r="A164" t="s">
        <v>14</v>
      </c>
      <c r="B164" t="s">
        <v>148</v>
      </c>
      <c r="C164" t="s">
        <v>146</v>
      </c>
      <c r="D164">
        <v>500</v>
      </c>
      <c r="E164">
        <v>2</v>
      </c>
      <c r="F164">
        <v>2959</v>
      </c>
      <c r="G164">
        <v>6</v>
      </c>
      <c r="I164">
        <v>252</v>
      </c>
      <c r="J164">
        <v>341494</v>
      </c>
      <c r="K164">
        <v>303</v>
      </c>
      <c r="L164">
        <v>4856</v>
      </c>
      <c r="M164" s="38">
        <v>1.46415456786942E-3</v>
      </c>
      <c r="N164" s="38">
        <v>6.6006600660065999E-3</v>
      </c>
      <c r="O164" s="38">
        <v>1.2355848434925901E-3</v>
      </c>
    </row>
    <row r="165" spans="1:15">
      <c r="A165" t="s">
        <v>107</v>
      </c>
      <c r="B165" t="s">
        <v>148</v>
      </c>
      <c r="C165" t="s">
        <v>147</v>
      </c>
      <c r="D165">
        <v>52</v>
      </c>
      <c r="E165">
        <v>2</v>
      </c>
      <c r="F165">
        <v>14012</v>
      </c>
      <c r="G165">
        <v>26</v>
      </c>
      <c r="I165">
        <v>252</v>
      </c>
      <c r="J165">
        <v>341494</v>
      </c>
      <c r="K165">
        <v>303</v>
      </c>
      <c r="L165">
        <v>4856</v>
      </c>
      <c r="M165" s="38">
        <v>1.5227207505841999E-4</v>
      </c>
      <c r="N165" s="38">
        <v>6.6006600660065999E-3</v>
      </c>
      <c r="O165" s="38">
        <v>5.3542009884678804E-3</v>
      </c>
    </row>
    <row r="166" spans="1:15">
      <c r="A166" t="s">
        <v>107</v>
      </c>
      <c r="B166" t="s">
        <v>148</v>
      </c>
      <c r="C166" t="s">
        <v>53</v>
      </c>
      <c r="D166">
        <v>300</v>
      </c>
      <c r="E166">
        <v>3</v>
      </c>
      <c r="F166">
        <v>9890</v>
      </c>
      <c r="G166">
        <v>18</v>
      </c>
      <c r="I166">
        <v>252</v>
      </c>
      <c r="J166">
        <v>341494</v>
      </c>
      <c r="K166">
        <v>303</v>
      </c>
      <c r="L166">
        <v>4856</v>
      </c>
      <c r="M166" s="38">
        <v>8.7849274072165202E-4</v>
      </c>
      <c r="N166" s="38">
        <v>9.9009900990098994E-3</v>
      </c>
      <c r="O166" s="38">
        <v>3.7067545304777598E-3</v>
      </c>
    </row>
    <row r="167" spans="1:15">
      <c r="A167" t="s">
        <v>107</v>
      </c>
      <c r="B167" t="s">
        <v>148</v>
      </c>
      <c r="C167" t="s">
        <v>46</v>
      </c>
      <c r="D167">
        <v>1099</v>
      </c>
      <c r="E167">
        <v>5</v>
      </c>
      <c r="F167">
        <v>3915</v>
      </c>
      <c r="G167">
        <v>25</v>
      </c>
      <c r="I167">
        <v>252</v>
      </c>
      <c r="J167">
        <v>341494</v>
      </c>
      <c r="K167">
        <v>303</v>
      </c>
      <c r="L167">
        <v>4856</v>
      </c>
      <c r="M167" s="38">
        <v>3.2182117401769899E-3</v>
      </c>
      <c r="N167" s="38">
        <v>1.65016501650165E-2</v>
      </c>
      <c r="O167" s="38">
        <v>5.14827018121911E-3</v>
      </c>
    </row>
    <row r="168" spans="1:15">
      <c r="A168" t="s">
        <v>12</v>
      </c>
      <c r="B168" t="s">
        <v>148</v>
      </c>
      <c r="C168" t="s">
        <v>77</v>
      </c>
      <c r="D168">
        <v>18775</v>
      </c>
      <c r="E168">
        <v>36</v>
      </c>
      <c r="F168">
        <v>11931</v>
      </c>
      <c r="G168">
        <v>361</v>
      </c>
      <c r="I168">
        <v>252</v>
      </c>
      <c r="J168">
        <v>341494</v>
      </c>
      <c r="K168">
        <v>303</v>
      </c>
      <c r="L168">
        <v>4856</v>
      </c>
      <c r="M168" s="38">
        <v>5.49790040234968E-2</v>
      </c>
      <c r="N168" s="38">
        <v>0.118811881188119</v>
      </c>
      <c r="O168" s="38">
        <v>7.4341021416804001E-2</v>
      </c>
    </row>
    <row r="169" spans="1:15">
      <c r="A169" t="s">
        <v>106</v>
      </c>
      <c r="B169" t="s">
        <v>148</v>
      </c>
      <c r="C169" t="s">
        <v>40</v>
      </c>
      <c r="D169">
        <v>167156</v>
      </c>
      <c r="E169">
        <v>86</v>
      </c>
      <c r="F169">
        <v>11603</v>
      </c>
      <c r="G169">
        <v>2404</v>
      </c>
      <c r="I169">
        <v>252</v>
      </c>
      <c r="J169">
        <v>341494</v>
      </c>
      <c r="K169">
        <v>303</v>
      </c>
      <c r="L169">
        <v>4856</v>
      </c>
      <c r="M169" s="38">
        <v>0.48948444189356199</v>
      </c>
      <c r="N169" s="38">
        <v>0.28382838283828399</v>
      </c>
      <c r="O169" s="38">
        <v>0.49505766062603002</v>
      </c>
    </row>
    <row r="170" spans="1:15">
      <c r="A170" t="s">
        <v>107</v>
      </c>
      <c r="B170" t="s">
        <v>148</v>
      </c>
      <c r="C170" t="s">
        <v>83</v>
      </c>
      <c r="D170">
        <v>1916</v>
      </c>
      <c r="E170">
        <v>9</v>
      </c>
      <c r="F170">
        <v>7430</v>
      </c>
      <c r="G170">
        <v>19</v>
      </c>
      <c r="I170">
        <v>252</v>
      </c>
      <c r="J170">
        <v>341494</v>
      </c>
      <c r="K170">
        <v>303</v>
      </c>
      <c r="L170">
        <v>4856</v>
      </c>
      <c r="M170" s="38">
        <v>5.6106403040756198E-3</v>
      </c>
      <c r="N170" s="38">
        <v>2.9702970297029702E-2</v>
      </c>
      <c r="O170" s="38">
        <v>3.9126853377265203E-3</v>
      </c>
    </row>
    <row r="171" spans="1:15">
      <c r="A171" t="s">
        <v>104</v>
      </c>
      <c r="B171" t="s">
        <v>148</v>
      </c>
      <c r="C171" t="s">
        <v>75</v>
      </c>
      <c r="D171">
        <v>3644</v>
      </c>
      <c r="E171">
        <v>2</v>
      </c>
      <c r="F171">
        <v>7654</v>
      </c>
      <c r="G171">
        <v>40</v>
      </c>
      <c r="I171">
        <v>252</v>
      </c>
      <c r="J171">
        <v>341494</v>
      </c>
      <c r="K171">
        <v>303</v>
      </c>
      <c r="L171">
        <v>4856</v>
      </c>
      <c r="M171" s="38">
        <v>1.0670758490632299E-2</v>
      </c>
      <c r="N171" s="38">
        <v>6.6006600660065999E-3</v>
      </c>
      <c r="O171" s="38">
        <v>8.2372322899505798E-3</v>
      </c>
    </row>
    <row r="172" spans="1:15">
      <c r="A172" t="s">
        <v>103</v>
      </c>
      <c r="B172" t="s">
        <v>148</v>
      </c>
      <c r="C172" t="s">
        <v>94</v>
      </c>
      <c r="D172">
        <v>518</v>
      </c>
      <c r="E172">
        <v>3</v>
      </c>
      <c r="F172">
        <v>13031</v>
      </c>
      <c r="G172">
        <v>23</v>
      </c>
      <c r="I172">
        <v>252</v>
      </c>
      <c r="J172">
        <v>341494</v>
      </c>
      <c r="K172">
        <v>303</v>
      </c>
      <c r="L172">
        <v>4856</v>
      </c>
      <c r="M172" s="38">
        <v>1.51686413231272E-3</v>
      </c>
      <c r="N172" s="38">
        <v>9.9009900990098994E-3</v>
      </c>
      <c r="O172" s="38">
        <v>4.7364085667215804E-3</v>
      </c>
    </row>
    <row r="173" spans="1:15">
      <c r="A173" t="s">
        <v>103</v>
      </c>
      <c r="B173" t="s">
        <v>148</v>
      </c>
      <c r="C173" t="s">
        <v>59</v>
      </c>
      <c r="D173">
        <v>43447</v>
      </c>
      <c r="E173">
        <v>42</v>
      </c>
      <c r="F173">
        <v>13550</v>
      </c>
      <c r="G173">
        <v>675</v>
      </c>
      <c r="I173">
        <v>252</v>
      </c>
      <c r="J173">
        <v>341494</v>
      </c>
      <c r="K173">
        <v>303</v>
      </c>
      <c r="L173">
        <v>4856</v>
      </c>
      <c r="M173" s="38">
        <v>0.12722624702044499</v>
      </c>
      <c r="N173" s="38">
        <v>0.13861386138613899</v>
      </c>
      <c r="O173" s="38">
        <v>0.13900329489291599</v>
      </c>
    </row>
    <row r="174" spans="1:15">
      <c r="A174" t="s">
        <v>103</v>
      </c>
      <c r="B174" t="s">
        <v>148</v>
      </c>
      <c r="C174" t="s">
        <v>42</v>
      </c>
      <c r="D174">
        <v>14612</v>
      </c>
      <c r="E174">
        <v>7</v>
      </c>
      <c r="F174">
        <v>6048</v>
      </c>
      <c r="G174">
        <v>117</v>
      </c>
      <c r="I174">
        <v>252</v>
      </c>
      <c r="J174">
        <v>341494</v>
      </c>
      <c r="K174">
        <v>303</v>
      </c>
      <c r="L174">
        <v>4856</v>
      </c>
      <c r="M174" s="38">
        <v>4.2788453091415997E-2</v>
      </c>
      <c r="N174" s="38">
        <v>2.3102310231023101E-2</v>
      </c>
      <c r="O174" s="38">
        <v>2.4093904448105399E-2</v>
      </c>
    </row>
    <row r="175" spans="1:15">
      <c r="A175" t="s">
        <v>15</v>
      </c>
      <c r="B175" t="s">
        <v>148</v>
      </c>
      <c r="C175" t="s">
        <v>45</v>
      </c>
      <c r="D175">
        <v>35860</v>
      </c>
      <c r="E175">
        <v>66</v>
      </c>
      <c r="F175">
        <v>11264</v>
      </c>
      <c r="G175">
        <v>558</v>
      </c>
      <c r="I175">
        <v>252</v>
      </c>
      <c r="J175">
        <v>341494</v>
      </c>
      <c r="K175">
        <v>303</v>
      </c>
      <c r="L175">
        <v>4856</v>
      </c>
      <c r="M175" s="38">
        <v>0.105009165607595</v>
      </c>
      <c r="N175" s="38">
        <v>0.21782178217821799</v>
      </c>
      <c r="O175" s="38">
        <v>0.11490939044481099</v>
      </c>
    </row>
    <row r="176" spans="1:15">
      <c r="A176" t="s">
        <v>103</v>
      </c>
      <c r="B176" t="s">
        <v>148</v>
      </c>
      <c r="C176" t="s">
        <v>47</v>
      </c>
      <c r="D176">
        <v>5654</v>
      </c>
      <c r="E176">
        <v>22</v>
      </c>
      <c r="F176">
        <v>8099</v>
      </c>
      <c r="G176">
        <v>164</v>
      </c>
      <c r="I176">
        <v>252</v>
      </c>
      <c r="J176">
        <v>341494</v>
      </c>
      <c r="K176">
        <v>303</v>
      </c>
      <c r="L176">
        <v>4856</v>
      </c>
      <c r="M176" s="38">
        <v>1.6556659853467399E-2</v>
      </c>
      <c r="N176" s="38">
        <v>7.2607260726072598E-2</v>
      </c>
      <c r="O176" s="38">
        <v>3.3772652388797397E-2</v>
      </c>
    </row>
    <row r="177" spans="1:15">
      <c r="A177" t="s">
        <v>104</v>
      </c>
      <c r="B177" t="s">
        <v>148</v>
      </c>
      <c r="C177" t="s">
        <v>56</v>
      </c>
      <c r="D177">
        <v>829</v>
      </c>
      <c r="E177">
        <v>2</v>
      </c>
      <c r="F177">
        <v>10926</v>
      </c>
      <c r="G177">
        <v>16</v>
      </c>
      <c r="I177">
        <v>252</v>
      </c>
      <c r="J177">
        <v>341494</v>
      </c>
      <c r="K177">
        <v>303</v>
      </c>
      <c r="L177">
        <v>4856</v>
      </c>
      <c r="M177" s="38">
        <v>2.4275682735274999E-3</v>
      </c>
      <c r="N177" s="38">
        <v>6.6006600660065999E-3</v>
      </c>
      <c r="O177" s="38">
        <v>3.2948929159802298E-3</v>
      </c>
    </row>
    <row r="178" spans="1:15">
      <c r="A178" t="s">
        <v>104</v>
      </c>
      <c r="B178" t="s">
        <v>148</v>
      </c>
      <c r="C178" t="s">
        <v>73</v>
      </c>
      <c r="D178">
        <v>46521</v>
      </c>
      <c r="E178">
        <v>13</v>
      </c>
      <c r="F178">
        <v>12994</v>
      </c>
      <c r="G178">
        <v>389</v>
      </c>
      <c r="I178">
        <v>252</v>
      </c>
      <c r="J178">
        <v>341494</v>
      </c>
      <c r="K178">
        <v>303</v>
      </c>
      <c r="L178">
        <v>4856</v>
      </c>
      <c r="M178" s="38">
        <v>0.13622786930370701</v>
      </c>
      <c r="N178" s="38">
        <v>4.2904290429042903E-2</v>
      </c>
      <c r="O178" s="38">
        <v>8.0107084019769403E-2</v>
      </c>
    </row>
    <row r="179" spans="1:15">
      <c r="A179" t="s">
        <v>104</v>
      </c>
      <c r="B179" t="s">
        <v>148</v>
      </c>
      <c r="C179" t="s">
        <v>81</v>
      </c>
      <c r="D179">
        <v>611</v>
      </c>
      <c r="E179">
        <v>3</v>
      </c>
      <c r="F179">
        <v>15113</v>
      </c>
      <c r="G179">
        <v>15</v>
      </c>
      <c r="I179">
        <v>252</v>
      </c>
      <c r="J179">
        <v>341494</v>
      </c>
      <c r="K179">
        <v>303</v>
      </c>
      <c r="L179">
        <v>4856</v>
      </c>
      <c r="M179" s="38">
        <v>1.78919688193643E-3</v>
      </c>
      <c r="N179" s="38">
        <v>9.9009900990098994E-3</v>
      </c>
      <c r="O179" s="38">
        <v>3.0889621087314698E-3</v>
      </c>
    </row>
    <row r="180" spans="1:15">
      <c r="A180" t="s">
        <v>104</v>
      </c>
      <c r="B180" t="s">
        <v>149</v>
      </c>
      <c r="C180" t="s">
        <v>73</v>
      </c>
      <c r="D180">
        <v>24594</v>
      </c>
      <c r="E180">
        <v>4</v>
      </c>
      <c r="F180">
        <v>6000</v>
      </c>
      <c r="G180">
        <v>160</v>
      </c>
      <c r="I180">
        <v>261</v>
      </c>
      <c r="J180">
        <v>298671</v>
      </c>
      <c r="K180">
        <v>225</v>
      </c>
      <c r="L180">
        <v>4320</v>
      </c>
      <c r="M180" s="38">
        <v>8.2344787408218406E-2</v>
      </c>
      <c r="N180" s="38">
        <v>1.7777777777777799E-2</v>
      </c>
      <c r="O180" s="38">
        <v>3.7037037037037E-2</v>
      </c>
    </row>
    <row r="181" spans="1:15">
      <c r="A181" t="s">
        <v>103</v>
      </c>
      <c r="B181" t="s">
        <v>149</v>
      </c>
      <c r="C181" t="s">
        <v>42</v>
      </c>
      <c r="D181">
        <v>41883</v>
      </c>
      <c r="E181">
        <v>9</v>
      </c>
      <c r="F181">
        <v>5241</v>
      </c>
      <c r="G181">
        <v>261</v>
      </c>
      <c r="I181">
        <v>261</v>
      </c>
      <c r="J181">
        <v>298671</v>
      </c>
      <c r="K181">
        <v>225</v>
      </c>
      <c r="L181">
        <v>4320</v>
      </c>
      <c r="M181" s="38">
        <v>0.14023122432375401</v>
      </c>
      <c r="N181" s="38">
        <v>0.04</v>
      </c>
      <c r="O181" s="38">
        <v>6.0416666666666702E-2</v>
      </c>
    </row>
    <row r="182" spans="1:15">
      <c r="A182" t="s">
        <v>107</v>
      </c>
      <c r="B182" t="s">
        <v>149</v>
      </c>
      <c r="C182" t="s">
        <v>46</v>
      </c>
      <c r="D182">
        <v>9386</v>
      </c>
      <c r="E182">
        <v>26</v>
      </c>
      <c r="F182">
        <v>8463</v>
      </c>
      <c r="G182">
        <v>40</v>
      </c>
      <c r="I182">
        <v>261</v>
      </c>
      <c r="J182">
        <v>298671</v>
      </c>
      <c r="K182">
        <v>225</v>
      </c>
      <c r="L182">
        <v>4320</v>
      </c>
      <c r="M182" s="38">
        <v>3.14258833298178E-2</v>
      </c>
      <c r="N182" s="38">
        <v>0.11555555555555599</v>
      </c>
      <c r="O182" s="38">
        <v>9.2592592592592605E-3</v>
      </c>
    </row>
    <row r="183" spans="1:15">
      <c r="A183" t="s">
        <v>16</v>
      </c>
      <c r="B183" t="s">
        <v>149</v>
      </c>
      <c r="C183" t="s">
        <v>92</v>
      </c>
      <c r="D183">
        <v>10000</v>
      </c>
      <c r="E183">
        <v>2</v>
      </c>
      <c r="F183">
        <v>8479</v>
      </c>
      <c r="G183">
        <v>458</v>
      </c>
      <c r="I183">
        <v>261</v>
      </c>
      <c r="J183">
        <v>298671</v>
      </c>
      <c r="K183">
        <v>225</v>
      </c>
      <c r="L183">
        <v>4320</v>
      </c>
      <c r="M183" s="38">
        <v>3.3481657074171903E-2</v>
      </c>
      <c r="N183" s="38">
        <v>8.8888888888888906E-3</v>
      </c>
      <c r="O183" s="38">
        <v>0.106018518518519</v>
      </c>
    </row>
    <row r="184" spans="1:15">
      <c r="A184" t="s">
        <v>104</v>
      </c>
      <c r="B184" t="s">
        <v>149</v>
      </c>
      <c r="C184" t="s">
        <v>55</v>
      </c>
      <c r="D184">
        <v>9748</v>
      </c>
      <c r="E184">
        <v>17</v>
      </c>
      <c r="F184">
        <v>4997</v>
      </c>
      <c r="G184">
        <v>106</v>
      </c>
      <c r="I184">
        <v>261</v>
      </c>
      <c r="J184">
        <v>298671</v>
      </c>
      <c r="K184">
        <v>225</v>
      </c>
      <c r="L184">
        <v>4320</v>
      </c>
      <c r="M184" s="38">
        <v>3.2637919315902798E-2</v>
      </c>
      <c r="N184" s="38">
        <v>7.5555555555555598E-2</v>
      </c>
      <c r="O184" s="38">
        <v>2.4537037037037E-2</v>
      </c>
    </row>
    <row r="185" spans="1:15">
      <c r="A185" t="s">
        <v>12</v>
      </c>
      <c r="B185" t="s">
        <v>149</v>
      </c>
      <c r="C185" t="s">
        <v>77</v>
      </c>
      <c r="D185">
        <v>22139</v>
      </c>
      <c r="E185">
        <v>23</v>
      </c>
      <c r="F185">
        <v>8161</v>
      </c>
      <c r="G185">
        <v>315</v>
      </c>
      <c r="I185">
        <v>261</v>
      </c>
      <c r="J185">
        <v>298671</v>
      </c>
      <c r="K185">
        <v>225</v>
      </c>
      <c r="L185">
        <v>4320</v>
      </c>
      <c r="M185" s="38">
        <v>7.4125040596509206E-2</v>
      </c>
      <c r="N185" s="38">
        <v>0.10222222222222201</v>
      </c>
      <c r="O185" s="38">
        <v>7.2916666666666699E-2</v>
      </c>
    </row>
    <row r="186" spans="1:15">
      <c r="A186" t="s">
        <v>104</v>
      </c>
      <c r="B186" t="s">
        <v>149</v>
      </c>
      <c r="C186" t="s">
        <v>56</v>
      </c>
      <c r="D186">
        <v>3044</v>
      </c>
      <c r="E186">
        <v>1</v>
      </c>
      <c r="F186">
        <v>16817</v>
      </c>
      <c r="G186">
        <v>52</v>
      </c>
      <c r="I186">
        <v>261</v>
      </c>
      <c r="J186">
        <v>298671</v>
      </c>
      <c r="K186">
        <v>225</v>
      </c>
      <c r="L186">
        <v>4320</v>
      </c>
      <c r="M186" s="38">
        <v>1.0191816413377901E-2</v>
      </c>
      <c r="N186" s="38">
        <v>4.4444444444444401E-3</v>
      </c>
      <c r="O186" s="38">
        <v>1.2037037037037001E-2</v>
      </c>
    </row>
    <row r="187" spans="1:15">
      <c r="A187" t="s">
        <v>103</v>
      </c>
      <c r="B187" t="s">
        <v>149</v>
      </c>
      <c r="C187" t="s">
        <v>59</v>
      </c>
      <c r="D187">
        <v>16462</v>
      </c>
      <c r="E187">
        <v>24</v>
      </c>
      <c r="F187">
        <v>11413</v>
      </c>
      <c r="G187">
        <v>292</v>
      </c>
      <c r="I187">
        <v>261</v>
      </c>
      <c r="J187">
        <v>298671</v>
      </c>
      <c r="K187">
        <v>225</v>
      </c>
      <c r="L187">
        <v>4320</v>
      </c>
      <c r="M187" s="38">
        <v>5.5117503875501801E-2</v>
      </c>
      <c r="N187" s="38">
        <v>0.10666666666666701</v>
      </c>
      <c r="O187" s="38">
        <v>6.7592592592592607E-2</v>
      </c>
    </row>
    <row r="188" spans="1:15">
      <c r="A188" t="s">
        <v>103</v>
      </c>
      <c r="B188" t="s">
        <v>149</v>
      </c>
      <c r="C188" t="s">
        <v>47</v>
      </c>
      <c r="D188">
        <v>4472</v>
      </c>
      <c r="E188">
        <v>16</v>
      </c>
      <c r="F188">
        <v>6592</v>
      </c>
      <c r="G188">
        <v>96</v>
      </c>
      <c r="I188">
        <v>261</v>
      </c>
      <c r="J188">
        <v>298671</v>
      </c>
      <c r="K188">
        <v>225</v>
      </c>
      <c r="L188">
        <v>4320</v>
      </c>
      <c r="M188" s="38">
        <v>1.49729970435697E-2</v>
      </c>
      <c r="N188" s="38">
        <v>7.1111111111111097E-2</v>
      </c>
      <c r="O188" s="38">
        <v>2.2222222222222199E-2</v>
      </c>
    </row>
    <row r="189" spans="1:15">
      <c r="A189" t="s">
        <v>104</v>
      </c>
      <c r="B189" t="s">
        <v>149</v>
      </c>
      <c r="C189" t="s">
        <v>81</v>
      </c>
      <c r="D189">
        <v>3000</v>
      </c>
      <c r="E189">
        <v>1</v>
      </c>
      <c r="F189">
        <v>1885</v>
      </c>
      <c r="G189">
        <v>7</v>
      </c>
      <c r="I189">
        <v>261</v>
      </c>
      <c r="J189">
        <v>298671</v>
      </c>
      <c r="K189">
        <v>225</v>
      </c>
      <c r="L189">
        <v>4320</v>
      </c>
      <c r="M189" s="38">
        <v>1.0044497122251601E-2</v>
      </c>
      <c r="N189" s="38">
        <v>4.4444444444444401E-3</v>
      </c>
      <c r="O189" s="38">
        <v>1.6203703703703701E-3</v>
      </c>
    </row>
    <row r="190" spans="1:15">
      <c r="A190" t="s">
        <v>107</v>
      </c>
      <c r="B190" t="s">
        <v>149</v>
      </c>
      <c r="C190" t="s">
        <v>147</v>
      </c>
      <c r="D190">
        <v>298</v>
      </c>
      <c r="E190">
        <v>7</v>
      </c>
      <c r="F190">
        <v>13614</v>
      </c>
      <c r="G190">
        <v>16</v>
      </c>
      <c r="I190">
        <v>261</v>
      </c>
      <c r="J190">
        <v>298671</v>
      </c>
      <c r="K190">
        <v>225</v>
      </c>
      <c r="L190">
        <v>4320</v>
      </c>
      <c r="M190" s="38">
        <v>9.9775338081032304E-4</v>
      </c>
      <c r="N190" s="38">
        <v>3.11111111111111E-2</v>
      </c>
      <c r="O190" s="38">
        <v>3.7037037037036999E-3</v>
      </c>
    </row>
    <row r="191" spans="1:15">
      <c r="A191" t="s">
        <v>106</v>
      </c>
      <c r="B191" t="s">
        <v>149</v>
      </c>
      <c r="C191" t="s">
        <v>40</v>
      </c>
      <c r="D191">
        <v>100919</v>
      </c>
      <c r="E191">
        <v>41</v>
      </c>
      <c r="F191">
        <v>8241</v>
      </c>
      <c r="G191">
        <v>1166</v>
      </c>
      <c r="I191">
        <v>261</v>
      </c>
      <c r="J191">
        <v>298671</v>
      </c>
      <c r="K191">
        <v>225</v>
      </c>
      <c r="L191">
        <v>4320</v>
      </c>
      <c r="M191" s="38">
        <v>0.337893535026836</v>
      </c>
      <c r="N191" s="38">
        <v>0.18222222222222201</v>
      </c>
      <c r="O191" s="38">
        <v>0.26990740740740699</v>
      </c>
    </row>
    <row r="192" spans="1:15">
      <c r="A192" t="s">
        <v>15</v>
      </c>
      <c r="B192" t="s">
        <v>149</v>
      </c>
      <c r="C192" t="s">
        <v>45</v>
      </c>
      <c r="D192">
        <v>47395</v>
      </c>
      <c r="E192">
        <v>48</v>
      </c>
      <c r="F192">
        <v>8303</v>
      </c>
      <c r="G192">
        <v>533</v>
      </c>
      <c r="I192">
        <v>261</v>
      </c>
      <c r="J192">
        <v>298671</v>
      </c>
      <c r="K192">
        <v>225</v>
      </c>
      <c r="L192">
        <v>4320</v>
      </c>
      <c r="M192" s="38">
        <v>0.15868631370303801</v>
      </c>
      <c r="N192" s="38">
        <v>0.21333333333333299</v>
      </c>
      <c r="O192" s="38">
        <v>0.12337962962963001</v>
      </c>
    </row>
    <row r="193" spans="1:15">
      <c r="A193" t="s">
        <v>15</v>
      </c>
      <c r="B193" t="s">
        <v>149</v>
      </c>
      <c r="C193" t="s">
        <v>48</v>
      </c>
      <c r="D193">
        <v>2226</v>
      </c>
      <c r="E193">
        <v>1</v>
      </c>
      <c r="F193">
        <v>4179</v>
      </c>
      <c r="G193">
        <v>15</v>
      </c>
      <c r="I193">
        <v>261</v>
      </c>
      <c r="J193">
        <v>298671</v>
      </c>
      <c r="K193">
        <v>225</v>
      </c>
      <c r="L193">
        <v>4320</v>
      </c>
      <c r="M193" s="38">
        <v>7.4530168647106701E-3</v>
      </c>
      <c r="N193" s="38">
        <v>4.4444444444444401E-3</v>
      </c>
      <c r="O193" s="38">
        <v>3.4722222222222199E-3</v>
      </c>
    </row>
    <row r="194" spans="1:15">
      <c r="A194" t="s">
        <v>104</v>
      </c>
      <c r="B194" t="s">
        <v>149</v>
      </c>
      <c r="C194" t="s">
        <v>70</v>
      </c>
      <c r="D194">
        <v>2721</v>
      </c>
      <c r="E194">
        <v>4</v>
      </c>
      <c r="F194">
        <v>11794</v>
      </c>
      <c r="G194">
        <v>35</v>
      </c>
      <c r="I194">
        <v>261</v>
      </c>
      <c r="J194">
        <v>298671</v>
      </c>
      <c r="K194">
        <v>225</v>
      </c>
      <c r="L194">
        <v>4320</v>
      </c>
      <c r="M194" s="38">
        <v>9.1103588898821808E-3</v>
      </c>
      <c r="N194" s="38">
        <v>1.7777777777777799E-2</v>
      </c>
      <c r="O194" s="38">
        <v>8.1018518518518497E-3</v>
      </c>
    </row>
    <row r="195" spans="1:15">
      <c r="A195" t="s">
        <v>107</v>
      </c>
      <c r="B195" t="s">
        <v>150</v>
      </c>
      <c r="C195" t="s">
        <v>53</v>
      </c>
      <c r="D195">
        <v>200</v>
      </c>
      <c r="E195">
        <v>4</v>
      </c>
      <c r="F195">
        <v>11636</v>
      </c>
      <c r="G195">
        <v>12</v>
      </c>
      <c r="I195">
        <v>262</v>
      </c>
      <c r="J195">
        <v>356764</v>
      </c>
      <c r="K195">
        <v>353</v>
      </c>
      <c r="L195">
        <v>5854</v>
      </c>
      <c r="M195" s="38">
        <v>5.6059467883530804E-4</v>
      </c>
      <c r="N195" s="38">
        <v>1.1331444759206799E-2</v>
      </c>
      <c r="O195" s="38">
        <v>2.0498804236419501E-3</v>
      </c>
    </row>
    <row r="196" spans="1:15">
      <c r="A196" t="s">
        <v>107</v>
      </c>
      <c r="B196" t="s">
        <v>150</v>
      </c>
      <c r="C196" t="s">
        <v>81</v>
      </c>
      <c r="D196">
        <v>2582</v>
      </c>
      <c r="E196">
        <v>3</v>
      </c>
      <c r="F196">
        <v>12719</v>
      </c>
      <c r="G196">
        <v>46</v>
      </c>
      <c r="I196">
        <v>262</v>
      </c>
      <c r="J196">
        <v>356764</v>
      </c>
      <c r="K196">
        <v>353</v>
      </c>
      <c r="L196">
        <v>5854</v>
      </c>
      <c r="M196" s="38">
        <v>7.2372773037638304E-3</v>
      </c>
      <c r="N196" s="38">
        <v>8.4985835694051E-3</v>
      </c>
      <c r="O196" s="38">
        <v>7.8578749572941597E-3</v>
      </c>
    </row>
    <row r="197" spans="1:15">
      <c r="A197" t="s">
        <v>15</v>
      </c>
      <c r="B197" t="s">
        <v>150</v>
      </c>
      <c r="C197" t="s">
        <v>45</v>
      </c>
      <c r="D197">
        <v>56164</v>
      </c>
      <c r="E197">
        <v>79</v>
      </c>
      <c r="F197">
        <v>12542</v>
      </c>
      <c r="G197">
        <v>770</v>
      </c>
      <c r="I197">
        <v>262</v>
      </c>
      <c r="J197">
        <v>356764</v>
      </c>
      <c r="K197">
        <v>353</v>
      </c>
      <c r="L197">
        <v>5854</v>
      </c>
      <c r="M197" s="38">
        <v>0.15742619771053101</v>
      </c>
      <c r="N197" s="38">
        <v>0.22379603399433401</v>
      </c>
      <c r="O197" s="38">
        <v>0.13153399385035899</v>
      </c>
    </row>
    <row r="198" spans="1:15">
      <c r="A198" t="s">
        <v>16</v>
      </c>
      <c r="B198" t="s">
        <v>150</v>
      </c>
      <c r="C198" t="s">
        <v>151</v>
      </c>
      <c r="D198">
        <v>208</v>
      </c>
      <c r="E198">
        <v>4</v>
      </c>
      <c r="F198">
        <v>17191</v>
      </c>
      <c r="G198">
        <v>28</v>
      </c>
      <c r="I198">
        <v>262</v>
      </c>
      <c r="J198">
        <v>356764</v>
      </c>
      <c r="K198">
        <v>353</v>
      </c>
      <c r="L198">
        <v>5854</v>
      </c>
      <c r="M198" s="38">
        <v>5.8301846598872095E-4</v>
      </c>
      <c r="N198" s="38">
        <v>1.1331444759206799E-2</v>
      </c>
      <c r="O198" s="38">
        <v>4.7830543218312302E-3</v>
      </c>
    </row>
    <row r="199" spans="1:15">
      <c r="A199" t="s">
        <v>106</v>
      </c>
      <c r="B199" t="s">
        <v>150</v>
      </c>
      <c r="C199" t="s">
        <v>40</v>
      </c>
      <c r="D199">
        <v>179012</v>
      </c>
      <c r="E199">
        <v>89</v>
      </c>
      <c r="F199">
        <v>12542</v>
      </c>
      <c r="G199">
        <v>2922</v>
      </c>
      <c r="I199">
        <v>262</v>
      </c>
      <c r="J199">
        <v>356764</v>
      </c>
      <c r="K199">
        <v>353</v>
      </c>
      <c r="L199">
        <v>5854</v>
      </c>
      <c r="M199" s="38">
        <v>0.50176587323833099</v>
      </c>
      <c r="N199" s="38">
        <v>0.25212464589235101</v>
      </c>
      <c r="O199" s="38">
        <v>0.49914588315681602</v>
      </c>
    </row>
    <row r="200" spans="1:15">
      <c r="A200" t="s">
        <v>104</v>
      </c>
      <c r="B200" t="s">
        <v>150</v>
      </c>
      <c r="C200" t="s">
        <v>55</v>
      </c>
      <c r="D200">
        <v>2912</v>
      </c>
      <c r="E200">
        <v>14</v>
      </c>
      <c r="F200">
        <v>8527</v>
      </c>
      <c r="G200">
        <v>126</v>
      </c>
      <c r="I200">
        <v>262</v>
      </c>
      <c r="J200">
        <v>356764</v>
      </c>
      <c r="K200">
        <v>353</v>
      </c>
      <c r="L200">
        <v>5854</v>
      </c>
      <c r="M200" s="38">
        <v>8.1622585238420899E-3</v>
      </c>
      <c r="N200" s="38">
        <v>3.9660056657223802E-2</v>
      </c>
      <c r="O200" s="38">
        <v>2.1523744448240501E-2</v>
      </c>
    </row>
    <row r="201" spans="1:15">
      <c r="A201" t="s">
        <v>104</v>
      </c>
      <c r="B201" t="s">
        <v>150</v>
      </c>
      <c r="C201" t="s">
        <v>56</v>
      </c>
      <c r="D201">
        <v>13195</v>
      </c>
      <c r="E201">
        <v>16</v>
      </c>
      <c r="F201">
        <v>13131</v>
      </c>
      <c r="G201">
        <v>328</v>
      </c>
      <c r="I201">
        <v>262</v>
      </c>
      <c r="J201">
        <v>356764</v>
      </c>
      <c r="K201">
        <v>353</v>
      </c>
      <c r="L201">
        <v>5854</v>
      </c>
      <c r="M201" s="38">
        <v>3.6985233936159503E-2</v>
      </c>
      <c r="N201" s="38">
        <v>4.5325779036827198E-2</v>
      </c>
      <c r="O201" s="38">
        <v>5.6030064912880102E-2</v>
      </c>
    </row>
    <row r="202" spans="1:15">
      <c r="A202" t="s">
        <v>104</v>
      </c>
      <c r="B202" t="s">
        <v>150</v>
      </c>
      <c r="C202" t="s">
        <v>73</v>
      </c>
      <c r="D202">
        <v>15287</v>
      </c>
      <c r="E202">
        <v>5</v>
      </c>
      <c r="F202">
        <v>6541</v>
      </c>
      <c r="G202">
        <v>125</v>
      </c>
      <c r="I202">
        <v>262</v>
      </c>
      <c r="J202">
        <v>356764</v>
      </c>
      <c r="K202">
        <v>353</v>
      </c>
      <c r="L202">
        <v>5854</v>
      </c>
      <c r="M202" s="38">
        <v>4.28490542767768E-2</v>
      </c>
      <c r="N202" s="38">
        <v>1.4164305949008501E-2</v>
      </c>
      <c r="O202" s="38">
        <v>2.1352921079603699E-2</v>
      </c>
    </row>
    <row r="203" spans="1:15">
      <c r="A203" t="s">
        <v>103</v>
      </c>
      <c r="B203" t="s">
        <v>150</v>
      </c>
      <c r="C203" t="s">
        <v>47</v>
      </c>
      <c r="D203">
        <v>2853</v>
      </c>
      <c r="E203">
        <v>13</v>
      </c>
      <c r="F203">
        <v>6202</v>
      </c>
      <c r="G203">
        <v>91</v>
      </c>
      <c r="I203">
        <v>262</v>
      </c>
      <c r="J203">
        <v>356764</v>
      </c>
      <c r="K203">
        <v>353</v>
      </c>
      <c r="L203">
        <v>5854</v>
      </c>
      <c r="M203" s="38">
        <v>7.9968830935856806E-3</v>
      </c>
      <c r="N203" s="38">
        <v>3.6827195467422101E-2</v>
      </c>
      <c r="O203" s="38">
        <v>1.55449265459515E-2</v>
      </c>
    </row>
    <row r="204" spans="1:15">
      <c r="A204" t="s">
        <v>106</v>
      </c>
      <c r="B204" t="s">
        <v>98</v>
      </c>
      <c r="C204" t="s">
        <v>40</v>
      </c>
      <c r="D204">
        <v>207757</v>
      </c>
      <c r="E204">
        <v>45</v>
      </c>
      <c r="F204">
        <v>7140</v>
      </c>
      <c r="G204">
        <v>2471</v>
      </c>
      <c r="I204">
        <v>271</v>
      </c>
      <c r="J204">
        <v>333347</v>
      </c>
      <c r="K204">
        <v>207</v>
      </c>
      <c r="L204">
        <v>4447</v>
      </c>
      <c r="M204" s="38">
        <v>0.62324544693667605</v>
      </c>
      <c r="N204" s="38">
        <v>0.217391304347826</v>
      </c>
      <c r="O204" s="38">
        <v>0.55565549808859904</v>
      </c>
    </row>
    <row r="205" spans="1:15">
      <c r="A205" t="s">
        <v>104</v>
      </c>
      <c r="B205" t="s">
        <v>98</v>
      </c>
      <c r="C205" t="s">
        <v>70</v>
      </c>
      <c r="D205">
        <v>900</v>
      </c>
      <c r="E205">
        <v>1</v>
      </c>
      <c r="F205">
        <v>8132</v>
      </c>
      <c r="G205">
        <v>12</v>
      </c>
      <c r="I205">
        <v>271</v>
      </c>
      <c r="J205">
        <v>333347</v>
      </c>
      <c r="K205">
        <v>207</v>
      </c>
      <c r="L205">
        <v>4447</v>
      </c>
      <c r="M205" s="38">
        <v>2.6998893045385099E-3</v>
      </c>
      <c r="N205" s="38">
        <v>4.8309178743961402E-3</v>
      </c>
      <c r="O205" s="38">
        <v>2.6984483921744999E-3</v>
      </c>
    </row>
    <row r="206" spans="1:15">
      <c r="A206" t="s">
        <v>107</v>
      </c>
      <c r="B206" t="s">
        <v>98</v>
      </c>
      <c r="C206" t="s">
        <v>77</v>
      </c>
      <c r="D206">
        <v>14305</v>
      </c>
      <c r="E206">
        <v>12</v>
      </c>
      <c r="F206">
        <v>10293</v>
      </c>
      <c r="G206">
        <v>233</v>
      </c>
      <c r="I206">
        <v>271</v>
      </c>
      <c r="J206">
        <v>333347</v>
      </c>
      <c r="K206">
        <v>207</v>
      </c>
      <c r="L206">
        <v>4447</v>
      </c>
      <c r="M206" s="38">
        <v>4.2913240557137203E-2</v>
      </c>
      <c r="N206" s="38">
        <v>5.7971014492753603E-2</v>
      </c>
      <c r="O206" s="38">
        <v>5.2394872948054901E-2</v>
      </c>
    </row>
    <row r="207" spans="1:15">
      <c r="A207" t="s">
        <v>107</v>
      </c>
      <c r="B207" t="s">
        <v>98</v>
      </c>
      <c r="C207" t="s">
        <v>53</v>
      </c>
      <c r="D207">
        <v>811</v>
      </c>
      <c r="E207">
        <v>3</v>
      </c>
      <c r="F207">
        <v>7995</v>
      </c>
      <c r="G207">
        <v>27</v>
      </c>
      <c r="I207">
        <v>271</v>
      </c>
      <c r="J207">
        <v>333347</v>
      </c>
      <c r="K207">
        <v>207</v>
      </c>
      <c r="L207">
        <v>4447</v>
      </c>
      <c r="M207" s="38">
        <v>2.4329002510897102E-3</v>
      </c>
      <c r="N207" s="38">
        <v>1.4492753623188401E-2</v>
      </c>
      <c r="O207" s="38">
        <v>6.0715088823926197E-3</v>
      </c>
    </row>
    <row r="208" spans="1:15">
      <c r="A208" t="s">
        <v>104</v>
      </c>
      <c r="B208" t="s">
        <v>98</v>
      </c>
      <c r="C208" t="s">
        <v>56</v>
      </c>
      <c r="D208">
        <v>12594</v>
      </c>
      <c r="E208">
        <v>19</v>
      </c>
      <c r="F208">
        <v>12151</v>
      </c>
      <c r="G208">
        <v>226</v>
      </c>
      <c r="I208">
        <v>271</v>
      </c>
      <c r="J208">
        <v>333347</v>
      </c>
      <c r="K208">
        <v>207</v>
      </c>
      <c r="L208">
        <v>4447</v>
      </c>
      <c r="M208" s="38">
        <v>3.7780451001508897E-2</v>
      </c>
      <c r="N208" s="38">
        <v>9.1787439613526603E-2</v>
      </c>
      <c r="O208" s="38">
        <v>5.0820778052619697E-2</v>
      </c>
    </row>
    <row r="209" spans="1:15">
      <c r="A209" t="s">
        <v>104</v>
      </c>
      <c r="B209" t="s">
        <v>98</v>
      </c>
      <c r="C209" t="s">
        <v>55</v>
      </c>
      <c r="D209">
        <v>6781</v>
      </c>
      <c r="E209">
        <v>20</v>
      </c>
      <c r="F209">
        <v>5033</v>
      </c>
      <c r="G209">
        <v>133</v>
      </c>
      <c r="I209">
        <v>271</v>
      </c>
      <c r="J209">
        <v>333347</v>
      </c>
      <c r="K209">
        <v>207</v>
      </c>
      <c r="L209">
        <v>4447</v>
      </c>
      <c r="M209" s="38">
        <v>2.03421659711952E-2</v>
      </c>
      <c r="N209" s="38">
        <v>9.6618357487922704E-2</v>
      </c>
      <c r="O209" s="38">
        <v>2.9907803013267401E-2</v>
      </c>
    </row>
    <row r="210" spans="1:15">
      <c r="A210" t="s">
        <v>15</v>
      </c>
      <c r="B210" t="s">
        <v>98</v>
      </c>
      <c r="C210" t="s">
        <v>45</v>
      </c>
      <c r="D210">
        <v>30056</v>
      </c>
      <c r="E210">
        <v>31</v>
      </c>
      <c r="F210">
        <v>7140</v>
      </c>
      <c r="G210">
        <v>448</v>
      </c>
      <c r="I210">
        <v>271</v>
      </c>
      <c r="J210">
        <v>333347</v>
      </c>
      <c r="K210">
        <v>207</v>
      </c>
      <c r="L210">
        <v>4447</v>
      </c>
      <c r="M210" s="38">
        <v>9.0164303263566198E-2</v>
      </c>
      <c r="N210" s="38">
        <v>0.14975845410628</v>
      </c>
      <c r="O210" s="38">
        <v>0.100742073307848</v>
      </c>
    </row>
    <row r="211" spans="1:15">
      <c r="A211" t="s">
        <v>103</v>
      </c>
      <c r="B211" t="s">
        <v>98</v>
      </c>
      <c r="C211" t="s">
        <v>47</v>
      </c>
      <c r="D211">
        <v>940</v>
      </c>
      <c r="E211">
        <v>3</v>
      </c>
      <c r="F211">
        <v>6160</v>
      </c>
      <c r="G211">
        <v>23</v>
      </c>
      <c r="I211">
        <v>271</v>
      </c>
      <c r="J211">
        <v>333347</v>
      </c>
      <c r="K211">
        <v>207</v>
      </c>
      <c r="L211">
        <v>4447</v>
      </c>
      <c r="M211" s="38">
        <v>2.8198843847402301E-3</v>
      </c>
      <c r="N211" s="38">
        <v>1.4492753623188401E-2</v>
      </c>
      <c r="O211" s="38">
        <v>5.1720260850011204E-3</v>
      </c>
    </row>
    <row r="212" spans="1:15">
      <c r="A212" t="s">
        <v>103</v>
      </c>
      <c r="B212" t="s">
        <v>98</v>
      </c>
      <c r="C212" t="s">
        <v>42</v>
      </c>
      <c r="D212">
        <v>18885</v>
      </c>
      <c r="E212">
        <v>7</v>
      </c>
      <c r="F212">
        <v>5917</v>
      </c>
      <c r="G212">
        <v>250</v>
      </c>
      <c r="I212">
        <v>271</v>
      </c>
      <c r="J212">
        <v>333347</v>
      </c>
      <c r="K212">
        <v>207</v>
      </c>
      <c r="L212">
        <v>4447</v>
      </c>
      <c r="M212" s="38">
        <v>5.66526772402332E-2</v>
      </c>
      <c r="N212" s="38">
        <v>3.3816425120772903E-2</v>
      </c>
      <c r="O212" s="38">
        <v>5.6217674836968698E-2</v>
      </c>
    </row>
    <row r="213" spans="1:15">
      <c r="A213" t="s">
        <v>107</v>
      </c>
      <c r="B213" t="s">
        <v>98</v>
      </c>
      <c r="C213" t="s">
        <v>46</v>
      </c>
      <c r="D213">
        <v>11323</v>
      </c>
      <c r="E213">
        <v>28</v>
      </c>
      <c r="F213">
        <v>7425</v>
      </c>
      <c r="G213">
        <v>191</v>
      </c>
      <c r="I213">
        <v>271</v>
      </c>
      <c r="J213">
        <v>333347</v>
      </c>
      <c r="K213">
        <v>207</v>
      </c>
      <c r="L213">
        <v>4447</v>
      </c>
      <c r="M213" s="38">
        <v>3.39676073280996E-2</v>
      </c>
      <c r="N213" s="38">
        <v>0.135265700483092</v>
      </c>
      <c r="O213" s="38">
        <v>4.2950303575444097E-2</v>
      </c>
    </row>
    <row r="214" spans="1:15">
      <c r="A214" t="s">
        <v>103</v>
      </c>
      <c r="B214" t="s">
        <v>98</v>
      </c>
      <c r="C214" t="s">
        <v>59</v>
      </c>
      <c r="D214">
        <v>28995</v>
      </c>
      <c r="E214">
        <v>38</v>
      </c>
      <c r="F214">
        <v>8490</v>
      </c>
      <c r="G214">
        <v>433</v>
      </c>
      <c r="I214">
        <v>271</v>
      </c>
      <c r="J214">
        <v>333347</v>
      </c>
      <c r="K214">
        <v>207</v>
      </c>
      <c r="L214">
        <v>4447</v>
      </c>
      <c r="M214" s="38">
        <v>8.6981433761215796E-2</v>
      </c>
      <c r="N214" s="38">
        <v>0.18357487922705301</v>
      </c>
      <c r="O214" s="38">
        <v>9.7369012817629899E-2</v>
      </c>
    </row>
    <row r="215" spans="1:15">
      <c r="A215" t="s">
        <v>14</v>
      </c>
      <c r="B215" t="s">
        <v>149</v>
      </c>
      <c r="C215" t="s">
        <v>146</v>
      </c>
      <c r="D215">
        <v>384</v>
      </c>
      <c r="E215">
        <v>1</v>
      </c>
      <c r="F215">
        <v>4000</v>
      </c>
      <c r="G215">
        <v>768</v>
      </c>
      <c r="H215" t="s">
        <v>152</v>
      </c>
      <c r="I215">
        <v>261</v>
      </c>
      <c r="J215">
        <v>298671</v>
      </c>
      <c r="K215">
        <v>225</v>
      </c>
      <c r="L215">
        <v>4320</v>
      </c>
      <c r="M215" s="38">
        <v>1.2856956316482E-3</v>
      </c>
      <c r="N215" s="38">
        <v>4.4444444444444401E-3</v>
      </c>
      <c r="O215" s="38">
        <v>0.17777777777777801</v>
      </c>
    </row>
    <row r="216" spans="1:15">
      <c r="A216" t="s">
        <v>107</v>
      </c>
      <c r="B216" t="s">
        <v>150</v>
      </c>
      <c r="C216" t="s">
        <v>46</v>
      </c>
      <c r="D216">
        <v>20689</v>
      </c>
      <c r="E216">
        <v>37</v>
      </c>
      <c r="F216">
        <v>9594</v>
      </c>
      <c r="G216">
        <v>366</v>
      </c>
      <c r="H216" t="s">
        <v>153</v>
      </c>
      <c r="I216">
        <v>262</v>
      </c>
      <c r="J216">
        <v>356764</v>
      </c>
      <c r="K216">
        <v>353</v>
      </c>
      <c r="L216">
        <v>5854</v>
      </c>
      <c r="M216" s="38">
        <v>5.7990716552118501E-2</v>
      </c>
      <c r="N216" s="38">
        <v>0.10481586402266301</v>
      </c>
      <c r="O216" s="38">
        <v>6.2521352921079604E-2</v>
      </c>
    </row>
    <row r="217" spans="1:15">
      <c r="A217" t="s">
        <v>107</v>
      </c>
      <c r="B217" t="s">
        <v>150</v>
      </c>
      <c r="C217" t="s">
        <v>77</v>
      </c>
      <c r="D217">
        <v>27289</v>
      </c>
      <c r="E217">
        <v>33</v>
      </c>
      <c r="F217">
        <v>12716</v>
      </c>
      <c r="G217">
        <v>511</v>
      </c>
      <c r="H217" t="s">
        <v>154</v>
      </c>
      <c r="I217">
        <v>262</v>
      </c>
      <c r="J217">
        <v>356764</v>
      </c>
      <c r="K217">
        <v>353</v>
      </c>
      <c r="L217">
        <v>5854</v>
      </c>
      <c r="M217" s="38">
        <v>7.6490340953683594E-2</v>
      </c>
      <c r="N217" s="38">
        <v>9.3484419263456103E-2</v>
      </c>
      <c r="O217" s="38">
        <v>8.7290741373419897E-2</v>
      </c>
    </row>
    <row r="218" spans="1:15">
      <c r="A218" t="s">
        <v>103</v>
      </c>
      <c r="B218" t="s">
        <v>150</v>
      </c>
      <c r="C218" t="s">
        <v>59</v>
      </c>
      <c r="D218">
        <v>36373</v>
      </c>
      <c r="E218">
        <v>56</v>
      </c>
      <c r="F218">
        <v>10630</v>
      </c>
      <c r="G218">
        <v>529</v>
      </c>
      <c r="H218" t="s">
        <v>155</v>
      </c>
      <c r="I218">
        <v>262</v>
      </c>
      <c r="J218">
        <v>356764</v>
      </c>
      <c r="K218">
        <v>353</v>
      </c>
      <c r="L218">
        <v>5854</v>
      </c>
      <c r="M218" s="38">
        <v>0.101952551266383</v>
      </c>
      <c r="N218" s="38">
        <v>0.15864022662889499</v>
      </c>
      <c r="O218" s="38">
        <v>9.0365562008882794E-2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560D-74D1-481C-9B7C-A0A211D81471}">
  <dimension ref="A1:DQ16"/>
  <sheetViews>
    <sheetView zoomScaleNormal="100" zoomScaleSheetLayoutView="40" workbookViewId="0">
      <selection activeCell="A2" sqref="A2:B2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43" t="s">
        <v>157</v>
      </c>
      <c r="B2" s="40" t="s">
        <v>119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16" si="0">$B$2</f>
        <v>Thuan</v>
      </c>
      <c r="B4" s="2" t="s">
        <v>120</v>
      </c>
      <c r="C4" s="2" t="s">
        <v>60</v>
      </c>
      <c r="D4" s="39">
        <v>1581</v>
      </c>
      <c r="E4" s="2">
        <v>8</v>
      </c>
      <c r="F4" s="39">
        <v>14044</v>
      </c>
      <c r="G4" s="2">
        <v>53</v>
      </c>
      <c r="H4" s="53"/>
    </row>
    <row r="5" spans="1:121">
      <c r="A5" s="1" t="str">
        <f t="shared" si="0"/>
        <v>Thuan</v>
      </c>
      <c r="B5" s="2" t="s">
        <v>120</v>
      </c>
      <c r="C5" s="2" t="s">
        <v>128</v>
      </c>
      <c r="D5" s="2">
        <v>345</v>
      </c>
      <c r="E5" s="2">
        <v>5</v>
      </c>
      <c r="F5" s="39">
        <v>12127</v>
      </c>
      <c r="G5" s="2">
        <v>11</v>
      </c>
      <c r="H5" s="53"/>
    </row>
    <row r="6" spans="1:121">
      <c r="A6" s="1" t="str">
        <f t="shared" si="0"/>
        <v>Thuan</v>
      </c>
      <c r="B6" s="2" t="s">
        <v>129</v>
      </c>
      <c r="C6" s="2" t="s">
        <v>60</v>
      </c>
      <c r="D6" s="2">
        <v>400</v>
      </c>
      <c r="E6" s="2">
        <v>2</v>
      </c>
      <c r="F6" s="2">
        <v>18205</v>
      </c>
      <c r="G6" s="2">
        <v>7</v>
      </c>
      <c r="H6" s="53"/>
    </row>
    <row r="7" spans="1:121">
      <c r="A7" s="1" t="str">
        <f t="shared" si="0"/>
        <v>Thuan</v>
      </c>
      <c r="B7" s="2" t="s">
        <v>130</v>
      </c>
      <c r="C7" s="2" t="s">
        <v>60</v>
      </c>
      <c r="D7" s="2">
        <v>3679</v>
      </c>
      <c r="E7" s="2">
        <v>14</v>
      </c>
      <c r="F7" s="2">
        <v>12050</v>
      </c>
      <c r="G7" s="2">
        <v>100</v>
      </c>
      <c r="H7" s="53"/>
    </row>
    <row r="8" spans="1:121">
      <c r="A8" s="1" t="str">
        <f t="shared" si="0"/>
        <v>Thuan</v>
      </c>
      <c r="B8" s="2" t="s">
        <v>130</v>
      </c>
      <c r="C8" s="2" t="s">
        <v>128</v>
      </c>
      <c r="D8" s="2">
        <v>250</v>
      </c>
      <c r="E8" s="2">
        <v>2</v>
      </c>
      <c r="F8" s="2">
        <v>11428</v>
      </c>
      <c r="G8" s="2">
        <v>7</v>
      </c>
      <c r="H8" s="53"/>
    </row>
    <row r="9" spans="1:121">
      <c r="A9" s="1" t="str">
        <f t="shared" si="0"/>
        <v>Thuan</v>
      </c>
      <c r="B9" s="2" t="s">
        <v>132</v>
      </c>
      <c r="C9" s="2" t="s">
        <v>58</v>
      </c>
      <c r="D9" s="2">
        <v>2888</v>
      </c>
      <c r="E9" s="2">
        <v>5</v>
      </c>
      <c r="F9" s="39">
        <v>6212</v>
      </c>
      <c r="G9" s="2">
        <v>45</v>
      </c>
      <c r="H9" s="53"/>
    </row>
    <row r="10" spans="1:121">
      <c r="A10" s="1" t="str">
        <f t="shared" si="0"/>
        <v>Thuan</v>
      </c>
      <c r="B10" s="2" t="s">
        <v>132</v>
      </c>
      <c r="C10" s="2" t="s">
        <v>60</v>
      </c>
      <c r="D10" s="2">
        <v>3831</v>
      </c>
      <c r="E10" s="2">
        <v>14</v>
      </c>
      <c r="F10" s="39">
        <v>9149</v>
      </c>
      <c r="G10" s="2">
        <v>98</v>
      </c>
      <c r="H10" s="53"/>
    </row>
    <row r="11" spans="1:121">
      <c r="A11" s="1" t="str">
        <f t="shared" si="0"/>
        <v>Thuan</v>
      </c>
      <c r="B11" s="2" t="s">
        <v>134</v>
      </c>
      <c r="C11" s="2" t="s">
        <v>47</v>
      </c>
      <c r="D11" s="2">
        <v>355</v>
      </c>
      <c r="E11" s="2">
        <v>3</v>
      </c>
      <c r="F11" s="39">
        <v>6149</v>
      </c>
      <c r="G11" s="2">
        <v>11</v>
      </c>
      <c r="H11" s="53"/>
    </row>
    <row r="12" spans="1:121">
      <c r="A12" s="1" t="str">
        <f t="shared" si="0"/>
        <v>Thuan</v>
      </c>
      <c r="B12" s="2" t="s">
        <v>134</v>
      </c>
      <c r="C12" s="2" t="s">
        <v>52</v>
      </c>
      <c r="D12" s="39">
        <v>2596</v>
      </c>
      <c r="E12" s="2">
        <v>7</v>
      </c>
      <c r="F12" s="39">
        <v>5800</v>
      </c>
      <c r="G12" s="2">
        <v>40</v>
      </c>
      <c r="H12" s="53"/>
    </row>
    <row r="13" spans="1:121">
      <c r="A13" s="1" t="str">
        <f t="shared" si="0"/>
        <v>Thuan</v>
      </c>
      <c r="B13" s="2" t="s">
        <v>134</v>
      </c>
      <c r="C13" s="2" t="s">
        <v>54</v>
      </c>
      <c r="D13" s="39">
        <v>34077</v>
      </c>
      <c r="E13" s="2">
        <v>11</v>
      </c>
      <c r="F13" s="39">
        <v>4182</v>
      </c>
      <c r="G13" s="2">
        <v>231</v>
      </c>
      <c r="H13" s="53"/>
    </row>
    <row r="14" spans="1:121">
      <c r="A14" s="1" t="str">
        <f t="shared" si="0"/>
        <v>Thuan</v>
      </c>
      <c r="B14" s="2" t="s">
        <v>134</v>
      </c>
      <c r="C14" s="2" t="s">
        <v>60</v>
      </c>
      <c r="D14" s="39">
        <v>1469</v>
      </c>
      <c r="E14" s="2">
        <v>9</v>
      </c>
      <c r="F14" s="39">
        <v>12491</v>
      </c>
      <c r="G14" s="2">
        <v>60</v>
      </c>
      <c r="H14" s="53"/>
    </row>
    <row r="15" spans="1:121">
      <c r="A15" s="1" t="str">
        <f t="shared" si="0"/>
        <v>Thuan</v>
      </c>
      <c r="B15" s="2" t="s">
        <v>138</v>
      </c>
      <c r="C15" s="2" t="s">
        <v>58</v>
      </c>
      <c r="D15" s="39">
        <v>2888</v>
      </c>
      <c r="E15" s="2">
        <v>5</v>
      </c>
      <c r="F15" s="39">
        <v>6223</v>
      </c>
      <c r="G15" s="2">
        <v>43</v>
      </c>
      <c r="H15" s="53"/>
    </row>
    <row r="16" spans="1:121">
      <c r="A16" s="1" t="str">
        <f t="shared" si="0"/>
        <v>Thuan</v>
      </c>
      <c r="B16" s="2" t="s">
        <v>138</v>
      </c>
      <c r="C16" s="2" t="s">
        <v>60</v>
      </c>
      <c r="D16" s="2">
        <v>666</v>
      </c>
      <c r="E16" s="2">
        <v>4</v>
      </c>
      <c r="F16" s="39">
        <v>10460</v>
      </c>
      <c r="G16" s="2">
        <v>30</v>
      </c>
      <c r="H16" s="53"/>
    </row>
  </sheetData>
  <dataValidations count="1">
    <dataValidation type="list" allowBlank="1" showInputMessage="1" showErrorMessage="1" sqref="C4:C16" xr:uid="{47A3D867-7C7E-4763-B9C3-6CCD3BECC5AC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B85C-2598-427F-903F-F18F81AE2B61}">
  <dimension ref="A1:DQ16"/>
  <sheetViews>
    <sheetView zoomScaleNormal="100" zoomScaleSheetLayoutView="40" workbookViewId="0">
      <selection activeCell="A11" sqref="A11:H11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43" t="s">
        <v>157</v>
      </c>
      <c r="B2" s="40" t="s">
        <v>124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16" si="0">$B$2</f>
        <v>Phong</v>
      </c>
      <c r="B4" s="2" t="s">
        <v>120</v>
      </c>
      <c r="C4" s="2">
        <v>241</v>
      </c>
      <c r="D4" s="2">
        <v>278</v>
      </c>
      <c r="E4" s="2">
        <v>1</v>
      </c>
      <c r="F4" s="39">
        <v>19068</v>
      </c>
      <c r="G4" s="2">
        <v>8</v>
      </c>
      <c r="H4" s="53"/>
    </row>
    <row r="5" spans="1:121">
      <c r="A5" s="1" t="str">
        <f t="shared" si="0"/>
        <v>Phong</v>
      </c>
      <c r="B5" s="2" t="s">
        <v>120</v>
      </c>
      <c r="C5" s="2" t="s">
        <v>126</v>
      </c>
      <c r="D5" s="39">
        <v>20226</v>
      </c>
      <c r="E5" s="2">
        <v>6</v>
      </c>
      <c r="F5" s="39">
        <v>5953</v>
      </c>
      <c r="G5" s="2">
        <v>179</v>
      </c>
      <c r="H5" s="53"/>
    </row>
    <row r="6" spans="1:121">
      <c r="A6" s="1" t="str">
        <f t="shared" si="0"/>
        <v>Phong</v>
      </c>
      <c r="B6" s="2" t="s">
        <v>120</v>
      </c>
      <c r="C6" s="2" t="s">
        <v>125</v>
      </c>
      <c r="D6" s="2">
        <v>914</v>
      </c>
      <c r="E6" s="2">
        <v>3</v>
      </c>
      <c r="F6" s="39">
        <v>5925</v>
      </c>
      <c r="G6" s="2">
        <v>32</v>
      </c>
      <c r="H6" s="53"/>
    </row>
    <row r="7" spans="1:121">
      <c r="A7" s="1" t="str">
        <f t="shared" si="0"/>
        <v>Phong</v>
      </c>
      <c r="B7" s="2" t="s">
        <v>129</v>
      </c>
      <c r="C7" s="2" t="s">
        <v>125</v>
      </c>
      <c r="D7" s="2">
        <v>548</v>
      </c>
      <c r="E7" s="2">
        <v>1</v>
      </c>
      <c r="F7" s="2">
        <v>4911</v>
      </c>
      <c r="G7" s="2">
        <v>7</v>
      </c>
      <c r="H7" s="53"/>
    </row>
    <row r="8" spans="1:121">
      <c r="A8" s="1" t="str">
        <f t="shared" si="0"/>
        <v>Phong</v>
      </c>
      <c r="B8" s="2" t="s">
        <v>129</v>
      </c>
      <c r="C8" s="2" t="s">
        <v>64</v>
      </c>
      <c r="D8" s="39">
        <v>3782</v>
      </c>
      <c r="E8" s="2">
        <v>3</v>
      </c>
      <c r="F8" s="39">
        <v>4883</v>
      </c>
      <c r="G8" s="2">
        <v>33</v>
      </c>
      <c r="H8" s="53"/>
    </row>
    <row r="9" spans="1:121">
      <c r="A9" s="1" t="str">
        <f t="shared" si="0"/>
        <v>Phong</v>
      </c>
      <c r="B9" s="2" t="s">
        <v>129</v>
      </c>
      <c r="C9" s="2" t="s">
        <v>65</v>
      </c>
      <c r="D9" s="39">
        <v>5400</v>
      </c>
      <c r="E9" s="2">
        <v>2</v>
      </c>
      <c r="F9" s="39">
        <v>7214</v>
      </c>
      <c r="G9" s="2">
        <v>59</v>
      </c>
      <c r="H9" s="53"/>
    </row>
    <row r="10" spans="1:121">
      <c r="A10" s="1" t="str">
        <f t="shared" si="0"/>
        <v>Phong</v>
      </c>
      <c r="B10" s="2" t="s">
        <v>130</v>
      </c>
      <c r="C10" s="2" t="s">
        <v>65</v>
      </c>
      <c r="D10" s="39">
        <v>16154</v>
      </c>
      <c r="E10" s="2">
        <v>4</v>
      </c>
      <c r="F10" s="39">
        <v>5378</v>
      </c>
      <c r="G10" s="2">
        <v>117</v>
      </c>
      <c r="H10" s="53"/>
    </row>
    <row r="11" spans="1:121">
      <c r="A11" s="1" t="str">
        <f t="shared" si="0"/>
        <v>Phong</v>
      </c>
      <c r="B11" s="2" t="s">
        <v>132</v>
      </c>
      <c r="C11" s="2">
        <v>241</v>
      </c>
      <c r="D11" s="39">
        <v>1050</v>
      </c>
      <c r="E11" s="2">
        <v>2</v>
      </c>
      <c r="F11" s="39">
        <v>6520</v>
      </c>
      <c r="G11" s="2">
        <v>39</v>
      </c>
      <c r="H11" s="53"/>
    </row>
    <row r="12" spans="1:121">
      <c r="A12" s="1" t="str">
        <f t="shared" si="0"/>
        <v>Phong</v>
      </c>
      <c r="B12" s="2" t="s">
        <v>132</v>
      </c>
      <c r="C12" s="2" t="s">
        <v>62</v>
      </c>
      <c r="D12" s="39">
        <v>18185</v>
      </c>
      <c r="E12" s="2">
        <v>6</v>
      </c>
      <c r="F12" s="39">
        <v>5665</v>
      </c>
      <c r="G12" s="2">
        <v>265</v>
      </c>
      <c r="H12" s="53"/>
    </row>
    <row r="13" spans="1:121">
      <c r="A13" s="1" t="str">
        <f t="shared" si="0"/>
        <v>Phong</v>
      </c>
      <c r="B13" s="2" t="s">
        <v>134</v>
      </c>
      <c r="C13" s="2">
        <v>241</v>
      </c>
      <c r="D13" s="2">
        <v>250</v>
      </c>
      <c r="E13" s="2">
        <v>2</v>
      </c>
      <c r="F13" s="39">
        <v>16534</v>
      </c>
      <c r="G13" s="2">
        <v>12</v>
      </c>
      <c r="H13" s="53"/>
    </row>
    <row r="14" spans="1:121">
      <c r="A14" s="1" t="str">
        <f t="shared" si="0"/>
        <v>Phong</v>
      </c>
      <c r="B14" s="2" t="s">
        <v>134</v>
      </c>
      <c r="C14" s="2" t="s">
        <v>62</v>
      </c>
      <c r="D14" s="39">
        <v>12276</v>
      </c>
      <c r="E14" s="2">
        <v>15</v>
      </c>
      <c r="F14" s="39">
        <v>5959</v>
      </c>
      <c r="G14" s="2">
        <v>177</v>
      </c>
      <c r="H14" s="53"/>
    </row>
    <row r="15" spans="1:121">
      <c r="A15" s="1" t="str">
        <f t="shared" si="0"/>
        <v>Phong</v>
      </c>
      <c r="B15" s="2" t="s">
        <v>138</v>
      </c>
      <c r="C15" s="2">
        <v>241</v>
      </c>
      <c r="D15" s="2">
        <v>821</v>
      </c>
      <c r="E15" s="2">
        <v>6</v>
      </c>
      <c r="F15" s="39">
        <v>4593</v>
      </c>
      <c r="G15" s="2">
        <v>17</v>
      </c>
      <c r="H15" s="53"/>
    </row>
    <row r="16" spans="1:121">
      <c r="A16" s="1" t="str">
        <f t="shared" si="0"/>
        <v>Phong</v>
      </c>
      <c r="B16" s="2" t="s">
        <v>138</v>
      </c>
      <c r="C16" s="2" t="s">
        <v>62</v>
      </c>
      <c r="D16" s="39">
        <v>7355</v>
      </c>
      <c r="E16" s="2">
        <v>10</v>
      </c>
      <c r="F16" s="39">
        <v>6215</v>
      </c>
      <c r="G16" s="2">
        <v>91</v>
      </c>
      <c r="H16" s="53"/>
    </row>
  </sheetData>
  <dataValidations count="1">
    <dataValidation type="list" allowBlank="1" showInputMessage="1" showErrorMessage="1" sqref="C4:C16" xr:uid="{EFEBCDE5-DD86-4681-B138-E1D8428292C3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ignoredErrors>
    <ignoredError sqref="C5" listDataValidatio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162C-B552-41A4-8963-D0E92972067F}">
  <dimension ref="A1:DQ56"/>
  <sheetViews>
    <sheetView topLeftCell="A20" zoomScaleNormal="100" zoomScaleSheetLayoutView="40" workbookViewId="0">
      <selection activeCell="A53" sqref="A53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31.10937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42" t="s">
        <v>157</v>
      </c>
      <c r="B2" s="40" t="s">
        <v>103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40" si="0">$B$2</f>
        <v>Cuong</v>
      </c>
      <c r="B4" s="2" t="s">
        <v>120</v>
      </c>
      <c r="C4" s="2" t="s">
        <v>42</v>
      </c>
      <c r="D4" s="2">
        <v>9350</v>
      </c>
      <c r="E4" s="2">
        <v>18</v>
      </c>
      <c r="F4" s="2">
        <v>4915</v>
      </c>
      <c r="G4" s="2">
        <v>109</v>
      </c>
      <c r="H4" s="53"/>
    </row>
    <row r="5" spans="1:121">
      <c r="A5" s="1" t="str">
        <f t="shared" si="0"/>
        <v>Cuong</v>
      </c>
      <c r="B5" s="2" t="s">
        <v>120</v>
      </c>
      <c r="C5" s="2" t="s">
        <v>59</v>
      </c>
      <c r="D5" s="2">
        <v>8892</v>
      </c>
      <c r="E5" s="2">
        <v>13</v>
      </c>
      <c r="F5" s="2">
        <v>8929</v>
      </c>
      <c r="G5" s="2">
        <v>151</v>
      </c>
      <c r="H5" s="53"/>
    </row>
    <row r="6" spans="1:121">
      <c r="A6" s="1" t="str">
        <f t="shared" si="0"/>
        <v>Cuong</v>
      </c>
      <c r="B6" s="2" t="s">
        <v>120</v>
      </c>
      <c r="C6" s="2" t="s">
        <v>55</v>
      </c>
      <c r="D6" s="2">
        <v>1608</v>
      </c>
      <c r="E6" s="2">
        <v>14</v>
      </c>
      <c r="F6" s="2">
        <v>7919</v>
      </c>
      <c r="G6" s="2">
        <v>41</v>
      </c>
      <c r="H6" s="53"/>
    </row>
    <row r="7" spans="1:121">
      <c r="A7" s="1" t="str">
        <f t="shared" si="0"/>
        <v>Cuong</v>
      </c>
      <c r="B7" s="2" t="s">
        <v>120</v>
      </c>
      <c r="C7" s="2" t="s">
        <v>72</v>
      </c>
      <c r="D7" s="2">
        <v>2000</v>
      </c>
      <c r="E7" s="2">
        <v>1</v>
      </c>
      <c r="F7" s="2">
        <v>4836</v>
      </c>
      <c r="G7" s="2">
        <v>13</v>
      </c>
      <c r="H7" s="53"/>
    </row>
    <row r="8" spans="1:121">
      <c r="A8" s="1" t="str">
        <f t="shared" si="0"/>
        <v>Cuong</v>
      </c>
      <c r="B8" s="2" t="s">
        <v>120</v>
      </c>
      <c r="C8" s="2" t="s">
        <v>61</v>
      </c>
      <c r="D8" s="2">
        <v>50717</v>
      </c>
      <c r="E8" s="2">
        <v>8</v>
      </c>
      <c r="F8" s="2">
        <v>7698</v>
      </c>
      <c r="G8" s="2">
        <v>546</v>
      </c>
      <c r="H8" s="53"/>
    </row>
    <row r="9" spans="1:121">
      <c r="A9" s="1" t="str">
        <f t="shared" si="0"/>
        <v>Cuong</v>
      </c>
      <c r="B9" s="2" t="s">
        <v>129</v>
      </c>
      <c r="C9" s="2" t="s">
        <v>42</v>
      </c>
      <c r="D9" s="39">
        <v>21965</v>
      </c>
      <c r="E9" s="2">
        <v>19</v>
      </c>
      <c r="F9" s="39">
        <v>4604</v>
      </c>
      <c r="G9" s="2">
        <v>169</v>
      </c>
      <c r="H9" s="53"/>
    </row>
    <row r="10" spans="1:121">
      <c r="A10" s="1" t="str">
        <f t="shared" si="0"/>
        <v>Cuong</v>
      </c>
      <c r="B10" s="2" t="s">
        <v>129</v>
      </c>
      <c r="C10" s="2" t="s">
        <v>59</v>
      </c>
      <c r="D10" s="39">
        <v>11214</v>
      </c>
      <c r="E10" s="2">
        <v>19</v>
      </c>
      <c r="F10" s="39">
        <v>8221</v>
      </c>
      <c r="G10" s="2">
        <v>177</v>
      </c>
      <c r="H10" s="53"/>
    </row>
    <row r="11" spans="1:121">
      <c r="A11" s="1" t="str">
        <f t="shared" si="0"/>
        <v>Cuong</v>
      </c>
      <c r="B11" s="2" t="s">
        <v>129</v>
      </c>
      <c r="C11" s="2" t="s">
        <v>55</v>
      </c>
      <c r="D11" s="39">
        <v>5815</v>
      </c>
      <c r="E11" s="2">
        <v>19</v>
      </c>
      <c r="F11" s="39">
        <v>5040</v>
      </c>
      <c r="G11" s="2">
        <v>111</v>
      </c>
      <c r="H11" s="53"/>
    </row>
    <row r="12" spans="1:121">
      <c r="A12" s="1" t="str">
        <f t="shared" si="0"/>
        <v>Cuong</v>
      </c>
      <c r="B12" s="2" t="s">
        <v>129</v>
      </c>
      <c r="C12" s="2" t="s">
        <v>72</v>
      </c>
      <c r="D12" s="2">
        <v>2000</v>
      </c>
      <c r="E12" s="2">
        <v>1</v>
      </c>
      <c r="F12" s="39">
        <v>4836</v>
      </c>
      <c r="G12" s="2">
        <v>16</v>
      </c>
      <c r="H12" s="53"/>
    </row>
    <row r="13" spans="1:121">
      <c r="A13" s="1" t="str">
        <f t="shared" si="0"/>
        <v>Cuong</v>
      </c>
      <c r="B13" s="2" t="s">
        <v>130</v>
      </c>
      <c r="C13" s="2" t="s">
        <v>61</v>
      </c>
      <c r="D13" s="39">
        <v>10763</v>
      </c>
      <c r="E13" s="2">
        <v>4</v>
      </c>
      <c r="F13" s="39">
        <v>6304</v>
      </c>
      <c r="G13" s="2">
        <v>100</v>
      </c>
      <c r="H13" s="53"/>
    </row>
    <row r="14" spans="1:121">
      <c r="A14" s="1" t="str">
        <f t="shared" si="0"/>
        <v>Cuong</v>
      </c>
      <c r="B14" s="2" t="s">
        <v>130</v>
      </c>
      <c r="C14" s="2" t="s">
        <v>72</v>
      </c>
      <c r="D14" s="39">
        <v>9108</v>
      </c>
      <c r="E14" s="2">
        <v>15</v>
      </c>
      <c r="F14" s="39">
        <v>11736</v>
      </c>
      <c r="G14" s="2">
        <v>169</v>
      </c>
      <c r="H14" s="53"/>
    </row>
    <row r="15" spans="1:121">
      <c r="A15" s="1" t="str">
        <f t="shared" si="0"/>
        <v>Cuong</v>
      </c>
      <c r="B15" s="2" t="s">
        <v>132</v>
      </c>
      <c r="C15" s="2" t="s">
        <v>72</v>
      </c>
      <c r="D15" s="39">
        <v>9120</v>
      </c>
      <c r="E15" s="2">
        <v>8</v>
      </c>
      <c r="F15" s="39">
        <v>8636</v>
      </c>
      <c r="G15" s="2">
        <v>226</v>
      </c>
      <c r="H15" s="53"/>
    </row>
    <row r="16" spans="1:121">
      <c r="A16" s="1" t="str">
        <f t="shared" si="0"/>
        <v>Cuong</v>
      </c>
      <c r="B16" s="2" t="s">
        <v>134</v>
      </c>
      <c r="C16" s="2" t="s">
        <v>59</v>
      </c>
      <c r="D16" s="39">
        <v>13557</v>
      </c>
      <c r="E16" s="2">
        <v>30</v>
      </c>
      <c r="F16" s="39">
        <v>10653</v>
      </c>
      <c r="G16" s="2">
        <v>258</v>
      </c>
      <c r="H16" s="53"/>
    </row>
    <row r="17" spans="1:8">
      <c r="A17" s="1" t="str">
        <f t="shared" si="0"/>
        <v>Cuong</v>
      </c>
      <c r="B17" s="2" t="s">
        <v>134</v>
      </c>
      <c r="C17" s="2" t="s">
        <v>61</v>
      </c>
      <c r="D17" s="39">
        <v>30496</v>
      </c>
      <c r="E17" s="2">
        <v>8</v>
      </c>
      <c r="F17" s="39">
        <v>7572</v>
      </c>
      <c r="G17" s="2">
        <v>306</v>
      </c>
      <c r="H17" s="53"/>
    </row>
    <row r="18" spans="1:8">
      <c r="A18" s="1" t="str">
        <f t="shared" si="0"/>
        <v>Cuong</v>
      </c>
      <c r="B18" s="2" t="s">
        <v>138</v>
      </c>
      <c r="C18" s="2" t="s">
        <v>59</v>
      </c>
      <c r="D18" s="39">
        <v>7227</v>
      </c>
      <c r="E18" s="2">
        <v>21</v>
      </c>
      <c r="F18" s="39">
        <v>8693</v>
      </c>
      <c r="G18" s="2">
        <v>160</v>
      </c>
      <c r="H18" s="53"/>
    </row>
    <row r="19" spans="1:8">
      <c r="A19" s="1" t="str">
        <f t="shared" si="0"/>
        <v>Cuong</v>
      </c>
      <c r="B19" s="2" t="s">
        <v>138</v>
      </c>
      <c r="C19" s="2" t="s">
        <v>72</v>
      </c>
      <c r="D19" s="39">
        <v>1701</v>
      </c>
      <c r="E19" s="2">
        <v>1</v>
      </c>
      <c r="F19" s="39">
        <v>4094</v>
      </c>
      <c r="G19" s="2">
        <v>13</v>
      </c>
      <c r="H19" s="53"/>
    </row>
    <row r="20" spans="1:8">
      <c r="A20" s="1" t="str">
        <f>$B$2</f>
        <v>Cuong</v>
      </c>
      <c r="B20" s="2" t="s">
        <v>139</v>
      </c>
      <c r="C20" s="2" t="s">
        <v>54</v>
      </c>
      <c r="D20" s="2">
        <v>16804</v>
      </c>
      <c r="E20" s="2">
        <v>13</v>
      </c>
      <c r="F20" s="2">
        <v>5509</v>
      </c>
      <c r="G20" s="2">
        <v>163</v>
      </c>
      <c r="H20" s="53"/>
    </row>
    <row r="21" spans="1:8">
      <c r="A21" s="1" t="str">
        <f t="shared" si="0"/>
        <v>Cuong</v>
      </c>
      <c r="B21" s="2" t="s">
        <v>139</v>
      </c>
      <c r="C21" s="2" t="s">
        <v>42</v>
      </c>
      <c r="D21" s="39">
        <v>12067</v>
      </c>
      <c r="E21" s="2">
        <v>6</v>
      </c>
      <c r="F21" s="39">
        <v>11194</v>
      </c>
      <c r="G21" s="2">
        <v>53</v>
      </c>
      <c r="H21" s="53"/>
    </row>
    <row r="22" spans="1:8">
      <c r="A22" s="1" t="str">
        <f t="shared" si="0"/>
        <v>Cuong</v>
      </c>
      <c r="B22" s="2" t="s">
        <v>139</v>
      </c>
      <c r="C22" s="2" t="s">
        <v>52</v>
      </c>
      <c r="D22" s="2">
        <v>329</v>
      </c>
      <c r="E22" s="2">
        <v>1</v>
      </c>
      <c r="F22" s="39">
        <v>5259</v>
      </c>
      <c r="G22" s="2">
        <v>5</v>
      </c>
      <c r="H22" s="53"/>
    </row>
    <row r="23" spans="1:8">
      <c r="A23" s="1" t="str">
        <f t="shared" si="0"/>
        <v>Cuong</v>
      </c>
      <c r="B23" s="2" t="s">
        <v>139</v>
      </c>
      <c r="C23" s="2" t="s">
        <v>59</v>
      </c>
      <c r="D23" s="39">
        <v>20674</v>
      </c>
      <c r="E23" s="2">
        <v>31</v>
      </c>
      <c r="F23" s="39">
        <v>9933</v>
      </c>
      <c r="G23" s="2">
        <v>373</v>
      </c>
      <c r="H23" s="53"/>
    </row>
    <row r="24" spans="1:8">
      <c r="A24" s="1" t="str">
        <f t="shared" si="0"/>
        <v>Cuong</v>
      </c>
      <c r="B24" s="2" t="s">
        <v>139</v>
      </c>
      <c r="C24" s="2" t="s">
        <v>61</v>
      </c>
      <c r="D24" s="39">
        <v>6003</v>
      </c>
      <c r="E24" s="2">
        <v>5</v>
      </c>
      <c r="F24" s="39">
        <v>7363</v>
      </c>
      <c r="G24" s="2">
        <v>69</v>
      </c>
      <c r="H24" s="53"/>
    </row>
    <row r="25" spans="1:8">
      <c r="A25" s="1" t="str">
        <f t="shared" si="0"/>
        <v>Cuong</v>
      </c>
      <c r="B25" s="2" t="s">
        <v>139</v>
      </c>
      <c r="C25" s="2">
        <v>241</v>
      </c>
      <c r="D25" s="2">
        <v>150</v>
      </c>
      <c r="E25" s="2">
        <v>1</v>
      </c>
      <c r="F25" s="39">
        <v>16131</v>
      </c>
      <c r="G25" s="2">
        <v>8</v>
      </c>
      <c r="H25" s="53"/>
    </row>
    <row r="26" spans="1:8">
      <c r="A26" s="1" t="str">
        <f t="shared" si="0"/>
        <v>Cuong</v>
      </c>
      <c r="B26" s="2" t="s">
        <v>141</v>
      </c>
      <c r="C26" s="2" t="s">
        <v>42</v>
      </c>
      <c r="D26" s="39">
        <v>21124</v>
      </c>
      <c r="E26" s="2">
        <v>20</v>
      </c>
      <c r="F26" s="39">
        <v>7784</v>
      </c>
      <c r="G26" s="2">
        <v>183</v>
      </c>
      <c r="H26" s="53"/>
    </row>
    <row r="27" spans="1:8">
      <c r="A27" s="1" t="str">
        <f>$B$2</f>
        <v>Cuong</v>
      </c>
      <c r="B27" s="2" t="s">
        <v>141</v>
      </c>
      <c r="C27" s="2" t="s">
        <v>54</v>
      </c>
      <c r="D27" s="2">
        <v>5199</v>
      </c>
      <c r="E27" s="2">
        <v>9</v>
      </c>
      <c r="F27" s="2">
        <v>5778</v>
      </c>
      <c r="G27" s="2">
        <v>69</v>
      </c>
      <c r="H27" s="53"/>
    </row>
    <row r="28" spans="1:8">
      <c r="A28" s="1" t="str">
        <f t="shared" si="0"/>
        <v>Cuong</v>
      </c>
      <c r="B28" s="2" t="s">
        <v>141</v>
      </c>
      <c r="C28" s="2" t="s">
        <v>59</v>
      </c>
      <c r="D28" s="39">
        <v>14544</v>
      </c>
      <c r="E28" s="2">
        <v>20</v>
      </c>
      <c r="F28" s="39">
        <v>8623</v>
      </c>
      <c r="G28" s="2">
        <v>235</v>
      </c>
      <c r="H28" s="53"/>
    </row>
    <row r="29" spans="1:8">
      <c r="A29" s="1" t="str">
        <f t="shared" si="0"/>
        <v>Cuong</v>
      </c>
      <c r="B29" s="2" t="s">
        <v>141</v>
      </c>
      <c r="C29" s="2" t="s">
        <v>72</v>
      </c>
      <c r="D29" s="39">
        <v>15800</v>
      </c>
      <c r="E29" s="2">
        <v>2</v>
      </c>
      <c r="F29" s="2">
        <v>449</v>
      </c>
      <c r="G29" s="2">
        <v>7</v>
      </c>
      <c r="H29" s="53"/>
    </row>
    <row r="30" spans="1:8">
      <c r="A30" s="1" t="str">
        <f t="shared" si="0"/>
        <v>Cuong</v>
      </c>
      <c r="B30" s="2" t="s">
        <v>142</v>
      </c>
      <c r="C30" s="2" t="s">
        <v>42</v>
      </c>
      <c r="D30" s="2">
        <v>7795</v>
      </c>
      <c r="E30" s="2">
        <v>5</v>
      </c>
      <c r="F30" s="39">
        <v>10683</v>
      </c>
      <c r="G30" s="2">
        <v>68</v>
      </c>
      <c r="H30" s="53"/>
    </row>
    <row r="31" spans="1:8">
      <c r="A31" s="1" t="str">
        <f t="shared" si="0"/>
        <v>Cuong</v>
      </c>
      <c r="B31" s="2" t="s">
        <v>142</v>
      </c>
      <c r="C31" s="2" t="s">
        <v>59</v>
      </c>
      <c r="D31" s="2">
        <v>29328</v>
      </c>
      <c r="E31" s="2">
        <v>30</v>
      </c>
      <c r="F31" s="39">
        <v>10940</v>
      </c>
      <c r="G31" s="2">
        <v>434</v>
      </c>
      <c r="H31" s="53"/>
    </row>
    <row r="32" spans="1:8">
      <c r="A32" s="1" t="str">
        <f t="shared" si="0"/>
        <v>Cuong</v>
      </c>
      <c r="B32" s="2" t="s">
        <v>142</v>
      </c>
      <c r="C32" s="2" t="s">
        <v>61</v>
      </c>
      <c r="D32" s="2">
        <v>4882</v>
      </c>
      <c r="E32" s="2">
        <v>3</v>
      </c>
      <c r="F32" s="39">
        <v>1627</v>
      </c>
      <c r="G32" s="2">
        <v>45</v>
      </c>
      <c r="H32" s="53"/>
    </row>
    <row r="33" spans="1:8">
      <c r="A33" s="1" t="str">
        <f t="shared" si="0"/>
        <v>Cuong</v>
      </c>
      <c r="B33" s="2" t="s">
        <v>142</v>
      </c>
      <c r="C33" s="2" t="s">
        <v>77</v>
      </c>
      <c r="D33" s="2">
        <v>6131</v>
      </c>
      <c r="E33" s="2">
        <v>11</v>
      </c>
      <c r="F33" s="39">
        <v>9865</v>
      </c>
      <c r="G33" s="2">
        <v>114</v>
      </c>
      <c r="H33" s="53"/>
    </row>
    <row r="34" spans="1:8">
      <c r="A34" s="1" t="str">
        <f t="shared" si="0"/>
        <v>Cuong</v>
      </c>
      <c r="B34" s="2" t="s">
        <v>142</v>
      </c>
      <c r="C34" s="2" t="s">
        <v>80</v>
      </c>
      <c r="D34" s="2">
        <v>805</v>
      </c>
      <c r="E34" s="2">
        <v>5</v>
      </c>
      <c r="F34" s="39">
        <v>4935</v>
      </c>
      <c r="G34" s="2">
        <v>10</v>
      </c>
      <c r="H34" s="53"/>
    </row>
    <row r="35" spans="1:8">
      <c r="A35" s="1" t="str">
        <f t="shared" si="0"/>
        <v>Cuong</v>
      </c>
      <c r="B35" s="2" t="s">
        <v>143</v>
      </c>
      <c r="C35" s="2" t="s">
        <v>42</v>
      </c>
      <c r="D35" s="2">
        <v>109487</v>
      </c>
      <c r="E35" s="2">
        <v>30</v>
      </c>
      <c r="F35" s="39">
        <v>7478</v>
      </c>
      <c r="G35" s="2">
        <v>568</v>
      </c>
      <c r="H35" s="53"/>
    </row>
    <row r="36" spans="1:8">
      <c r="A36" s="1" t="str">
        <f t="shared" si="0"/>
        <v>Cuong</v>
      </c>
      <c r="B36" s="2" t="s">
        <v>143</v>
      </c>
      <c r="C36" s="2" t="s">
        <v>59</v>
      </c>
      <c r="D36" s="2">
        <v>26543</v>
      </c>
      <c r="E36" s="2">
        <v>18</v>
      </c>
      <c r="F36" s="39">
        <v>8349</v>
      </c>
      <c r="G36" s="2">
        <v>325</v>
      </c>
      <c r="H36" s="53"/>
    </row>
    <row r="37" spans="1:8">
      <c r="A37" s="1" t="str">
        <f t="shared" si="0"/>
        <v>Cuong</v>
      </c>
      <c r="B37" s="2" t="s">
        <v>143</v>
      </c>
      <c r="C37" s="2" t="s">
        <v>67</v>
      </c>
      <c r="D37" s="2">
        <v>874</v>
      </c>
      <c r="E37" s="2">
        <v>2</v>
      </c>
      <c r="F37" s="39">
        <v>6196</v>
      </c>
      <c r="G37" s="2">
        <v>12</v>
      </c>
      <c r="H37" s="53"/>
    </row>
    <row r="38" spans="1:8">
      <c r="A38" s="1" t="str">
        <f t="shared" si="0"/>
        <v>Cuong</v>
      </c>
      <c r="B38" s="2" t="s">
        <v>144</v>
      </c>
      <c r="C38" s="2" t="s">
        <v>42</v>
      </c>
      <c r="D38" s="2">
        <v>19320</v>
      </c>
      <c r="E38" s="2">
        <v>13</v>
      </c>
      <c r="F38" s="39">
        <v>6300</v>
      </c>
      <c r="G38" s="2">
        <v>212</v>
      </c>
      <c r="H38" s="53"/>
    </row>
    <row r="39" spans="1:8">
      <c r="A39" s="1" t="str">
        <f t="shared" si="0"/>
        <v>Cuong</v>
      </c>
      <c r="B39" s="2" t="s">
        <v>144</v>
      </c>
      <c r="C39" s="2" t="s">
        <v>47</v>
      </c>
      <c r="D39" s="2">
        <v>4885</v>
      </c>
      <c r="E39" s="2">
        <v>21</v>
      </c>
      <c r="F39" s="39">
        <v>7770</v>
      </c>
      <c r="G39" s="2">
        <v>142</v>
      </c>
      <c r="H39" s="53"/>
    </row>
    <row r="40" spans="1:8">
      <c r="A40" s="1" t="str">
        <f t="shared" si="0"/>
        <v>Cuong</v>
      </c>
      <c r="B40" s="2" t="s">
        <v>144</v>
      </c>
      <c r="C40" s="2" t="s">
        <v>59</v>
      </c>
      <c r="D40" s="2">
        <v>24694</v>
      </c>
      <c r="E40" s="2">
        <v>31</v>
      </c>
      <c r="F40" s="39">
        <v>10557</v>
      </c>
      <c r="G40" s="2">
        <v>406</v>
      </c>
      <c r="H40" s="53"/>
    </row>
    <row r="41" spans="1:8">
      <c r="A41" s="1" t="str">
        <f t="shared" ref="A41:A43" si="1">$B$2</f>
        <v>Cuong</v>
      </c>
      <c r="B41" s="2" t="s">
        <v>145</v>
      </c>
      <c r="C41" s="2" t="s">
        <v>42</v>
      </c>
      <c r="D41" s="2">
        <v>35392</v>
      </c>
      <c r="E41" s="2">
        <v>10</v>
      </c>
      <c r="F41" s="2">
        <v>5661</v>
      </c>
      <c r="G41" s="2">
        <v>245</v>
      </c>
      <c r="H41" s="53"/>
    </row>
    <row r="42" spans="1:8">
      <c r="A42" s="1" t="str">
        <f t="shared" si="1"/>
        <v>Cuong</v>
      </c>
      <c r="B42" s="2" t="s">
        <v>145</v>
      </c>
      <c r="C42" s="2" t="s">
        <v>47</v>
      </c>
      <c r="D42" s="2">
        <v>6450</v>
      </c>
      <c r="E42" s="2">
        <v>17</v>
      </c>
      <c r="F42" s="2">
        <v>5515</v>
      </c>
      <c r="G42" s="2">
        <v>112</v>
      </c>
      <c r="H42" s="53"/>
    </row>
    <row r="43" spans="1:8">
      <c r="A43" s="1" t="str">
        <f t="shared" si="1"/>
        <v>Cuong</v>
      </c>
      <c r="B43" s="2" t="s">
        <v>145</v>
      </c>
      <c r="C43" s="2" t="s">
        <v>59</v>
      </c>
      <c r="D43" s="2">
        <v>18161</v>
      </c>
      <c r="E43" s="2">
        <v>26</v>
      </c>
      <c r="F43" s="2">
        <v>10594</v>
      </c>
      <c r="G43" s="2">
        <v>326</v>
      </c>
      <c r="H43" s="53"/>
    </row>
    <row r="44" spans="1:8">
      <c r="A44" s="1" t="str">
        <f t="shared" ref="A44:A47" si="2">$B$2</f>
        <v>Cuong</v>
      </c>
      <c r="B44" s="2" t="s">
        <v>148</v>
      </c>
      <c r="C44" s="2" t="s">
        <v>42</v>
      </c>
      <c r="D44" s="2">
        <v>14612</v>
      </c>
      <c r="E44" s="2">
        <v>7</v>
      </c>
      <c r="F44" s="2">
        <v>6048</v>
      </c>
      <c r="G44" s="2">
        <v>117</v>
      </c>
      <c r="H44" s="53"/>
    </row>
    <row r="45" spans="1:8">
      <c r="A45" s="1" t="str">
        <f t="shared" si="2"/>
        <v>Cuong</v>
      </c>
      <c r="B45" s="2" t="s">
        <v>148</v>
      </c>
      <c r="C45" s="2" t="s">
        <v>47</v>
      </c>
      <c r="D45" s="2">
        <v>5654</v>
      </c>
      <c r="E45" s="2">
        <v>22</v>
      </c>
      <c r="F45" s="2">
        <v>8099</v>
      </c>
      <c r="G45" s="2">
        <v>164</v>
      </c>
      <c r="H45" s="53"/>
    </row>
    <row r="46" spans="1:8">
      <c r="A46" s="1" t="str">
        <f t="shared" si="2"/>
        <v>Cuong</v>
      </c>
      <c r="B46" s="2" t="s">
        <v>148</v>
      </c>
      <c r="C46" s="2" t="s">
        <v>59</v>
      </c>
      <c r="D46" s="2">
        <v>43447</v>
      </c>
      <c r="E46" s="2">
        <v>42</v>
      </c>
      <c r="F46" s="2">
        <v>13550</v>
      </c>
      <c r="G46" s="2">
        <v>675</v>
      </c>
      <c r="H46" s="53"/>
    </row>
    <row r="47" spans="1:8">
      <c r="A47" s="1" t="str">
        <f t="shared" si="2"/>
        <v>Cuong</v>
      </c>
      <c r="B47" s="2" t="s">
        <v>148</v>
      </c>
      <c r="C47" s="2" t="s">
        <v>94</v>
      </c>
      <c r="D47" s="2">
        <v>518</v>
      </c>
      <c r="E47" s="2">
        <v>3</v>
      </c>
      <c r="F47" s="2">
        <v>13031</v>
      </c>
      <c r="G47" s="2">
        <v>23</v>
      </c>
      <c r="H47" s="53"/>
    </row>
    <row r="48" spans="1:8">
      <c r="A48" s="1" t="str">
        <f t="shared" ref="A48:A50" si="3">$B$2</f>
        <v>Cuong</v>
      </c>
      <c r="B48" s="2" t="s">
        <v>149</v>
      </c>
      <c r="C48" s="2" t="s">
        <v>42</v>
      </c>
      <c r="D48" s="2">
        <v>41883</v>
      </c>
      <c r="E48" s="2">
        <v>9</v>
      </c>
      <c r="F48" s="2">
        <v>5241</v>
      </c>
      <c r="G48" s="2">
        <v>261</v>
      </c>
      <c r="H48" s="53"/>
    </row>
    <row r="49" spans="1:8">
      <c r="A49" s="1" t="str">
        <f t="shared" si="3"/>
        <v>Cuong</v>
      </c>
      <c r="B49" s="2" t="s">
        <v>149</v>
      </c>
      <c r="C49" s="2" t="s">
        <v>47</v>
      </c>
      <c r="D49" s="2">
        <v>4472</v>
      </c>
      <c r="E49" s="2">
        <v>16</v>
      </c>
      <c r="F49" s="2">
        <v>6592</v>
      </c>
      <c r="G49" s="2">
        <v>96</v>
      </c>
      <c r="H49" s="53"/>
    </row>
    <row r="50" spans="1:8">
      <c r="A50" s="1" t="str">
        <f t="shared" si="3"/>
        <v>Cuong</v>
      </c>
      <c r="B50" s="2" t="s">
        <v>149</v>
      </c>
      <c r="C50" s="2" t="s">
        <v>59</v>
      </c>
      <c r="D50" s="2">
        <v>16462</v>
      </c>
      <c r="E50" s="2">
        <v>24</v>
      </c>
      <c r="F50" s="2">
        <v>11413</v>
      </c>
      <c r="G50" s="2">
        <v>292</v>
      </c>
      <c r="H50" s="53"/>
    </row>
    <row r="51" spans="1:8">
      <c r="A51" s="1" t="str">
        <f t="shared" ref="A51:A52" si="4">$B$2</f>
        <v>Cuong</v>
      </c>
      <c r="B51" s="2" t="s">
        <v>150</v>
      </c>
      <c r="C51" s="2" t="s">
        <v>47</v>
      </c>
      <c r="D51" s="2">
        <v>2853</v>
      </c>
      <c r="E51" s="2">
        <v>13</v>
      </c>
      <c r="F51" s="2">
        <v>6202</v>
      </c>
      <c r="G51" s="2">
        <v>91</v>
      </c>
      <c r="H51" s="53"/>
    </row>
    <row r="52" spans="1:8">
      <c r="A52" s="1" t="str">
        <f t="shared" si="4"/>
        <v>Cuong</v>
      </c>
      <c r="B52" s="2" t="s">
        <v>150</v>
      </c>
      <c r="C52" s="2" t="s">
        <v>59</v>
      </c>
      <c r="D52" s="2">
        <v>36373</v>
      </c>
      <c r="E52" s="2">
        <v>56</v>
      </c>
      <c r="F52" s="2">
        <v>10630</v>
      </c>
      <c r="G52" s="2">
        <v>529</v>
      </c>
      <c r="H52" s="53" t="s">
        <v>155</v>
      </c>
    </row>
    <row r="53" spans="1:8">
      <c r="A53" s="1" t="str">
        <f>$B$2</f>
        <v>Cuong</v>
      </c>
      <c r="B53" s="2" t="s">
        <v>150</v>
      </c>
      <c r="C53" s="2" t="s">
        <v>93</v>
      </c>
      <c r="D53" s="2">
        <v>3465</v>
      </c>
      <c r="E53" s="2">
        <v>12</v>
      </c>
      <c r="F53" s="2">
        <v>13880</v>
      </c>
      <c r="G53" s="2">
        <v>97</v>
      </c>
      <c r="H53" s="53"/>
    </row>
    <row r="54" spans="1:8">
      <c r="A54" s="1" t="str">
        <f t="shared" ref="A54:A56" si="5">$B$2</f>
        <v>Cuong</v>
      </c>
      <c r="B54" s="2" t="s">
        <v>98</v>
      </c>
      <c r="C54" s="2" t="s">
        <v>42</v>
      </c>
      <c r="D54" s="39">
        <v>18885</v>
      </c>
      <c r="E54" s="2">
        <v>7</v>
      </c>
      <c r="F54" s="2">
        <v>5917</v>
      </c>
      <c r="G54" s="2">
        <v>250</v>
      </c>
      <c r="H54" s="53"/>
    </row>
    <row r="55" spans="1:8">
      <c r="A55" s="1" t="str">
        <f t="shared" si="5"/>
        <v>Cuong</v>
      </c>
      <c r="B55" s="2" t="s">
        <v>98</v>
      </c>
      <c r="C55" s="2" t="s">
        <v>47</v>
      </c>
      <c r="D55" s="2">
        <v>940</v>
      </c>
      <c r="E55" s="2">
        <v>3</v>
      </c>
      <c r="F55" s="2">
        <v>6160</v>
      </c>
      <c r="G55" s="2">
        <v>23</v>
      </c>
      <c r="H55" s="53"/>
    </row>
    <row r="56" spans="1:8">
      <c r="A56" s="1" t="str">
        <f t="shared" si="5"/>
        <v>Cuong</v>
      </c>
      <c r="B56" s="2" t="s">
        <v>98</v>
      </c>
      <c r="C56" s="2" t="s">
        <v>59</v>
      </c>
      <c r="D56" s="39">
        <v>28995</v>
      </c>
      <c r="E56" s="2">
        <v>38</v>
      </c>
      <c r="F56" s="2">
        <v>8490</v>
      </c>
      <c r="G56" s="2">
        <v>433</v>
      </c>
      <c r="H56" s="53"/>
    </row>
  </sheetData>
  <dataValidations count="1">
    <dataValidation type="list" allowBlank="1" showInputMessage="1" showErrorMessage="1" sqref="C4:C56" xr:uid="{4DE75028-38E9-42BF-BEB7-13EAB92E52BE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60A4-36F7-4713-AB88-E8AE0881AE21}">
  <dimension ref="A1:DQ46"/>
  <sheetViews>
    <sheetView topLeftCell="A8" zoomScaleNormal="100" zoomScaleSheetLayoutView="40" workbookViewId="0">
      <selection activeCell="E44" sqref="E44:E46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3.33203125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104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23" si="0">$B$2</f>
        <v>Hien</v>
      </c>
      <c r="B4" s="2" t="s">
        <v>120</v>
      </c>
      <c r="C4" s="2" t="s">
        <v>75</v>
      </c>
      <c r="D4" s="2">
        <v>1476</v>
      </c>
      <c r="E4" s="2">
        <v>4</v>
      </c>
      <c r="F4" s="2">
        <v>8274</v>
      </c>
      <c r="G4" s="2">
        <v>25</v>
      </c>
      <c r="H4" s="53"/>
    </row>
    <row r="5" spans="1:121">
      <c r="A5" s="1" t="str">
        <f t="shared" si="0"/>
        <v>Hien</v>
      </c>
      <c r="B5" s="2" t="s">
        <v>120</v>
      </c>
      <c r="C5" s="2" t="s">
        <v>68</v>
      </c>
      <c r="D5" s="2">
        <v>15886</v>
      </c>
      <c r="E5" s="2">
        <v>12</v>
      </c>
      <c r="F5" s="2">
        <v>9373</v>
      </c>
      <c r="G5" s="2">
        <v>183</v>
      </c>
      <c r="H5" s="53"/>
    </row>
    <row r="6" spans="1:121">
      <c r="A6" s="1" t="str">
        <f t="shared" si="0"/>
        <v>Hien</v>
      </c>
      <c r="B6" s="2" t="s">
        <v>120</v>
      </c>
      <c r="C6" s="2" t="s">
        <v>123</v>
      </c>
      <c r="D6" s="2">
        <v>3911</v>
      </c>
      <c r="E6" s="2">
        <v>1</v>
      </c>
      <c r="F6" s="2">
        <v>12498</v>
      </c>
      <c r="G6" s="2">
        <v>48</v>
      </c>
      <c r="H6" s="53"/>
    </row>
    <row r="7" spans="1:121">
      <c r="A7" s="1" t="str">
        <f t="shared" si="0"/>
        <v>Hien</v>
      </c>
      <c r="B7" s="2" t="s">
        <v>129</v>
      </c>
      <c r="C7" s="2" t="s">
        <v>75</v>
      </c>
      <c r="D7" s="2">
        <v>2632</v>
      </c>
      <c r="E7" s="2">
        <v>2</v>
      </c>
      <c r="F7" s="2">
        <v>6221</v>
      </c>
      <c r="G7" s="2">
        <v>32</v>
      </c>
      <c r="H7" s="53"/>
    </row>
    <row r="8" spans="1:121">
      <c r="A8" s="1" t="str">
        <f t="shared" si="0"/>
        <v>Hien</v>
      </c>
      <c r="B8" s="2" t="s">
        <v>129</v>
      </c>
      <c r="C8" s="2" t="s">
        <v>68</v>
      </c>
      <c r="D8" s="2">
        <v>9594</v>
      </c>
      <c r="E8" s="2">
        <v>5</v>
      </c>
      <c r="F8" s="2">
        <v>8778</v>
      </c>
      <c r="G8" s="2">
        <v>137</v>
      </c>
      <c r="H8" s="53"/>
    </row>
    <row r="9" spans="1:121">
      <c r="A9" s="1" t="str">
        <f t="shared" si="0"/>
        <v>Hien</v>
      </c>
      <c r="B9" s="2" t="s">
        <v>129</v>
      </c>
      <c r="C9" s="2" t="s">
        <v>123</v>
      </c>
      <c r="D9" s="2">
        <v>1382</v>
      </c>
      <c r="E9" s="2">
        <v>4</v>
      </c>
      <c r="F9" s="2">
        <v>8240</v>
      </c>
      <c r="G9" s="2">
        <v>20</v>
      </c>
      <c r="H9" s="53"/>
    </row>
    <row r="10" spans="1:121">
      <c r="A10" s="1" t="str">
        <f t="shared" si="0"/>
        <v>Hien</v>
      </c>
      <c r="B10" s="2" t="s">
        <v>130</v>
      </c>
      <c r="C10" s="2" t="s">
        <v>68</v>
      </c>
      <c r="D10" s="2">
        <v>4988</v>
      </c>
      <c r="E10" s="2">
        <v>6</v>
      </c>
      <c r="F10" s="2">
        <v>11047</v>
      </c>
      <c r="G10" s="2">
        <v>65</v>
      </c>
      <c r="H10" s="53"/>
    </row>
    <row r="11" spans="1:121">
      <c r="A11" s="1" t="str">
        <f t="shared" si="0"/>
        <v>Hien</v>
      </c>
      <c r="B11" s="2" t="s">
        <v>132</v>
      </c>
      <c r="C11" s="2" t="s">
        <v>68</v>
      </c>
      <c r="D11" s="2">
        <v>5931</v>
      </c>
      <c r="E11" s="2">
        <v>6</v>
      </c>
      <c r="F11" s="2">
        <v>9591</v>
      </c>
      <c r="G11" s="2">
        <v>101</v>
      </c>
      <c r="H11" s="53"/>
    </row>
    <row r="12" spans="1:121">
      <c r="A12" s="1" t="str">
        <f t="shared" si="0"/>
        <v>Hien</v>
      </c>
      <c r="B12" s="2" t="s">
        <v>134</v>
      </c>
      <c r="C12" s="2" t="s">
        <v>57</v>
      </c>
      <c r="D12" s="2">
        <v>1630</v>
      </c>
      <c r="E12" s="2">
        <v>1</v>
      </c>
      <c r="F12" s="2">
        <v>7899</v>
      </c>
      <c r="G12" s="2">
        <v>22</v>
      </c>
      <c r="H12" s="53"/>
    </row>
    <row r="13" spans="1:121">
      <c r="A13" s="1" t="str">
        <f t="shared" si="0"/>
        <v>Hien</v>
      </c>
      <c r="B13" s="2" t="s">
        <v>134</v>
      </c>
      <c r="C13" s="2" t="s">
        <v>75</v>
      </c>
      <c r="D13" s="2">
        <v>3380</v>
      </c>
      <c r="E13" s="2">
        <v>4</v>
      </c>
      <c r="F13" s="2">
        <v>5906</v>
      </c>
      <c r="G13" s="2">
        <v>46</v>
      </c>
      <c r="H13" s="53"/>
    </row>
    <row r="14" spans="1:121">
      <c r="A14" s="1" t="str">
        <f t="shared" si="0"/>
        <v>Hien</v>
      </c>
      <c r="B14" s="2" t="s">
        <v>134</v>
      </c>
      <c r="C14" s="2" t="s">
        <v>68</v>
      </c>
      <c r="D14" s="2">
        <v>1610</v>
      </c>
      <c r="E14" s="2">
        <v>6</v>
      </c>
      <c r="F14" s="2">
        <v>13305</v>
      </c>
      <c r="G14" s="2">
        <v>35</v>
      </c>
      <c r="H14" s="53"/>
    </row>
    <row r="15" spans="1:121">
      <c r="A15" s="1" t="str">
        <f t="shared" si="0"/>
        <v>Hien</v>
      </c>
      <c r="B15" s="2" t="s">
        <v>138</v>
      </c>
      <c r="C15" s="2" t="s">
        <v>68</v>
      </c>
      <c r="D15" s="2">
        <v>5931</v>
      </c>
      <c r="E15" s="2">
        <v>6</v>
      </c>
      <c r="F15" s="2">
        <v>9596</v>
      </c>
      <c r="G15" s="2">
        <v>62</v>
      </c>
      <c r="H15" s="53"/>
    </row>
    <row r="16" spans="1:121">
      <c r="A16" s="1" t="str">
        <f t="shared" si="0"/>
        <v>Hien</v>
      </c>
      <c r="B16" s="2" t="s">
        <v>139</v>
      </c>
      <c r="C16" s="2" t="s">
        <v>56</v>
      </c>
      <c r="D16" s="2">
        <v>772</v>
      </c>
      <c r="E16" s="2">
        <v>3</v>
      </c>
      <c r="F16" s="2">
        <v>9176</v>
      </c>
      <c r="G16" s="2">
        <v>20</v>
      </c>
      <c r="H16" s="53"/>
    </row>
    <row r="17" spans="1:8">
      <c r="A17" s="1" t="str">
        <f t="shared" si="0"/>
        <v>Hien</v>
      </c>
      <c r="B17" s="2" t="s">
        <v>139</v>
      </c>
      <c r="C17" s="2" t="s">
        <v>62</v>
      </c>
      <c r="D17" s="2">
        <v>16784</v>
      </c>
      <c r="E17" s="2">
        <v>15</v>
      </c>
      <c r="F17" s="2">
        <v>7411</v>
      </c>
      <c r="G17" s="2">
        <v>188</v>
      </c>
      <c r="H17" s="53"/>
    </row>
    <row r="18" spans="1:8">
      <c r="A18" s="1" t="str">
        <f t="shared" si="0"/>
        <v>Hien</v>
      </c>
      <c r="B18" s="2" t="s">
        <v>139</v>
      </c>
      <c r="C18" s="2" t="s">
        <v>68</v>
      </c>
      <c r="D18" s="2">
        <v>1484</v>
      </c>
      <c r="E18" s="2">
        <v>5</v>
      </c>
      <c r="F18" s="2">
        <v>10282</v>
      </c>
      <c r="G18" s="2">
        <v>36</v>
      </c>
      <c r="H18" s="53"/>
    </row>
    <row r="19" spans="1:8">
      <c r="A19" s="1" t="str">
        <f t="shared" si="0"/>
        <v>Hien</v>
      </c>
      <c r="B19" s="2" t="s">
        <v>141</v>
      </c>
      <c r="C19" s="2" t="s">
        <v>56</v>
      </c>
      <c r="D19" s="2">
        <v>301</v>
      </c>
      <c r="E19" s="2">
        <v>2</v>
      </c>
      <c r="F19" s="2">
        <v>5471</v>
      </c>
      <c r="G19" s="2">
        <v>8</v>
      </c>
      <c r="H19" s="53"/>
    </row>
    <row r="20" spans="1:8">
      <c r="A20" s="1" t="str">
        <f t="shared" si="0"/>
        <v>Hien</v>
      </c>
      <c r="B20" s="2" t="s">
        <v>141</v>
      </c>
      <c r="C20" s="2" t="s">
        <v>62</v>
      </c>
      <c r="D20" s="2">
        <v>7592</v>
      </c>
      <c r="E20" s="2">
        <v>7</v>
      </c>
      <c r="F20" s="2">
        <v>6025</v>
      </c>
      <c r="G20" s="2">
        <v>71</v>
      </c>
      <c r="H20" s="53"/>
    </row>
    <row r="21" spans="1:8">
      <c r="A21" s="1" t="str">
        <f t="shared" si="0"/>
        <v>Hien</v>
      </c>
      <c r="B21" s="2" t="s">
        <v>142</v>
      </c>
      <c r="C21" s="2" t="s">
        <v>56</v>
      </c>
      <c r="D21" s="2">
        <v>998</v>
      </c>
      <c r="E21" s="2">
        <v>3</v>
      </c>
      <c r="F21" s="2">
        <v>12410</v>
      </c>
      <c r="G21" s="2">
        <v>16</v>
      </c>
      <c r="H21" s="53"/>
    </row>
    <row r="22" spans="1:8">
      <c r="A22" s="1" t="str">
        <f t="shared" si="0"/>
        <v>Hien</v>
      </c>
      <c r="B22" s="2" t="s">
        <v>142</v>
      </c>
      <c r="C22" s="2" t="s">
        <v>62</v>
      </c>
      <c r="D22" s="2">
        <v>4455</v>
      </c>
      <c r="E22" s="2">
        <v>13</v>
      </c>
      <c r="F22" s="2">
        <v>9610</v>
      </c>
      <c r="G22" s="2">
        <v>67</v>
      </c>
      <c r="H22" s="53"/>
    </row>
    <row r="23" spans="1:8">
      <c r="A23" s="1" t="str">
        <f t="shared" si="0"/>
        <v>Hien</v>
      </c>
      <c r="B23" s="2" t="s">
        <v>142</v>
      </c>
      <c r="C23" s="2" t="s">
        <v>87</v>
      </c>
      <c r="D23" s="2">
        <v>13869</v>
      </c>
      <c r="E23" s="2">
        <v>11</v>
      </c>
      <c r="F23" s="2">
        <v>8203</v>
      </c>
      <c r="G23" s="2">
        <v>149</v>
      </c>
      <c r="H23" s="53"/>
    </row>
    <row r="24" spans="1:8">
      <c r="A24" s="1" t="str">
        <f t="shared" ref="A24:A25" si="1">$B$2</f>
        <v>Hien</v>
      </c>
      <c r="B24" s="2" t="s">
        <v>143</v>
      </c>
      <c r="C24" s="2" t="s">
        <v>64</v>
      </c>
      <c r="D24" s="2">
        <v>10000</v>
      </c>
      <c r="E24" s="2">
        <v>2</v>
      </c>
      <c r="F24" s="2">
        <v>8921</v>
      </c>
      <c r="G24" s="2">
        <v>105</v>
      </c>
      <c r="H24" s="53"/>
    </row>
    <row r="25" spans="1:8">
      <c r="A25" s="1" t="str">
        <f t="shared" si="1"/>
        <v>Hien</v>
      </c>
      <c r="B25" s="2" t="s">
        <v>143</v>
      </c>
      <c r="C25" s="2" t="s">
        <v>87</v>
      </c>
      <c r="D25" s="2">
        <v>20608</v>
      </c>
      <c r="E25" s="2">
        <v>17</v>
      </c>
      <c r="F25" s="2">
        <v>6289</v>
      </c>
      <c r="G25" s="2">
        <v>180</v>
      </c>
      <c r="H25" s="53"/>
    </row>
    <row r="26" spans="1:8">
      <c r="A26" s="1" t="str">
        <f t="shared" ref="A26:A28" si="2">$B$2</f>
        <v>Hien</v>
      </c>
      <c r="B26" s="2" t="s">
        <v>144</v>
      </c>
      <c r="C26" s="2" t="s">
        <v>61</v>
      </c>
      <c r="D26" s="2">
        <v>7683</v>
      </c>
      <c r="E26" s="2">
        <v>5</v>
      </c>
      <c r="F26" s="2">
        <v>5881</v>
      </c>
      <c r="G26" s="2">
        <v>66</v>
      </c>
      <c r="H26" s="53"/>
    </row>
    <row r="27" spans="1:8">
      <c r="A27" s="1" t="str">
        <f t="shared" si="2"/>
        <v>Hien</v>
      </c>
      <c r="B27" s="2" t="s">
        <v>144</v>
      </c>
      <c r="C27" s="2" t="s">
        <v>73</v>
      </c>
      <c r="D27" s="2">
        <f>5065</f>
        <v>5065</v>
      </c>
      <c r="E27" s="2">
        <v>5</v>
      </c>
      <c r="F27" s="2">
        <v>14899</v>
      </c>
      <c r="G27" s="2">
        <v>47</v>
      </c>
      <c r="H27" s="53"/>
    </row>
    <row r="28" spans="1:8">
      <c r="A28" s="1" t="str">
        <f t="shared" si="2"/>
        <v>Hien</v>
      </c>
      <c r="B28" s="2" t="s">
        <v>144</v>
      </c>
      <c r="C28" s="2" t="s">
        <v>87</v>
      </c>
      <c r="D28" s="2">
        <v>10117</v>
      </c>
      <c r="E28" s="2">
        <v>12</v>
      </c>
      <c r="F28" s="2">
        <v>9442</v>
      </c>
      <c r="G28" s="2">
        <v>126</v>
      </c>
      <c r="H28" s="53"/>
    </row>
    <row r="29" spans="1:8">
      <c r="A29" s="1" t="str">
        <f t="shared" ref="A29:A31" si="3">$B$2</f>
        <v>Hien</v>
      </c>
      <c r="B29" s="2" t="s">
        <v>145</v>
      </c>
      <c r="C29" s="2" t="s">
        <v>56</v>
      </c>
      <c r="D29" s="2">
        <v>966</v>
      </c>
      <c r="E29" s="2">
        <v>2</v>
      </c>
      <c r="F29" s="2">
        <v>12781</v>
      </c>
      <c r="G29" s="2">
        <v>26</v>
      </c>
      <c r="H29" s="53"/>
    </row>
    <row r="30" spans="1:8">
      <c r="A30" s="1" t="str">
        <f t="shared" si="3"/>
        <v>Hien</v>
      </c>
      <c r="B30" s="2" t="s">
        <v>145</v>
      </c>
      <c r="C30" s="2" t="s">
        <v>73</v>
      </c>
      <c r="D30" s="2">
        <v>25802</v>
      </c>
      <c r="E30" s="2">
        <v>5</v>
      </c>
      <c r="F30" s="2">
        <v>8039</v>
      </c>
      <c r="G30" s="2">
        <v>196</v>
      </c>
      <c r="H30" s="53"/>
    </row>
    <row r="31" spans="1:8">
      <c r="A31" s="1" t="str">
        <f t="shared" si="3"/>
        <v>Hien</v>
      </c>
      <c r="B31" s="2" t="s">
        <v>145</v>
      </c>
      <c r="C31" s="2" t="s">
        <v>87</v>
      </c>
      <c r="D31" s="2">
        <v>655</v>
      </c>
      <c r="E31" s="2">
        <v>3</v>
      </c>
      <c r="F31" s="2">
        <v>14272</v>
      </c>
      <c r="G31" s="2">
        <v>21</v>
      </c>
      <c r="H31" s="53"/>
    </row>
    <row r="32" spans="1:8">
      <c r="A32" s="1" t="str">
        <f t="shared" ref="A32:A35" si="4">$B$2</f>
        <v>Hien</v>
      </c>
      <c r="B32" s="2" t="s">
        <v>148</v>
      </c>
      <c r="C32" s="2" t="s">
        <v>56</v>
      </c>
      <c r="D32" s="2">
        <v>829</v>
      </c>
      <c r="E32" s="2">
        <v>2</v>
      </c>
      <c r="F32" s="2">
        <v>10926</v>
      </c>
      <c r="G32" s="2">
        <v>16</v>
      </c>
      <c r="H32" s="53"/>
    </row>
    <row r="33" spans="1:8">
      <c r="A33" s="1" t="str">
        <f t="shared" si="4"/>
        <v>Hien</v>
      </c>
      <c r="B33" s="2" t="s">
        <v>148</v>
      </c>
      <c r="C33" s="2" t="s">
        <v>73</v>
      </c>
      <c r="D33" s="2">
        <v>46521</v>
      </c>
      <c r="E33" s="2">
        <v>13</v>
      </c>
      <c r="F33" s="2">
        <v>12994</v>
      </c>
      <c r="G33" s="2">
        <v>389</v>
      </c>
      <c r="H33" s="53"/>
    </row>
    <row r="34" spans="1:8">
      <c r="A34" s="1" t="str">
        <f t="shared" si="4"/>
        <v>Hien</v>
      </c>
      <c r="B34" s="2" t="s">
        <v>148</v>
      </c>
      <c r="C34" s="2" t="s">
        <v>75</v>
      </c>
      <c r="D34" s="2">
        <v>3644</v>
      </c>
      <c r="E34" s="2">
        <v>2</v>
      </c>
      <c r="F34" s="2">
        <v>7654</v>
      </c>
      <c r="G34" s="2">
        <v>40</v>
      </c>
      <c r="H34" s="53"/>
    </row>
    <row r="35" spans="1:8">
      <c r="A35" s="1" t="str">
        <f t="shared" si="4"/>
        <v>Hien</v>
      </c>
      <c r="B35" s="2" t="s">
        <v>148</v>
      </c>
      <c r="C35" s="2" t="s">
        <v>81</v>
      </c>
      <c r="D35" s="2">
        <v>611</v>
      </c>
      <c r="E35" s="2">
        <v>3</v>
      </c>
      <c r="F35" s="2">
        <v>15113</v>
      </c>
      <c r="G35" s="2">
        <v>15</v>
      </c>
      <c r="H35" s="53"/>
    </row>
    <row r="36" spans="1:8">
      <c r="A36" s="1" t="str">
        <f t="shared" ref="A36:A40" si="5">$B$2</f>
        <v>Hien</v>
      </c>
      <c r="B36" s="2" t="s">
        <v>149</v>
      </c>
      <c r="C36" s="2" t="s">
        <v>55</v>
      </c>
      <c r="D36" s="2">
        <v>9748</v>
      </c>
      <c r="E36" s="2">
        <v>17</v>
      </c>
      <c r="F36" s="2">
        <v>4997</v>
      </c>
      <c r="G36" s="2">
        <v>106</v>
      </c>
      <c r="H36" s="53"/>
    </row>
    <row r="37" spans="1:8">
      <c r="A37" s="1" t="str">
        <f t="shared" si="5"/>
        <v>Hien</v>
      </c>
      <c r="B37" s="2" t="s">
        <v>149</v>
      </c>
      <c r="C37" s="2" t="s">
        <v>56</v>
      </c>
      <c r="D37" s="2">
        <v>3044</v>
      </c>
      <c r="E37" s="2">
        <v>1</v>
      </c>
      <c r="F37" s="2">
        <v>16817</v>
      </c>
      <c r="G37" s="2">
        <v>52</v>
      </c>
      <c r="H37" s="53"/>
    </row>
    <row r="38" spans="1:8">
      <c r="A38" s="1" t="str">
        <f t="shared" si="5"/>
        <v>Hien</v>
      </c>
      <c r="B38" s="2" t="s">
        <v>149</v>
      </c>
      <c r="C38" s="2" t="s">
        <v>70</v>
      </c>
      <c r="D38" s="2">
        <v>2721</v>
      </c>
      <c r="E38" s="2">
        <v>4</v>
      </c>
      <c r="F38" s="2">
        <v>11794</v>
      </c>
      <c r="G38" s="2">
        <v>35</v>
      </c>
      <c r="H38" s="53"/>
    </row>
    <row r="39" spans="1:8">
      <c r="A39" s="1" t="str">
        <f t="shared" si="5"/>
        <v>Hien</v>
      </c>
      <c r="B39" s="2" t="s">
        <v>149</v>
      </c>
      <c r="C39" s="2" t="s">
        <v>73</v>
      </c>
      <c r="D39" s="2">
        <v>24594</v>
      </c>
      <c r="E39" s="2">
        <v>4</v>
      </c>
      <c r="F39" s="2">
        <v>6000</v>
      </c>
      <c r="G39" s="2">
        <v>160</v>
      </c>
      <c r="H39" s="53"/>
    </row>
    <row r="40" spans="1:8">
      <c r="A40" s="1" t="str">
        <f t="shared" si="5"/>
        <v>Hien</v>
      </c>
      <c r="B40" s="2" t="s">
        <v>149</v>
      </c>
      <c r="C40" s="2" t="s">
        <v>81</v>
      </c>
      <c r="D40" s="2">
        <v>3000</v>
      </c>
      <c r="E40" s="2">
        <v>1</v>
      </c>
      <c r="F40" s="2">
        <v>1885</v>
      </c>
      <c r="G40" s="2">
        <v>7</v>
      </c>
      <c r="H40" s="53"/>
    </row>
    <row r="41" spans="1:8">
      <c r="A41" s="1" t="str">
        <f t="shared" ref="A41:A43" si="6">$B$2</f>
        <v>Hien</v>
      </c>
      <c r="B41" s="2" t="s">
        <v>150</v>
      </c>
      <c r="C41" s="2" t="s">
        <v>55</v>
      </c>
      <c r="D41" s="2">
        <v>2912</v>
      </c>
      <c r="E41" s="2">
        <v>14</v>
      </c>
      <c r="F41" s="2">
        <v>8527</v>
      </c>
      <c r="G41" s="2">
        <v>126</v>
      </c>
      <c r="H41" s="53"/>
    </row>
    <row r="42" spans="1:8">
      <c r="A42" s="1" t="str">
        <f t="shared" si="6"/>
        <v>Hien</v>
      </c>
      <c r="B42" s="2" t="s">
        <v>150</v>
      </c>
      <c r="C42" s="2" t="s">
        <v>56</v>
      </c>
      <c r="D42" s="2">
        <v>13195</v>
      </c>
      <c r="E42" s="2">
        <v>16</v>
      </c>
      <c r="F42" s="2">
        <v>13131</v>
      </c>
      <c r="G42" s="2">
        <v>328</v>
      </c>
      <c r="H42" s="53"/>
    </row>
    <row r="43" spans="1:8">
      <c r="A43" s="1" t="str">
        <f t="shared" si="6"/>
        <v>Hien</v>
      </c>
      <c r="B43" s="2" t="s">
        <v>150</v>
      </c>
      <c r="C43" s="2" t="s">
        <v>73</v>
      </c>
      <c r="D43" s="2">
        <v>15287</v>
      </c>
      <c r="E43" s="2">
        <v>5</v>
      </c>
      <c r="F43" s="2">
        <v>6541</v>
      </c>
      <c r="G43" s="2">
        <v>125</v>
      </c>
      <c r="H43" s="53"/>
    </row>
    <row r="44" spans="1:8">
      <c r="A44" s="1" t="str">
        <f t="shared" ref="A44:A46" si="7">$B$2</f>
        <v>Hien</v>
      </c>
      <c r="B44" s="2" t="s">
        <v>98</v>
      </c>
      <c r="C44" s="2" t="s">
        <v>55</v>
      </c>
      <c r="D44" s="2">
        <v>6781</v>
      </c>
      <c r="E44" s="2">
        <v>20</v>
      </c>
      <c r="F44" s="2">
        <v>5032.95</v>
      </c>
      <c r="G44" s="2">
        <v>133</v>
      </c>
      <c r="H44" s="53"/>
    </row>
    <row r="45" spans="1:8">
      <c r="A45" s="1" t="str">
        <f t="shared" si="7"/>
        <v>Hien</v>
      </c>
      <c r="B45" s="2" t="s">
        <v>98</v>
      </c>
      <c r="C45" s="2" t="s">
        <v>56</v>
      </c>
      <c r="D45" s="2">
        <v>12594</v>
      </c>
      <c r="E45" s="2">
        <v>19</v>
      </c>
      <c r="F45" s="2">
        <v>12151.115379999999</v>
      </c>
      <c r="G45" s="2">
        <v>226</v>
      </c>
      <c r="H45" s="53"/>
    </row>
    <row r="46" spans="1:8">
      <c r="A46" s="1" t="str">
        <f t="shared" si="7"/>
        <v>Hien</v>
      </c>
      <c r="B46" s="2" t="s">
        <v>98</v>
      </c>
      <c r="C46" s="2" t="s">
        <v>70</v>
      </c>
      <c r="D46" s="2">
        <v>900</v>
      </c>
      <c r="E46" s="2">
        <v>1</v>
      </c>
      <c r="F46" s="2">
        <v>8132</v>
      </c>
      <c r="G46" s="2">
        <v>12</v>
      </c>
      <c r="H46" s="53"/>
    </row>
  </sheetData>
  <dataValidations count="1">
    <dataValidation type="list" allowBlank="1" showInputMessage="1" showErrorMessage="1" sqref="C4:C46" xr:uid="{ABF6F505-1B5A-41C6-A31F-10C74BFE9F2E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B7AC-0B26-486D-A5C0-CEC96420538F}">
  <dimension ref="A1:DQ39"/>
  <sheetViews>
    <sheetView topLeftCell="A4" zoomScaleNormal="100" zoomScaleSheetLayoutView="40" workbookViewId="0">
      <selection activeCell="E44" sqref="E44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1" width="10.109375" style="2" customWidth="1"/>
    <col min="12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15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23" si="0">$B$2</f>
        <v>Nhu</v>
      </c>
      <c r="B4" s="2" t="s">
        <v>120</v>
      </c>
      <c r="C4" s="2" t="s">
        <v>121</v>
      </c>
      <c r="D4" s="2">
        <v>1060</v>
      </c>
      <c r="E4" s="2">
        <v>1</v>
      </c>
      <c r="F4" s="2">
        <v>7630</v>
      </c>
      <c r="G4" s="2">
        <v>12</v>
      </c>
      <c r="H4" s="53"/>
    </row>
    <row r="5" spans="1:121">
      <c r="A5" s="1" t="str">
        <f t="shared" si="0"/>
        <v>Nhu</v>
      </c>
      <c r="B5" s="2" t="s">
        <v>120</v>
      </c>
      <c r="C5" s="2" t="s">
        <v>70</v>
      </c>
      <c r="D5" s="2">
        <v>700</v>
      </c>
      <c r="E5" s="2">
        <v>2</v>
      </c>
      <c r="F5" s="2">
        <v>9218</v>
      </c>
      <c r="G5" s="2">
        <v>14</v>
      </c>
      <c r="H5" s="53"/>
    </row>
    <row r="6" spans="1:121">
      <c r="A6" s="1" t="str">
        <f t="shared" si="0"/>
        <v>Nhu</v>
      </c>
      <c r="B6" s="2" t="s">
        <v>120</v>
      </c>
      <c r="C6" s="2" t="s">
        <v>73</v>
      </c>
      <c r="D6" s="2">
        <v>19607</v>
      </c>
      <c r="E6" s="2">
        <v>4</v>
      </c>
      <c r="F6" s="2">
        <v>11320</v>
      </c>
      <c r="G6" s="2">
        <v>133</v>
      </c>
      <c r="H6" s="53"/>
    </row>
    <row r="7" spans="1:121">
      <c r="A7" s="1" t="str">
        <f t="shared" si="0"/>
        <v>Nhu</v>
      </c>
      <c r="B7" s="2" t="s">
        <v>120</v>
      </c>
      <c r="C7" s="2" t="s">
        <v>122</v>
      </c>
      <c r="D7" s="2">
        <v>10440</v>
      </c>
      <c r="E7" s="2">
        <v>14</v>
      </c>
      <c r="F7" s="2">
        <v>8211</v>
      </c>
      <c r="G7" s="2">
        <v>147</v>
      </c>
      <c r="H7" s="53"/>
    </row>
    <row r="8" spans="1:121">
      <c r="A8" s="1" t="str">
        <f t="shared" si="0"/>
        <v>Nhu</v>
      </c>
      <c r="B8" s="2" t="s">
        <v>130</v>
      </c>
      <c r="C8" s="2" t="s">
        <v>64</v>
      </c>
      <c r="D8" s="2">
        <v>4418</v>
      </c>
      <c r="E8" s="2">
        <v>3</v>
      </c>
      <c r="F8" s="2">
        <v>7220</v>
      </c>
      <c r="G8" s="2">
        <v>51</v>
      </c>
      <c r="H8" s="53"/>
    </row>
    <row r="9" spans="1:121">
      <c r="A9" s="1" t="str">
        <f t="shared" si="0"/>
        <v>Nhu</v>
      </c>
      <c r="B9" s="2" t="s">
        <v>130</v>
      </c>
      <c r="C9" s="2" t="s">
        <v>73</v>
      </c>
      <c r="D9" s="2">
        <v>13632</v>
      </c>
      <c r="E9" s="2">
        <v>4</v>
      </c>
      <c r="F9" s="2">
        <v>12323</v>
      </c>
      <c r="G9" s="2">
        <v>140</v>
      </c>
      <c r="H9" s="53"/>
    </row>
    <row r="10" spans="1:121">
      <c r="A10" s="1" t="str">
        <f t="shared" si="0"/>
        <v>Nhu</v>
      </c>
      <c r="B10" s="2" t="s">
        <v>130</v>
      </c>
      <c r="C10" s="2" t="s">
        <v>131</v>
      </c>
      <c r="D10" s="2">
        <v>443</v>
      </c>
      <c r="E10" s="2">
        <v>2</v>
      </c>
      <c r="F10" s="2">
        <v>14512</v>
      </c>
      <c r="G10" s="2">
        <v>10</v>
      </c>
      <c r="H10" s="53"/>
    </row>
    <row r="11" spans="1:121">
      <c r="A11" s="1" t="str">
        <f t="shared" si="0"/>
        <v>Nhu</v>
      </c>
      <c r="B11" s="2" t="s">
        <v>132</v>
      </c>
      <c r="C11" s="2" t="s">
        <v>70</v>
      </c>
      <c r="D11" s="2">
        <v>890</v>
      </c>
      <c r="E11" s="2">
        <v>2</v>
      </c>
      <c r="F11" s="2">
        <v>8844</v>
      </c>
      <c r="G11" s="2">
        <v>22</v>
      </c>
      <c r="H11" s="53"/>
    </row>
    <row r="12" spans="1:121">
      <c r="A12" s="1" t="str">
        <f t="shared" si="0"/>
        <v>Nhu</v>
      </c>
      <c r="B12" s="2" t="s">
        <v>132</v>
      </c>
      <c r="C12" s="2" t="s">
        <v>133</v>
      </c>
      <c r="D12" s="2">
        <v>9500</v>
      </c>
      <c r="E12" s="2">
        <v>4</v>
      </c>
      <c r="F12" s="2">
        <v>4484</v>
      </c>
      <c r="G12" s="2">
        <v>49</v>
      </c>
      <c r="H12" s="53"/>
    </row>
    <row r="13" spans="1:121">
      <c r="A13" s="1" t="str">
        <f t="shared" si="0"/>
        <v>Nhu</v>
      </c>
      <c r="B13" s="2" t="s">
        <v>132</v>
      </c>
      <c r="C13" s="2" t="s">
        <v>73</v>
      </c>
      <c r="D13" s="2">
        <v>12090</v>
      </c>
      <c r="E13" s="2">
        <v>4</v>
      </c>
      <c r="F13" s="2">
        <v>4371</v>
      </c>
      <c r="G13" s="2">
        <v>93</v>
      </c>
      <c r="H13" s="53"/>
    </row>
    <row r="14" spans="1:121">
      <c r="A14" s="1" t="str">
        <f t="shared" si="0"/>
        <v>Nhu</v>
      </c>
      <c r="B14" s="2" t="s">
        <v>134</v>
      </c>
      <c r="C14" s="2" t="s">
        <v>137</v>
      </c>
      <c r="D14" s="2">
        <v>10000</v>
      </c>
      <c r="E14" s="2">
        <v>1</v>
      </c>
      <c r="F14" s="2">
        <v>7537</v>
      </c>
      <c r="G14" s="2">
        <v>129</v>
      </c>
      <c r="H14" s="53"/>
    </row>
    <row r="15" spans="1:121">
      <c r="A15" s="1" t="str">
        <f t="shared" si="0"/>
        <v>Nhu</v>
      </c>
      <c r="B15" s="2" t="s">
        <v>134</v>
      </c>
      <c r="C15" s="2" t="s">
        <v>136</v>
      </c>
      <c r="D15" s="2">
        <v>3070</v>
      </c>
      <c r="E15" s="2">
        <v>3</v>
      </c>
      <c r="F15" s="2">
        <v>3970</v>
      </c>
      <c r="G15" s="2">
        <v>25</v>
      </c>
      <c r="H15" s="53"/>
    </row>
    <row r="16" spans="1:121">
      <c r="A16" s="1" t="str">
        <f t="shared" si="0"/>
        <v>Nhu</v>
      </c>
      <c r="B16" s="2" t="s">
        <v>134</v>
      </c>
      <c r="C16" s="2" t="s">
        <v>135</v>
      </c>
      <c r="D16" s="2">
        <v>2120</v>
      </c>
      <c r="E16" s="2">
        <v>7</v>
      </c>
      <c r="F16" s="2">
        <v>4896</v>
      </c>
      <c r="G16" s="2">
        <v>26</v>
      </c>
      <c r="H16" s="53"/>
    </row>
    <row r="17" spans="1:8">
      <c r="A17" s="1" t="str">
        <f t="shared" si="0"/>
        <v>Nhu</v>
      </c>
      <c r="B17" s="2" t="s">
        <v>134</v>
      </c>
      <c r="C17" s="2" t="s">
        <v>70</v>
      </c>
      <c r="D17" s="2">
        <v>1002</v>
      </c>
      <c r="E17" s="2">
        <v>2</v>
      </c>
      <c r="F17" s="2">
        <v>9400</v>
      </c>
      <c r="G17" s="2">
        <v>32</v>
      </c>
      <c r="H17" s="53"/>
    </row>
    <row r="18" spans="1:8">
      <c r="A18" s="1" t="str">
        <f t="shared" si="0"/>
        <v>Nhu</v>
      </c>
      <c r="B18" s="2" t="s">
        <v>134</v>
      </c>
      <c r="C18" s="2" t="s">
        <v>73</v>
      </c>
      <c r="D18" s="2">
        <v>10602</v>
      </c>
      <c r="E18" s="2">
        <v>8</v>
      </c>
      <c r="F18" s="2">
        <v>15089</v>
      </c>
      <c r="G18" s="2">
        <v>180</v>
      </c>
      <c r="H18" s="53"/>
    </row>
    <row r="19" spans="1:8">
      <c r="A19" s="1" t="str">
        <f t="shared" si="0"/>
        <v>Nhu</v>
      </c>
      <c r="B19" s="2" t="s">
        <v>138</v>
      </c>
      <c r="C19" s="2" t="s">
        <v>56</v>
      </c>
      <c r="D19" s="2">
        <v>455</v>
      </c>
      <c r="E19" s="2">
        <v>1</v>
      </c>
      <c r="F19" s="2">
        <v>9337</v>
      </c>
      <c r="G19" s="2">
        <v>6</v>
      </c>
      <c r="H19" s="53"/>
    </row>
    <row r="20" spans="1:8">
      <c r="A20" s="1" t="str">
        <f t="shared" si="0"/>
        <v>Nhu</v>
      </c>
      <c r="B20" s="2" t="s">
        <v>138</v>
      </c>
      <c r="C20" s="2" t="s">
        <v>70</v>
      </c>
      <c r="D20" s="2">
        <v>890</v>
      </c>
      <c r="E20" s="2">
        <v>2</v>
      </c>
      <c r="F20" s="2">
        <v>9946</v>
      </c>
      <c r="G20" s="2">
        <v>21</v>
      </c>
      <c r="H20" s="53"/>
    </row>
    <row r="21" spans="1:8">
      <c r="A21" s="1" t="str">
        <f t="shared" si="0"/>
        <v>Nhu</v>
      </c>
      <c r="B21" s="2" t="s">
        <v>138</v>
      </c>
      <c r="C21" s="2" t="s">
        <v>73</v>
      </c>
      <c r="D21" s="2">
        <v>12090</v>
      </c>
      <c r="E21" s="2">
        <v>4</v>
      </c>
      <c r="F21" s="2">
        <v>3919</v>
      </c>
      <c r="G21" s="2">
        <v>86</v>
      </c>
      <c r="H21" s="53"/>
    </row>
    <row r="22" spans="1:8">
      <c r="A22" s="1" t="str">
        <f t="shared" si="0"/>
        <v>Nhu</v>
      </c>
      <c r="B22" s="2" t="s">
        <v>139</v>
      </c>
      <c r="C22" s="2" t="s">
        <v>47</v>
      </c>
      <c r="D22" s="2">
        <v>1839</v>
      </c>
      <c r="E22" s="2">
        <v>10</v>
      </c>
      <c r="F22" s="2">
        <v>4095</v>
      </c>
      <c r="G22" s="2">
        <v>41</v>
      </c>
      <c r="H22" s="53"/>
    </row>
    <row r="23" spans="1:8">
      <c r="A23" s="1" t="str">
        <f t="shared" si="0"/>
        <v>Nhu</v>
      </c>
      <c r="B23" s="2" t="s">
        <v>139</v>
      </c>
      <c r="C23" s="2" t="s">
        <v>70</v>
      </c>
      <c r="D23" s="2">
        <v>627</v>
      </c>
      <c r="E23" s="2">
        <v>2</v>
      </c>
      <c r="F23" s="2">
        <v>8651</v>
      </c>
      <c r="G23" s="2">
        <v>15</v>
      </c>
      <c r="H23" s="53"/>
    </row>
    <row r="24" spans="1:8">
      <c r="A24" s="1" t="str">
        <f t="shared" ref="A24:A25" si="1">$B$2</f>
        <v>Nhu</v>
      </c>
      <c r="B24" s="2" t="s">
        <v>141</v>
      </c>
      <c r="C24" s="2" t="s">
        <v>47</v>
      </c>
      <c r="D24" s="2">
        <v>3149</v>
      </c>
      <c r="E24" s="2">
        <v>9</v>
      </c>
      <c r="F24" s="2">
        <v>5669</v>
      </c>
      <c r="G24" s="2">
        <v>52</v>
      </c>
      <c r="H24" s="53"/>
    </row>
    <row r="25" spans="1:8">
      <c r="A25" s="1" t="str">
        <f t="shared" si="1"/>
        <v>Nhu</v>
      </c>
      <c r="B25" s="2" t="s">
        <v>141</v>
      </c>
      <c r="C25" s="2" t="s">
        <v>48</v>
      </c>
      <c r="D25" s="2">
        <v>2151</v>
      </c>
      <c r="E25" s="2">
        <v>1</v>
      </c>
      <c r="F25" s="2">
        <v>4048</v>
      </c>
      <c r="G25" s="2">
        <v>13</v>
      </c>
      <c r="H25" s="53"/>
    </row>
    <row r="26" spans="1:8">
      <c r="A26" s="1" t="str">
        <f t="shared" ref="A26:A28" si="2">$B$2</f>
        <v>Nhu</v>
      </c>
      <c r="B26" s="2" t="s">
        <v>142</v>
      </c>
      <c r="C26" s="2" t="s">
        <v>47</v>
      </c>
      <c r="D26" s="2">
        <v>5863</v>
      </c>
      <c r="E26" s="2">
        <v>20</v>
      </c>
      <c r="F26" s="2">
        <v>5356</v>
      </c>
      <c r="G26" s="2">
        <v>82</v>
      </c>
      <c r="H26" s="53"/>
    </row>
    <row r="27" spans="1:8">
      <c r="A27" s="1" t="str">
        <f t="shared" si="2"/>
        <v>Nhu</v>
      </c>
      <c r="B27" s="2" t="s">
        <v>142</v>
      </c>
      <c r="C27" s="2" t="s">
        <v>73</v>
      </c>
      <c r="D27" s="2">
        <v>40162</v>
      </c>
      <c r="E27" s="2">
        <v>15</v>
      </c>
      <c r="F27" s="2">
        <v>14505</v>
      </c>
      <c r="G27" s="2">
        <v>336</v>
      </c>
      <c r="H27" s="53"/>
    </row>
    <row r="28" spans="1:8">
      <c r="A28" s="1" t="str">
        <f t="shared" si="2"/>
        <v>Nhu</v>
      </c>
      <c r="B28" s="2" t="s">
        <v>142</v>
      </c>
      <c r="C28" s="2" t="s">
        <v>121</v>
      </c>
      <c r="D28" s="2">
        <v>812</v>
      </c>
      <c r="E28" s="2">
        <v>1</v>
      </c>
      <c r="F28" s="2">
        <v>10783</v>
      </c>
      <c r="G28" s="2">
        <v>6</v>
      </c>
      <c r="H28" s="53"/>
    </row>
    <row r="29" spans="1:8">
      <c r="A29" s="1" t="str">
        <f t="shared" ref="A29:A31" si="3">$B$2</f>
        <v>Nhu</v>
      </c>
      <c r="B29" s="2" t="s">
        <v>143</v>
      </c>
      <c r="C29" s="2" t="s">
        <v>47</v>
      </c>
      <c r="D29" s="2">
        <v>4644</v>
      </c>
      <c r="E29" s="2">
        <v>20</v>
      </c>
      <c r="F29" s="2">
        <v>6358</v>
      </c>
      <c r="G29" s="2">
        <v>108</v>
      </c>
      <c r="H29" s="53"/>
    </row>
    <row r="30" spans="1:8">
      <c r="A30" s="1" t="str">
        <f>$B$2</f>
        <v>Nhu</v>
      </c>
      <c r="B30" s="2" t="s">
        <v>143</v>
      </c>
      <c r="C30" s="2" t="s">
        <v>77</v>
      </c>
      <c r="D30" s="2">
        <v>84339</v>
      </c>
      <c r="E30" s="2">
        <v>9</v>
      </c>
      <c r="F30" s="2">
        <v>6487</v>
      </c>
      <c r="G30" s="2">
        <v>89</v>
      </c>
      <c r="H30" s="53"/>
    </row>
    <row r="31" spans="1:8">
      <c r="A31" s="1" t="str">
        <f t="shared" si="3"/>
        <v>Nhu</v>
      </c>
      <c r="B31" s="2" t="s">
        <v>143</v>
      </c>
      <c r="C31" s="2" t="s">
        <v>73</v>
      </c>
      <c r="D31" s="2">
        <v>26353</v>
      </c>
      <c r="E31" s="2">
        <v>6</v>
      </c>
      <c r="F31" s="2">
        <v>8180</v>
      </c>
      <c r="G31" s="2">
        <v>136</v>
      </c>
      <c r="H31" s="53"/>
    </row>
    <row r="32" spans="1:8">
      <c r="A32" s="1" t="str">
        <f>$B$2</f>
        <v>Nhu</v>
      </c>
      <c r="B32" s="2" t="s">
        <v>144</v>
      </c>
      <c r="C32" s="2" t="s">
        <v>77</v>
      </c>
      <c r="D32" s="2">
        <v>2381</v>
      </c>
      <c r="E32" s="2">
        <v>5</v>
      </c>
      <c r="G32" s="2">
        <v>47</v>
      </c>
      <c r="H32" s="53"/>
    </row>
    <row r="33" spans="1:8">
      <c r="A33" s="1" t="str">
        <f t="shared" ref="A33" si="4">$B$2</f>
        <v>Nhu</v>
      </c>
      <c r="B33" s="2" t="s">
        <v>144</v>
      </c>
      <c r="C33" s="2" t="s">
        <v>73</v>
      </c>
      <c r="D33" s="2">
        <v>48965</v>
      </c>
      <c r="E33" s="2">
        <v>15</v>
      </c>
      <c r="F33" s="2">
        <v>14899</v>
      </c>
      <c r="G33" s="2">
        <v>378</v>
      </c>
      <c r="H33" s="53"/>
    </row>
    <row r="34" spans="1:8">
      <c r="A34" s="1" t="str">
        <f t="shared" ref="A34" si="5">$B$2</f>
        <v>Nhu</v>
      </c>
      <c r="B34" s="2" t="s">
        <v>145</v>
      </c>
      <c r="C34" s="2" t="s">
        <v>48</v>
      </c>
      <c r="D34" s="2">
        <v>2187</v>
      </c>
      <c r="E34" s="2">
        <v>1</v>
      </c>
      <c r="F34" s="2">
        <v>4179</v>
      </c>
      <c r="G34" s="2">
        <v>19</v>
      </c>
      <c r="H34" s="53"/>
    </row>
    <row r="35" spans="1:8">
      <c r="A35" s="1" t="str">
        <f>$B$2</f>
        <v>Nhu</v>
      </c>
      <c r="B35" s="2" t="s">
        <v>148</v>
      </c>
      <c r="C35" s="2" t="s">
        <v>45</v>
      </c>
      <c r="D35" s="2">
        <v>35860</v>
      </c>
      <c r="E35" s="2">
        <v>66</v>
      </c>
      <c r="F35" s="2">
        <v>11264</v>
      </c>
      <c r="G35" s="2">
        <v>558</v>
      </c>
      <c r="H35" s="53"/>
    </row>
    <row r="36" spans="1:8">
      <c r="A36" s="1" t="str">
        <f t="shared" ref="A36:A37" si="6">$B$2</f>
        <v>Nhu</v>
      </c>
      <c r="B36" s="2" t="s">
        <v>149</v>
      </c>
      <c r="C36" s="2" t="s">
        <v>45</v>
      </c>
      <c r="D36" s="2">
        <v>47395</v>
      </c>
      <c r="E36" s="2">
        <v>48</v>
      </c>
      <c r="F36" s="2">
        <v>8303</v>
      </c>
      <c r="G36" s="2">
        <v>533</v>
      </c>
      <c r="H36" s="53"/>
    </row>
    <row r="37" spans="1:8">
      <c r="A37" s="1" t="str">
        <f t="shared" si="6"/>
        <v>Nhu</v>
      </c>
      <c r="B37" s="2" t="s">
        <v>149</v>
      </c>
      <c r="C37" s="2" t="s">
        <v>48</v>
      </c>
      <c r="D37" s="2">
        <v>2226</v>
      </c>
      <c r="E37" s="2">
        <v>1</v>
      </c>
      <c r="F37" s="2">
        <v>4179</v>
      </c>
      <c r="G37" s="2">
        <v>15</v>
      </c>
      <c r="H37" s="53"/>
    </row>
    <row r="38" spans="1:8">
      <c r="A38" s="1" t="str">
        <f>$B$2</f>
        <v>Nhu</v>
      </c>
      <c r="B38" s="2" t="s">
        <v>150</v>
      </c>
      <c r="C38" s="2" t="s">
        <v>45</v>
      </c>
      <c r="D38" s="2">
        <v>56164</v>
      </c>
      <c r="E38" s="2">
        <v>79</v>
      </c>
      <c r="F38" s="2">
        <v>12542.28736</v>
      </c>
      <c r="G38" s="2">
        <v>770</v>
      </c>
      <c r="H38" s="53"/>
    </row>
    <row r="39" spans="1:8">
      <c r="A39" s="1" t="str">
        <f>$B$2</f>
        <v>Nhu</v>
      </c>
      <c r="B39" s="2" t="s">
        <v>98</v>
      </c>
      <c r="C39" s="2" t="s">
        <v>45</v>
      </c>
      <c r="D39" s="2">
        <v>32056</v>
      </c>
      <c r="E39" s="2">
        <v>35</v>
      </c>
      <c r="F39" s="2">
        <v>7140.0744679999998</v>
      </c>
      <c r="G39" s="2">
        <v>448</v>
      </c>
      <c r="H39" s="53"/>
    </row>
  </sheetData>
  <dataValidations count="1">
    <dataValidation type="list" allowBlank="1" showInputMessage="1" showErrorMessage="1" sqref="C4:C39" xr:uid="{F33B1BF4-D384-4C68-B28C-5F658E06CEE9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438D-034F-40C8-94DE-3A5D29360FFB}">
  <dimension ref="A1:DQ22"/>
  <sheetViews>
    <sheetView zoomScaleNormal="100" zoomScaleSheetLayoutView="40" workbookViewId="0">
      <selection activeCell="F29" sqref="F29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106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22" si="0">$B$2</f>
        <v>Luan</v>
      </c>
      <c r="B4" s="2" t="s">
        <v>120</v>
      </c>
      <c r="C4" s="2" t="s">
        <v>40</v>
      </c>
      <c r="D4" s="2">
        <v>88966</v>
      </c>
      <c r="E4" s="2">
        <v>52</v>
      </c>
      <c r="F4" s="2">
        <v>7470</v>
      </c>
      <c r="G4" s="2">
        <v>991</v>
      </c>
    </row>
    <row r="5" spans="1:121">
      <c r="A5" s="1" t="str">
        <f t="shared" si="0"/>
        <v>Luan</v>
      </c>
      <c r="B5" s="2" t="s">
        <v>129</v>
      </c>
      <c r="C5" s="2" t="s">
        <v>40</v>
      </c>
      <c r="D5" s="2">
        <v>172681</v>
      </c>
      <c r="E5" s="2">
        <v>79</v>
      </c>
      <c r="F5" s="2">
        <v>7910</v>
      </c>
      <c r="G5" s="2">
        <v>1839</v>
      </c>
    </row>
    <row r="6" spans="1:121">
      <c r="A6" s="1" t="str">
        <f t="shared" si="0"/>
        <v>Luan</v>
      </c>
      <c r="B6" s="2" t="s">
        <v>130</v>
      </c>
      <c r="C6" s="2" t="s">
        <v>40</v>
      </c>
      <c r="D6" s="2">
        <v>130371</v>
      </c>
      <c r="E6" s="2">
        <v>83</v>
      </c>
      <c r="F6" s="2">
        <v>9590</v>
      </c>
      <c r="G6" s="2">
        <v>1524</v>
      </c>
    </row>
    <row r="7" spans="1:121">
      <c r="A7" s="1" t="str">
        <f t="shared" si="0"/>
        <v>Luan</v>
      </c>
      <c r="B7" s="2" t="s">
        <v>132</v>
      </c>
      <c r="C7" s="2" t="s">
        <v>40</v>
      </c>
      <c r="D7" s="2">
        <v>370639</v>
      </c>
      <c r="E7" s="2">
        <v>103</v>
      </c>
      <c r="F7" s="2">
        <v>7504</v>
      </c>
      <c r="G7" s="2">
        <v>3805</v>
      </c>
    </row>
    <row r="8" spans="1:121">
      <c r="A8" s="1" t="str">
        <f t="shared" si="0"/>
        <v>Luan</v>
      </c>
      <c r="B8" s="2" t="s">
        <v>134</v>
      </c>
      <c r="C8" s="2" t="s">
        <v>40</v>
      </c>
      <c r="D8" s="2">
        <v>175387</v>
      </c>
      <c r="E8" s="2">
        <v>72</v>
      </c>
      <c r="F8" s="2">
        <v>11390</v>
      </c>
      <c r="G8" s="2">
        <v>2345</v>
      </c>
    </row>
    <row r="9" spans="1:121">
      <c r="A9" s="1" t="str">
        <f t="shared" si="0"/>
        <v>Luan</v>
      </c>
      <c r="B9" s="2" t="s">
        <v>138</v>
      </c>
      <c r="C9" s="2" t="s">
        <v>40</v>
      </c>
      <c r="D9" s="2">
        <v>134787</v>
      </c>
      <c r="E9" s="2">
        <v>55</v>
      </c>
      <c r="F9" s="2">
        <v>7983</v>
      </c>
      <c r="G9" s="2">
        <v>1382</v>
      </c>
    </row>
    <row r="10" spans="1:121">
      <c r="A10" s="1" t="str">
        <f t="shared" si="0"/>
        <v>Luan</v>
      </c>
      <c r="B10" s="2" t="s">
        <v>139</v>
      </c>
      <c r="C10" s="2" t="s">
        <v>40</v>
      </c>
      <c r="D10" s="2">
        <v>189937</v>
      </c>
      <c r="E10" s="2">
        <v>57</v>
      </c>
      <c r="F10" s="2">
        <v>11194</v>
      </c>
      <c r="G10" s="2">
        <v>2266</v>
      </c>
    </row>
    <row r="11" spans="1:121">
      <c r="A11" s="1" t="str">
        <f t="shared" si="0"/>
        <v>Luan</v>
      </c>
      <c r="B11" s="2" t="s">
        <v>139</v>
      </c>
      <c r="C11" s="2" t="s">
        <v>78</v>
      </c>
      <c r="D11" s="2">
        <v>994</v>
      </c>
      <c r="E11" s="2">
        <v>1</v>
      </c>
      <c r="F11" s="2">
        <v>5341</v>
      </c>
      <c r="G11" s="2">
        <v>3</v>
      </c>
    </row>
    <row r="12" spans="1:121">
      <c r="A12" s="1" t="str">
        <f t="shared" si="0"/>
        <v>Luan</v>
      </c>
      <c r="B12" s="2" t="s">
        <v>141</v>
      </c>
      <c r="C12" s="2" t="s">
        <v>40</v>
      </c>
      <c r="D12" s="2">
        <v>160051</v>
      </c>
      <c r="E12" s="2">
        <v>55</v>
      </c>
      <c r="F12" s="2">
        <v>7784</v>
      </c>
      <c r="G12" s="2">
        <v>1751</v>
      </c>
    </row>
    <row r="13" spans="1:121">
      <c r="A13" s="1" t="str">
        <f t="shared" si="0"/>
        <v>Luan</v>
      </c>
      <c r="B13" s="2" t="s">
        <v>141</v>
      </c>
      <c r="C13" s="2" t="s">
        <v>87</v>
      </c>
      <c r="D13" s="2">
        <v>13638</v>
      </c>
      <c r="E13" s="2">
        <v>16</v>
      </c>
      <c r="F13" s="2">
        <v>5422</v>
      </c>
      <c r="G13" s="2">
        <v>124</v>
      </c>
    </row>
    <row r="14" spans="1:121">
      <c r="A14" s="1" t="str">
        <f t="shared" si="0"/>
        <v>Luan</v>
      </c>
      <c r="B14" s="2" t="s">
        <v>142</v>
      </c>
      <c r="C14" s="2" t="s">
        <v>40</v>
      </c>
      <c r="D14" s="2">
        <v>200411</v>
      </c>
      <c r="E14" s="2">
        <v>75</v>
      </c>
      <c r="F14" s="2">
        <v>10683</v>
      </c>
      <c r="G14" s="2">
        <v>2493</v>
      </c>
    </row>
    <row r="15" spans="1:121">
      <c r="A15" s="1" t="str">
        <f t="shared" si="0"/>
        <v>Luan</v>
      </c>
      <c r="B15" s="2" t="s">
        <v>143</v>
      </c>
      <c r="C15" s="2" t="s">
        <v>40</v>
      </c>
      <c r="D15" s="2">
        <v>160572</v>
      </c>
      <c r="E15" s="2">
        <v>66</v>
      </c>
      <c r="F15" s="2">
        <v>7478</v>
      </c>
      <c r="G15" s="2">
        <v>1764</v>
      </c>
    </row>
    <row r="16" spans="1:121">
      <c r="A16" s="1" t="str">
        <f t="shared" si="0"/>
        <v>Luan</v>
      </c>
      <c r="B16" s="2" t="s">
        <v>144</v>
      </c>
      <c r="C16" s="2" t="s">
        <v>40</v>
      </c>
      <c r="D16" s="2">
        <v>200202</v>
      </c>
      <c r="E16" s="2">
        <v>83</v>
      </c>
      <c r="F16" s="2">
        <v>10510</v>
      </c>
      <c r="G16" s="2">
        <v>2877</v>
      </c>
    </row>
    <row r="17" spans="1:7">
      <c r="A17" s="1" t="str">
        <f t="shared" si="0"/>
        <v>Luan</v>
      </c>
      <c r="B17" s="2" t="s">
        <v>145</v>
      </c>
      <c r="C17" s="2" t="s">
        <v>40</v>
      </c>
      <c r="D17" s="2">
        <v>144941</v>
      </c>
      <c r="E17" s="2">
        <v>50</v>
      </c>
      <c r="F17" s="2">
        <v>9369</v>
      </c>
      <c r="G17" s="2">
        <v>1875</v>
      </c>
    </row>
    <row r="18" spans="1:7">
      <c r="A18" s="1" t="str">
        <f t="shared" si="0"/>
        <v>Luan</v>
      </c>
      <c r="B18" s="2" t="s">
        <v>145</v>
      </c>
      <c r="C18" s="2" t="s">
        <v>45</v>
      </c>
      <c r="D18" s="2">
        <v>28056</v>
      </c>
      <c r="E18" s="2">
        <v>38</v>
      </c>
      <c r="F18" s="2">
        <v>10315</v>
      </c>
      <c r="G18" s="2">
        <v>424</v>
      </c>
    </row>
    <row r="19" spans="1:7">
      <c r="A19" s="1" t="str">
        <f t="shared" si="0"/>
        <v>Luan</v>
      </c>
      <c r="B19" s="2" t="s">
        <v>148</v>
      </c>
      <c r="C19" s="2" t="s">
        <v>40</v>
      </c>
      <c r="D19" s="2">
        <v>167156</v>
      </c>
      <c r="E19" s="2">
        <v>86</v>
      </c>
      <c r="F19" s="2">
        <v>11603</v>
      </c>
      <c r="G19" s="2">
        <v>2404</v>
      </c>
    </row>
    <row r="20" spans="1:7">
      <c r="A20" s="1" t="str">
        <f t="shared" si="0"/>
        <v>Luan</v>
      </c>
      <c r="B20" s="2" t="s">
        <v>149</v>
      </c>
      <c r="C20" s="2" t="s">
        <v>40</v>
      </c>
      <c r="D20" s="2">
        <v>100919</v>
      </c>
      <c r="E20" s="2">
        <v>41</v>
      </c>
      <c r="F20" s="2">
        <v>8241</v>
      </c>
      <c r="G20" s="2">
        <v>1166</v>
      </c>
    </row>
    <row r="21" spans="1:7">
      <c r="A21" s="1" t="str">
        <f t="shared" si="0"/>
        <v>Luan</v>
      </c>
      <c r="B21" s="2" t="s">
        <v>150</v>
      </c>
      <c r="C21" s="2" t="s">
        <v>40</v>
      </c>
      <c r="D21" s="2">
        <v>179012</v>
      </c>
      <c r="E21" s="2">
        <v>89</v>
      </c>
      <c r="F21" s="2">
        <v>12542.28736</v>
      </c>
      <c r="G21" s="2">
        <v>2922</v>
      </c>
    </row>
    <row r="22" spans="1:7">
      <c r="A22" s="1" t="str">
        <f t="shared" si="0"/>
        <v>Luan</v>
      </c>
      <c r="B22" s="2" t="s">
        <v>98</v>
      </c>
      <c r="C22" s="2" t="s">
        <v>40</v>
      </c>
      <c r="D22" s="2">
        <v>207757</v>
      </c>
      <c r="E22" s="2">
        <v>45</v>
      </c>
      <c r="F22" s="2">
        <v>7140.0744679999998</v>
      </c>
      <c r="G22" s="2">
        <v>2471</v>
      </c>
    </row>
  </sheetData>
  <dataValidations count="1">
    <dataValidation type="list" allowBlank="1" showInputMessage="1" showErrorMessage="1" sqref="C4:C22" xr:uid="{95FE1BD7-47CE-4653-BA3B-EBBC2FBD7F84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3F63-FAD1-4E63-97A2-23DFD8CE1D2F}">
  <dimension ref="A1:DQ15"/>
  <sheetViews>
    <sheetView zoomScaleNormal="100" zoomScaleSheetLayoutView="40" workbookViewId="0">
      <selection activeCell="D22" sqref="D22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0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12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15" si="0">$B$2</f>
        <v>Khanh</v>
      </c>
      <c r="B4" s="2" t="s">
        <v>139</v>
      </c>
      <c r="C4" s="2" t="s">
        <v>60</v>
      </c>
      <c r="D4" s="2">
        <v>1350</v>
      </c>
      <c r="E4" s="2">
        <v>2</v>
      </c>
      <c r="F4" s="2">
        <v>9648</v>
      </c>
      <c r="G4" s="2">
        <v>32</v>
      </c>
      <c r="H4" s="53"/>
    </row>
    <row r="5" spans="1:121">
      <c r="A5" s="1" t="str">
        <f t="shared" si="0"/>
        <v>Khanh</v>
      </c>
      <c r="B5" s="2" t="s">
        <v>139</v>
      </c>
      <c r="C5" s="2" t="s">
        <v>77</v>
      </c>
      <c r="D5" s="2">
        <v>1969</v>
      </c>
      <c r="E5" s="2">
        <v>15</v>
      </c>
      <c r="F5" s="2">
        <v>5872</v>
      </c>
      <c r="G5" s="2">
        <v>46</v>
      </c>
      <c r="H5" s="53"/>
    </row>
    <row r="6" spans="1:121">
      <c r="A6" s="1" t="str">
        <f t="shared" si="0"/>
        <v>Khanh</v>
      </c>
      <c r="B6" s="2" t="s">
        <v>141</v>
      </c>
      <c r="C6" s="2" t="s">
        <v>60</v>
      </c>
      <c r="D6" s="2">
        <v>1138</v>
      </c>
      <c r="E6" s="2">
        <v>6</v>
      </c>
      <c r="F6" s="2">
        <v>9775</v>
      </c>
      <c r="G6" s="2">
        <v>36</v>
      </c>
      <c r="H6" s="53"/>
    </row>
    <row r="7" spans="1:121">
      <c r="A7" s="1" t="str">
        <f t="shared" si="0"/>
        <v>Khanh</v>
      </c>
      <c r="B7" s="2" t="s">
        <v>141</v>
      </c>
      <c r="C7" s="2" t="s">
        <v>77</v>
      </c>
      <c r="D7" s="2">
        <v>3963</v>
      </c>
      <c r="E7" s="2">
        <v>6</v>
      </c>
      <c r="F7" s="2">
        <v>5170</v>
      </c>
      <c r="G7" s="2">
        <v>52</v>
      </c>
      <c r="H7" s="53"/>
    </row>
    <row r="8" spans="1:121">
      <c r="A8" s="1" t="str">
        <f t="shared" si="0"/>
        <v>Khanh</v>
      </c>
      <c r="B8" s="2" t="s">
        <v>142</v>
      </c>
      <c r="C8" s="2" t="s">
        <v>54</v>
      </c>
      <c r="D8" s="2">
        <v>6361</v>
      </c>
      <c r="E8" s="2">
        <v>5</v>
      </c>
      <c r="F8" s="2">
        <v>8228</v>
      </c>
      <c r="G8" s="2">
        <v>75</v>
      </c>
      <c r="H8" s="53"/>
    </row>
    <row r="9" spans="1:121">
      <c r="A9" s="1" t="str">
        <f t="shared" si="0"/>
        <v>Khanh</v>
      </c>
      <c r="B9" s="2" t="s">
        <v>142</v>
      </c>
      <c r="C9" s="2">
        <v>241</v>
      </c>
      <c r="D9" s="2">
        <v>2297</v>
      </c>
      <c r="E9" s="2">
        <v>4</v>
      </c>
      <c r="F9" s="2">
        <v>15725</v>
      </c>
      <c r="G9" s="2">
        <v>44</v>
      </c>
      <c r="H9" s="53"/>
    </row>
    <row r="10" spans="1:121">
      <c r="A10" s="1" t="str">
        <f t="shared" si="0"/>
        <v>Khanh</v>
      </c>
      <c r="B10" s="2" t="s">
        <v>143</v>
      </c>
      <c r="C10" s="2" t="s">
        <v>54</v>
      </c>
      <c r="D10" s="2">
        <v>3824</v>
      </c>
      <c r="E10" s="2">
        <v>4</v>
      </c>
      <c r="F10" s="2">
        <v>6325</v>
      </c>
      <c r="G10" s="2">
        <v>41</v>
      </c>
      <c r="H10" s="53"/>
    </row>
    <row r="11" spans="1:121">
      <c r="A11" s="1" t="str">
        <f t="shared" si="0"/>
        <v>Khanh</v>
      </c>
      <c r="B11" s="2" t="s">
        <v>144</v>
      </c>
      <c r="C11" s="2">
        <v>241</v>
      </c>
      <c r="D11" s="2">
        <v>3823</v>
      </c>
      <c r="E11" s="2">
        <v>11</v>
      </c>
      <c r="F11" s="2">
        <v>11845</v>
      </c>
      <c r="G11" s="2">
        <v>100</v>
      </c>
      <c r="H11" s="53"/>
    </row>
    <row r="12" spans="1:121">
      <c r="A12" s="1" t="str">
        <f t="shared" si="0"/>
        <v>Khanh</v>
      </c>
      <c r="B12" s="2" t="s">
        <v>144</v>
      </c>
      <c r="C12" s="2" t="s">
        <v>77</v>
      </c>
      <c r="D12" s="2">
        <v>20545</v>
      </c>
      <c r="E12" s="2">
        <v>36</v>
      </c>
      <c r="F12" s="2">
        <v>11334</v>
      </c>
      <c r="G12" s="2">
        <v>435</v>
      </c>
      <c r="H12" s="53"/>
    </row>
    <row r="13" spans="1:121">
      <c r="A13" s="1" t="str">
        <f t="shared" si="0"/>
        <v>Khanh</v>
      </c>
      <c r="B13" s="2" t="s">
        <v>145</v>
      </c>
      <c r="C13" s="2" t="s">
        <v>77</v>
      </c>
      <c r="D13" s="2">
        <v>15631</v>
      </c>
      <c r="E13" s="2">
        <v>15</v>
      </c>
      <c r="F13" s="2">
        <v>7746</v>
      </c>
      <c r="G13" s="2">
        <v>236</v>
      </c>
      <c r="H13" s="53"/>
    </row>
    <row r="14" spans="1:121">
      <c r="A14" s="1" t="str">
        <f t="shared" si="0"/>
        <v>Khanh</v>
      </c>
      <c r="B14" s="2" t="s">
        <v>148</v>
      </c>
      <c r="C14" s="2" t="s">
        <v>77</v>
      </c>
      <c r="D14" s="2">
        <v>18775</v>
      </c>
      <c r="E14" s="2">
        <v>36</v>
      </c>
      <c r="F14" s="2">
        <v>11931</v>
      </c>
      <c r="G14" s="2">
        <v>361</v>
      </c>
      <c r="H14" s="53"/>
    </row>
    <row r="15" spans="1:121">
      <c r="A15" s="1" t="str">
        <f t="shared" si="0"/>
        <v>Khanh</v>
      </c>
      <c r="B15" s="2" t="s">
        <v>149</v>
      </c>
      <c r="C15" s="2" t="s">
        <v>77</v>
      </c>
      <c r="D15" s="2">
        <v>22139</v>
      </c>
      <c r="E15" s="2">
        <v>23</v>
      </c>
      <c r="F15" s="2">
        <v>8161</v>
      </c>
      <c r="G15" s="2">
        <v>315</v>
      </c>
      <c r="H15" s="53"/>
    </row>
  </sheetData>
  <dataValidations count="1">
    <dataValidation type="list" allowBlank="1" showInputMessage="1" showErrorMessage="1" sqref="C4:C15" xr:uid="{23BE9EA5-6905-47A1-B8F7-CE70E1474AD9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0AF9-82BB-4550-BF9B-8F9AE9125244}">
  <dimension ref="A1:DQ6"/>
  <sheetViews>
    <sheetView zoomScaleNormal="100" zoomScaleSheetLayoutView="40" workbookViewId="0">
      <selection activeCell="A6" sqref="A6:H6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140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>$B$2</f>
        <v>V.Huy</v>
      </c>
      <c r="B4" s="2" t="s">
        <v>139</v>
      </c>
      <c r="C4" s="2" t="s">
        <v>73</v>
      </c>
      <c r="D4" s="2">
        <v>23182</v>
      </c>
      <c r="E4" s="2">
        <v>8</v>
      </c>
      <c r="F4" s="2">
        <v>15294</v>
      </c>
      <c r="G4" s="2">
        <v>271</v>
      </c>
      <c r="H4" s="53"/>
    </row>
    <row r="5" spans="1:121">
      <c r="A5" s="1" t="str">
        <f>$B$2</f>
        <v>V.Huy</v>
      </c>
      <c r="B5" s="2" t="s">
        <v>139</v>
      </c>
      <c r="C5" s="2" t="s">
        <v>131</v>
      </c>
      <c r="D5" s="2">
        <v>2223</v>
      </c>
      <c r="E5" s="2">
        <v>3</v>
      </c>
      <c r="F5" s="2">
        <v>10667</v>
      </c>
      <c r="G5" s="2">
        <v>24</v>
      </c>
      <c r="H5" s="53"/>
    </row>
    <row r="6" spans="1:121">
      <c r="A6" s="1" t="str">
        <f>$B$2</f>
        <v>V.Huy</v>
      </c>
      <c r="B6" s="2" t="s">
        <v>141</v>
      </c>
      <c r="C6" s="2" t="s">
        <v>73</v>
      </c>
      <c r="D6" s="2">
        <v>19732</v>
      </c>
      <c r="E6" s="2">
        <v>4</v>
      </c>
      <c r="F6" s="2">
        <v>7833</v>
      </c>
      <c r="G6" s="2">
        <v>196</v>
      </c>
      <c r="H6" s="53"/>
    </row>
  </sheetData>
  <dataValidations count="1">
    <dataValidation type="list" allowBlank="1" showInputMessage="1" showErrorMessage="1" sqref="C4:C6" xr:uid="{93A6C49A-819D-4A66-8423-5259AD89CBB3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15BD-609A-4E72-82CC-E35B999AF7F2}">
  <dimension ref="A1:DQ24"/>
  <sheetViews>
    <sheetView topLeftCell="A9" zoomScaleNormal="100" zoomScaleSheetLayoutView="40" workbookViewId="0">
      <selection activeCell="D14" sqref="D14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35.10937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107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1" t="str">
        <f t="shared" ref="A4:A23" si="0">$B$2</f>
        <v>Q.Huy</v>
      </c>
      <c r="B4" s="2" t="s">
        <v>144</v>
      </c>
      <c r="C4" s="2" t="s">
        <v>46</v>
      </c>
      <c r="D4" s="2">
        <v>50</v>
      </c>
      <c r="E4" s="2">
        <v>1</v>
      </c>
      <c r="F4" s="2">
        <v>4832</v>
      </c>
      <c r="G4" s="2">
        <v>1</v>
      </c>
      <c r="H4" s="53"/>
    </row>
    <row r="5" spans="1:121">
      <c r="A5" s="1" t="str">
        <f t="shared" si="0"/>
        <v>Q.Huy</v>
      </c>
      <c r="B5" s="2" t="s">
        <v>144</v>
      </c>
      <c r="C5" s="2" t="s">
        <v>48</v>
      </c>
      <c r="D5" s="2">
        <v>500</v>
      </c>
      <c r="E5" s="2">
        <v>1</v>
      </c>
      <c r="F5" s="2">
        <v>2654</v>
      </c>
      <c r="G5" s="2">
        <v>6</v>
      </c>
      <c r="H5" s="53"/>
    </row>
    <row r="6" spans="1:121">
      <c r="A6" s="1" t="str">
        <f t="shared" si="0"/>
        <v>Q.Huy</v>
      </c>
      <c r="B6" s="2" t="s">
        <v>144</v>
      </c>
      <c r="C6" s="2" t="s">
        <v>81</v>
      </c>
      <c r="D6" s="2">
        <v>3892</v>
      </c>
      <c r="E6" s="2">
        <v>7</v>
      </c>
      <c r="F6" s="2">
        <v>10672</v>
      </c>
      <c r="G6" s="2">
        <v>73</v>
      </c>
      <c r="H6" s="53"/>
    </row>
    <row r="7" spans="1:121">
      <c r="A7" s="1" t="str">
        <f t="shared" si="0"/>
        <v>Q.Huy</v>
      </c>
      <c r="B7" s="2" t="s">
        <v>144</v>
      </c>
      <c r="C7" s="2" t="s">
        <v>83</v>
      </c>
      <c r="D7" s="2">
        <v>3373</v>
      </c>
      <c r="E7" s="2">
        <v>15</v>
      </c>
      <c r="F7" s="2">
        <v>5354</v>
      </c>
      <c r="G7" s="2">
        <v>58</v>
      </c>
      <c r="H7" s="53"/>
    </row>
    <row r="8" spans="1:121">
      <c r="A8" s="1" t="str">
        <f t="shared" si="0"/>
        <v>Q.Huy</v>
      </c>
      <c r="B8" s="2" t="s">
        <v>145</v>
      </c>
      <c r="C8" s="2" t="s">
        <v>46</v>
      </c>
      <c r="D8" s="2">
        <v>3813</v>
      </c>
      <c r="E8" s="2">
        <v>20</v>
      </c>
      <c r="F8" s="2">
        <v>5267</v>
      </c>
      <c r="G8" s="2">
        <v>56</v>
      </c>
      <c r="H8" s="53"/>
    </row>
    <row r="9" spans="1:121">
      <c r="A9" s="1" t="str">
        <f t="shared" si="0"/>
        <v>Q.Huy</v>
      </c>
      <c r="B9" s="2" t="s">
        <v>145</v>
      </c>
      <c r="C9" s="2" t="s">
        <v>81</v>
      </c>
      <c r="D9" s="2">
        <v>290</v>
      </c>
      <c r="E9" s="2">
        <v>1</v>
      </c>
      <c r="F9" s="2">
        <v>8454</v>
      </c>
      <c r="G9" s="2">
        <v>11</v>
      </c>
      <c r="H9" s="53"/>
    </row>
    <row r="10" spans="1:121">
      <c r="A10" s="1" t="str">
        <f t="shared" si="0"/>
        <v>Q.Huy</v>
      </c>
      <c r="B10" s="2" t="s">
        <v>145</v>
      </c>
      <c r="C10" s="2" t="s">
        <v>83</v>
      </c>
      <c r="D10" s="2">
        <v>2061</v>
      </c>
      <c r="E10" s="2">
        <v>9</v>
      </c>
      <c r="F10" s="2">
        <v>4194</v>
      </c>
      <c r="G10" s="2">
        <v>52</v>
      </c>
      <c r="H10" s="53"/>
    </row>
    <row r="11" spans="1:121">
      <c r="A11" s="1" t="str">
        <f t="shared" si="0"/>
        <v>Q.Huy</v>
      </c>
      <c r="B11" s="2" t="s">
        <v>145</v>
      </c>
      <c r="C11" s="2">
        <v>141</v>
      </c>
      <c r="D11" s="2">
        <v>6</v>
      </c>
      <c r="E11" s="2">
        <v>2</v>
      </c>
      <c r="F11" s="2">
        <v>14012</v>
      </c>
      <c r="G11" s="2">
        <v>3</v>
      </c>
      <c r="H11" s="53"/>
    </row>
    <row r="12" spans="1:121">
      <c r="A12" s="1" t="str">
        <f t="shared" si="0"/>
        <v>Q.Huy</v>
      </c>
      <c r="B12" s="2" t="s">
        <v>148</v>
      </c>
      <c r="C12" s="2" t="s">
        <v>46</v>
      </c>
      <c r="D12" s="2">
        <v>1099</v>
      </c>
      <c r="E12" s="2">
        <v>5</v>
      </c>
      <c r="F12" s="2">
        <v>3915</v>
      </c>
      <c r="G12" s="2">
        <v>25</v>
      </c>
      <c r="H12" s="53"/>
    </row>
    <row r="13" spans="1:121">
      <c r="A13" s="1" t="str">
        <f t="shared" si="0"/>
        <v>Q.Huy</v>
      </c>
      <c r="B13" s="2" t="s">
        <v>148</v>
      </c>
      <c r="C13" s="2" t="s">
        <v>53</v>
      </c>
      <c r="D13" s="2">
        <v>300</v>
      </c>
      <c r="E13" s="2">
        <v>3</v>
      </c>
      <c r="F13" s="2">
        <v>9890</v>
      </c>
      <c r="G13" s="2">
        <v>18</v>
      </c>
      <c r="H13" s="53"/>
    </row>
    <row r="14" spans="1:121">
      <c r="A14" s="1" t="str">
        <f t="shared" si="0"/>
        <v>Q.Huy</v>
      </c>
      <c r="B14" s="2" t="s">
        <v>148</v>
      </c>
      <c r="C14" s="2" t="s">
        <v>83</v>
      </c>
      <c r="D14" s="2">
        <v>1916</v>
      </c>
      <c r="E14" s="2">
        <v>9</v>
      </c>
      <c r="F14" s="2">
        <v>7430</v>
      </c>
      <c r="G14" s="2">
        <v>19</v>
      </c>
      <c r="H14" s="53"/>
    </row>
    <row r="15" spans="1:121">
      <c r="A15" s="1" t="str">
        <f t="shared" si="0"/>
        <v>Q.Huy</v>
      </c>
      <c r="B15" s="2" t="s">
        <v>148</v>
      </c>
      <c r="C15" s="2">
        <v>141</v>
      </c>
      <c r="D15" s="2">
        <v>52</v>
      </c>
      <c r="E15" s="2">
        <v>2</v>
      </c>
      <c r="F15" s="2">
        <v>14012</v>
      </c>
      <c r="G15" s="2">
        <v>26</v>
      </c>
      <c r="H15" s="53"/>
    </row>
    <row r="16" spans="1:121">
      <c r="A16" s="1" t="str">
        <f t="shared" si="0"/>
        <v>Q.Huy</v>
      </c>
      <c r="B16" s="2" t="s">
        <v>149</v>
      </c>
      <c r="C16" s="2" t="s">
        <v>46</v>
      </c>
      <c r="D16" s="2">
        <v>9386</v>
      </c>
      <c r="E16" s="2">
        <v>26</v>
      </c>
      <c r="F16" s="2">
        <v>8463</v>
      </c>
      <c r="G16" s="2">
        <v>40</v>
      </c>
      <c r="H16" s="53"/>
    </row>
    <row r="17" spans="1:8">
      <c r="A17" s="1" t="str">
        <f t="shared" si="0"/>
        <v>Q.Huy</v>
      </c>
      <c r="B17" s="2" t="s">
        <v>149</v>
      </c>
      <c r="C17" s="2">
        <v>141</v>
      </c>
      <c r="D17" s="2">
        <v>298</v>
      </c>
      <c r="E17" s="2">
        <v>7</v>
      </c>
      <c r="F17" s="2">
        <v>13614</v>
      </c>
      <c r="G17" s="2">
        <v>16</v>
      </c>
      <c r="H17" s="53"/>
    </row>
    <row r="18" spans="1:8">
      <c r="A18" s="1" t="str">
        <f t="shared" si="0"/>
        <v>Q.Huy</v>
      </c>
      <c r="B18" s="2" t="s">
        <v>150</v>
      </c>
      <c r="C18" s="2" t="s">
        <v>46</v>
      </c>
      <c r="D18" s="2">
        <v>20689</v>
      </c>
      <c r="E18" s="2">
        <v>37</v>
      </c>
      <c r="F18" s="2">
        <v>9594</v>
      </c>
      <c r="G18" s="2">
        <v>366</v>
      </c>
      <c r="H18" s="53" t="s">
        <v>153</v>
      </c>
    </row>
    <row r="19" spans="1:8">
      <c r="A19" s="1" t="str">
        <f t="shared" si="0"/>
        <v>Q.Huy</v>
      </c>
      <c r="B19" s="2" t="s">
        <v>150</v>
      </c>
      <c r="C19" s="2" t="s">
        <v>77</v>
      </c>
      <c r="D19" s="2">
        <v>27289</v>
      </c>
      <c r="E19" s="2">
        <v>33</v>
      </c>
      <c r="F19" s="2">
        <v>12716</v>
      </c>
      <c r="G19" s="2">
        <v>511</v>
      </c>
      <c r="H19" s="53" t="s">
        <v>154</v>
      </c>
    </row>
    <row r="20" spans="1:8">
      <c r="A20" s="1" t="str">
        <f>$B$2</f>
        <v>Q.Huy</v>
      </c>
      <c r="B20" s="2" t="s">
        <v>150</v>
      </c>
      <c r="C20" s="2" t="s">
        <v>53</v>
      </c>
      <c r="D20" s="2">
        <v>200</v>
      </c>
      <c r="E20" s="2">
        <v>4</v>
      </c>
      <c r="F20" s="2">
        <v>11636</v>
      </c>
      <c r="G20" s="2">
        <v>12</v>
      </c>
      <c r="H20" s="53"/>
    </row>
    <row r="21" spans="1:8">
      <c r="A21" s="1" t="str">
        <f t="shared" si="0"/>
        <v>Q.Huy</v>
      </c>
      <c r="B21" s="2" t="s">
        <v>150</v>
      </c>
      <c r="C21" s="2" t="s">
        <v>81</v>
      </c>
      <c r="D21" s="2">
        <v>2582</v>
      </c>
      <c r="E21" s="2">
        <v>3</v>
      </c>
      <c r="F21" s="2">
        <v>12719</v>
      </c>
      <c r="G21" s="2">
        <v>46</v>
      </c>
      <c r="H21" s="53"/>
    </row>
    <row r="22" spans="1:8">
      <c r="A22" s="1" t="str">
        <f t="shared" si="0"/>
        <v>Q.Huy</v>
      </c>
      <c r="B22" s="2" t="s">
        <v>98</v>
      </c>
      <c r="C22" s="2" t="s">
        <v>46</v>
      </c>
      <c r="D22" s="2">
        <v>11323</v>
      </c>
      <c r="E22" s="2">
        <v>28</v>
      </c>
      <c r="F22" s="2">
        <v>7424.7962960000004</v>
      </c>
      <c r="G22" s="2">
        <v>191</v>
      </c>
      <c r="H22" s="53"/>
    </row>
    <row r="23" spans="1:8">
      <c r="A23" s="1" t="str">
        <f t="shared" si="0"/>
        <v>Q.Huy</v>
      </c>
      <c r="B23" s="2" t="s">
        <v>98</v>
      </c>
      <c r="C23" s="2" t="s">
        <v>53</v>
      </c>
      <c r="D23" s="2">
        <v>811</v>
      </c>
      <c r="E23" s="2">
        <v>3</v>
      </c>
      <c r="F23" s="2">
        <v>7995.3333329999996</v>
      </c>
      <c r="G23" s="2">
        <v>27</v>
      </c>
      <c r="H23" s="53"/>
    </row>
    <row r="24" spans="1:8">
      <c r="A24" s="1" t="str">
        <f>$B$2</f>
        <v>Q.Huy</v>
      </c>
      <c r="B24" s="2" t="s">
        <v>98</v>
      </c>
      <c r="C24" s="2" t="s">
        <v>77</v>
      </c>
      <c r="D24" s="2">
        <v>14305</v>
      </c>
      <c r="E24" s="2">
        <v>12</v>
      </c>
      <c r="F24" s="2">
        <v>10292.666670000001</v>
      </c>
      <c r="G24" s="2">
        <v>233</v>
      </c>
      <c r="H24" s="53"/>
    </row>
  </sheetData>
  <dataValidations count="1">
    <dataValidation type="list" allowBlank="1" showInputMessage="1" showErrorMessage="1" sqref="C4:C24" xr:uid="{0A75065A-005C-4529-A15D-15B5D561020B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DB36-7A89-4A22-A160-FC96C4BCC68F}">
  <dimension ref="A1:DP6"/>
  <sheetViews>
    <sheetView zoomScaleNormal="100" zoomScaleSheetLayoutView="40" workbookViewId="0">
      <selection activeCell="A6" sqref="A6:XFD6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9" style="2" bestFit="1" customWidth="1"/>
    <col min="9" max="9" width="10.109375" style="2" customWidth="1"/>
    <col min="10" max="17" width="4.88671875" style="2" customWidth="1"/>
    <col min="18" max="18" width="5.44140625" style="2" bestFit="1" customWidth="1"/>
    <col min="19" max="19" width="7.6640625" style="2" customWidth="1"/>
    <col min="20" max="20" width="6.33203125" style="4" customWidth="1"/>
    <col min="21" max="21" width="6.6640625" style="2" customWidth="1"/>
    <col min="22" max="22" width="6.33203125" style="4" customWidth="1"/>
    <col min="23" max="23" width="8.33203125" style="2" customWidth="1"/>
    <col min="24" max="24" width="6.33203125" style="2" customWidth="1"/>
    <col min="25" max="25" width="6.33203125" style="4" customWidth="1"/>
    <col min="26" max="26" width="7.88671875" style="2" customWidth="1"/>
    <col min="27" max="27" width="9.109375" style="4" customWidth="1"/>
    <col min="28" max="28" width="6.6640625" style="2" customWidth="1"/>
    <col min="29" max="29" width="8.6640625" style="4" customWidth="1"/>
    <col min="30" max="30" width="8.33203125" style="2" customWidth="1"/>
    <col min="31" max="31" width="6.33203125" style="2" customWidth="1"/>
    <col min="32" max="32" width="7.109375" style="4" customWidth="1"/>
    <col min="33" max="16384" width="9" style="2"/>
  </cols>
  <sheetData>
    <row r="1" spans="1:120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U1" s="2"/>
      <c r="W1" s="2"/>
      <c r="X1" s="2"/>
      <c r="Z1" s="2"/>
      <c r="AB1" s="2"/>
      <c r="AD1" s="2"/>
      <c r="AE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>
      <c r="A2" s="1" t="s">
        <v>157</v>
      </c>
      <c r="B2" s="40" t="s">
        <v>14</v>
      </c>
    </row>
    <row r="3" spans="1:120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0">
      <c r="A4" s="1" t="str">
        <f t="shared" ref="A4:A6" si="0">$B$2</f>
        <v>H.Trang</v>
      </c>
      <c r="B4" s="2" t="s">
        <v>145</v>
      </c>
      <c r="C4" s="2" t="s">
        <v>86</v>
      </c>
      <c r="D4" s="2">
        <v>2675</v>
      </c>
      <c r="E4" s="2">
        <v>6</v>
      </c>
      <c r="F4" s="2">
        <v>2855</v>
      </c>
      <c r="G4" s="2">
        <v>28</v>
      </c>
      <c r="H4" s="53"/>
    </row>
    <row r="5" spans="1:120">
      <c r="A5" s="1" t="str">
        <f t="shared" si="0"/>
        <v>H.Trang</v>
      </c>
      <c r="B5" s="2" t="s">
        <v>148</v>
      </c>
      <c r="C5" s="2" t="s">
        <v>86</v>
      </c>
      <c r="D5" s="2">
        <v>500</v>
      </c>
      <c r="E5" s="2">
        <v>2</v>
      </c>
      <c r="F5" s="2">
        <v>2959</v>
      </c>
      <c r="G5" s="2">
        <v>6</v>
      </c>
      <c r="H5" s="53"/>
    </row>
    <row r="6" spans="1:120">
      <c r="A6" s="1" t="str">
        <f t="shared" si="0"/>
        <v>H.Trang</v>
      </c>
      <c r="B6" s="2" t="s">
        <v>149</v>
      </c>
      <c r="C6" s="2" t="s">
        <v>86</v>
      </c>
      <c r="D6" s="2">
        <v>384</v>
      </c>
      <c r="E6" s="2">
        <v>1</v>
      </c>
      <c r="F6" s="2">
        <v>4000</v>
      </c>
      <c r="G6" s="2">
        <f>担当_56789[[#This Row],[生産数]]*2</f>
        <v>768</v>
      </c>
      <c r="H6" s="53" t="s">
        <v>152</v>
      </c>
    </row>
  </sheetData>
  <dataValidations count="1">
    <dataValidation type="list" allowBlank="1" showInputMessage="1" showErrorMessage="1" sqref="C4:C6" xr:uid="{6173EF02-FCCE-4A30-AB69-F299F966412F}">
      <formula1>brand</formula1>
    </dataValidation>
  </dataValidations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95CC-6BAA-4066-A856-4C78F0E108A8}">
  <dimension ref="A1:DQ7"/>
  <sheetViews>
    <sheetView zoomScaleNormal="100" zoomScaleSheetLayoutView="40" workbookViewId="0">
      <selection activeCell="F19" sqref="F19"/>
    </sheetView>
  </sheetViews>
  <sheetFormatPr defaultColWidth="9" defaultRowHeight="12"/>
  <cols>
    <col min="1" max="1" width="15.88671875" style="1" bestFit="1" customWidth="1" collapsed="1"/>
    <col min="2" max="2" width="10.6640625" style="2" bestFit="1" customWidth="1"/>
    <col min="3" max="3" width="12.88671875" style="2" bestFit="1" customWidth="1"/>
    <col min="4" max="5" width="9.33203125" style="2" bestFit="1" customWidth="1"/>
    <col min="6" max="6" width="12" style="2" bestFit="1" customWidth="1"/>
    <col min="7" max="7" width="11.33203125" style="2" bestFit="1" customWidth="1"/>
    <col min="8" max="8" width="6.33203125" style="2" customWidth="1"/>
    <col min="9" max="9" width="8.109375" style="2" customWidth="1"/>
    <col min="10" max="10" width="10.109375" style="2" customWidth="1"/>
    <col min="11" max="18" width="4.88671875" style="2" customWidth="1"/>
    <col min="19" max="19" width="5.44140625" style="2" bestFit="1" customWidth="1"/>
    <col min="20" max="20" width="7.6640625" style="2" customWidth="1"/>
    <col min="21" max="21" width="6.33203125" style="4" customWidth="1"/>
    <col min="22" max="22" width="6.6640625" style="2" customWidth="1"/>
    <col min="23" max="23" width="6.33203125" style="4" customWidth="1"/>
    <col min="24" max="24" width="8.33203125" style="2" customWidth="1"/>
    <col min="25" max="25" width="6.33203125" style="2" customWidth="1"/>
    <col min="26" max="26" width="6.33203125" style="4" customWidth="1"/>
    <col min="27" max="27" width="7.88671875" style="2" customWidth="1"/>
    <col min="28" max="28" width="9.109375" style="4" customWidth="1"/>
    <col min="29" max="29" width="6.6640625" style="2" customWidth="1"/>
    <col min="30" max="30" width="8.6640625" style="4" customWidth="1"/>
    <col min="31" max="31" width="8.33203125" style="2" customWidth="1"/>
    <col min="32" max="32" width="6.33203125" style="2" customWidth="1"/>
    <col min="33" max="33" width="7.109375" style="4" customWidth="1"/>
    <col min="34" max="16384" width="9" style="2"/>
  </cols>
  <sheetData>
    <row r="1" spans="1:121" s="4" customFormat="1" ht="23.4">
      <c r="A1" s="36" t="s">
        <v>156</v>
      </c>
      <c r="B1" s="34"/>
      <c r="C1" s="34"/>
      <c r="D1" s="34"/>
      <c r="E1" s="34"/>
      <c r="F1" s="34"/>
      <c r="G1" s="3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V1" s="2"/>
      <c r="X1" s="2"/>
      <c r="Y1" s="2"/>
      <c r="AA1" s="2"/>
      <c r="AC1" s="2"/>
      <c r="AE1" s="2"/>
      <c r="AF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>
      <c r="A2" s="1" t="s">
        <v>157</v>
      </c>
      <c r="B2" s="40" t="s">
        <v>16</v>
      </c>
    </row>
    <row r="3" spans="1:121">
      <c r="A3" s="1" t="s">
        <v>95</v>
      </c>
      <c r="B3" s="1" t="s">
        <v>97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39</v>
      </c>
    </row>
    <row r="4" spans="1:121">
      <c r="A4" s="93" t="s">
        <v>16</v>
      </c>
      <c r="B4" s="93" t="s">
        <v>149</v>
      </c>
      <c r="C4" s="93" t="s">
        <v>92</v>
      </c>
      <c r="D4" s="93">
        <v>10000</v>
      </c>
      <c r="E4" s="93">
        <v>2</v>
      </c>
      <c r="F4" s="93">
        <v>8479</v>
      </c>
      <c r="G4" s="93">
        <v>458</v>
      </c>
      <c r="H4" s="53"/>
    </row>
    <row r="5" spans="1:121">
      <c r="A5" s="93" t="s">
        <v>16</v>
      </c>
      <c r="B5" s="93" t="s">
        <v>150</v>
      </c>
      <c r="C5" s="93" t="s">
        <v>151</v>
      </c>
      <c r="D5" s="93">
        <v>887</v>
      </c>
      <c r="E5" s="93">
        <v>11</v>
      </c>
      <c r="F5" s="93">
        <v>23670</v>
      </c>
      <c r="G5" s="93">
        <v>146</v>
      </c>
      <c r="H5" s="53"/>
    </row>
    <row r="6" spans="1:121">
      <c r="A6" s="93" t="s">
        <v>16</v>
      </c>
      <c r="B6" s="93" t="s">
        <v>150</v>
      </c>
      <c r="C6" s="93" t="s">
        <v>90</v>
      </c>
      <c r="D6" s="93">
        <v>1046</v>
      </c>
      <c r="E6" s="93">
        <v>2</v>
      </c>
      <c r="F6" s="93">
        <v>14883</v>
      </c>
      <c r="G6" s="93">
        <v>94</v>
      </c>
      <c r="H6" s="53"/>
    </row>
    <row r="7" spans="1:121">
      <c r="A7" s="93" t="s">
        <v>16</v>
      </c>
      <c r="B7" s="93" t="s">
        <v>150</v>
      </c>
      <c r="C7" s="93" t="s">
        <v>91</v>
      </c>
      <c r="D7" s="93">
        <v>311</v>
      </c>
      <c r="E7" s="93">
        <v>2</v>
      </c>
      <c r="F7" s="93">
        <v>12164</v>
      </c>
      <c r="G7" s="93">
        <v>60</v>
      </c>
      <c r="H7" s="53"/>
    </row>
  </sheetData>
  <printOptions horizontalCentered="1"/>
  <pageMargins left="0" right="0" top="0.39370078740157499" bottom="0.39370078740157499" header="0" footer="0"/>
  <pageSetup paperSize="9" scale="90" orientation="landscape" horizontalDpi="300" verticalDpi="300" r:id="rId1"/>
  <headerFooter alignWithMargins="0">
    <oddHeader>&amp;R&amp;D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d6d6372-2057-48db-8ea2-50e1eddaf97d">ZE7CHP4NUVZV-1822759881-1954</_dlc_DocId>
    <_dlc_DocIdUrl xmlns="fd6d6372-2057-48db-8ea2-50e1eddaf97d">
      <Url>https://toraygroup01.sharepoint.com/sites/AP2departmentAPIC.TIVN.tm/_layouts/15/DocIdRedir.aspx?ID=ZE7CHP4NUVZV-1822759881-1954</Url>
      <Description>ZE7CHP4NUVZV-1822759881-1954</Description>
    </_dlc_DocIdUrl>
    <lcf76f155ced4ddcb4097134ff3c332f xmlns="4b250117-215b-42ee-b46e-b2945190ab37">
      <Terms xmlns="http://schemas.microsoft.com/office/infopath/2007/PartnerControls"/>
    </lcf76f155ced4ddcb4097134ff3c332f>
    <TaxCatchAll xmlns="fd6d6372-2057-48db-8ea2-50e1eddaf97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233562261A640A69A2D64158A42F3" ma:contentTypeVersion="12" ma:contentTypeDescription="Create a new document." ma:contentTypeScope="" ma:versionID="2533322728d70340fb8797272bb5d6ae">
  <xsd:schema xmlns:xsd="http://www.w3.org/2001/XMLSchema" xmlns:xs="http://www.w3.org/2001/XMLSchema" xmlns:p="http://schemas.microsoft.com/office/2006/metadata/properties" xmlns:ns2="fd6d6372-2057-48db-8ea2-50e1eddaf97d" xmlns:ns3="4b250117-215b-42ee-b46e-b2945190ab37" targetNamespace="http://schemas.microsoft.com/office/2006/metadata/properties" ma:root="true" ma:fieldsID="f1082214ff3705d9f27f671b21c9697c" ns2:_="" ns3:_="">
    <xsd:import namespace="fd6d6372-2057-48db-8ea2-50e1eddaf97d"/>
    <xsd:import namespace="4b250117-215b-42ee-b46e-b2945190ab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d6372-2057-48db-8ea2-50e1eddaf97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91e37c41-7cb4-4101-91fe-68fc6d91e36d}" ma:internalName="TaxCatchAll" ma:showField="CatchAllData" ma:web="fd6d6372-2057-48db-8ea2-50e1eddaf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50117-215b-42ee-b46e-b2945190a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d5ddeb-6a09-454e-8303-770f669cf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DF4987FF-5C47-4C5A-B32B-70DB81F7047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9E3C431-B81E-400C-A61C-2E966205DC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E567B-F776-484A-BC1B-9F41F9872BE0}">
  <ds:schemaRefs>
    <ds:schemaRef ds:uri="http://schemas.microsoft.com/office/2006/metadata/properties"/>
    <ds:schemaRef ds:uri="http://schemas.microsoft.com/office/infopath/2007/PartnerControls"/>
    <ds:schemaRef ds:uri="fd6d6372-2057-48db-8ea2-50e1eddaf97d"/>
    <ds:schemaRef ds:uri="4b250117-215b-42ee-b46e-b2945190ab37"/>
  </ds:schemaRefs>
</ds:datastoreItem>
</file>

<file path=customXml/itemProps4.xml><?xml version="1.0" encoding="utf-8"?>
<ds:datastoreItem xmlns:ds="http://schemas.openxmlformats.org/officeDocument/2006/customXml" ds:itemID="{D05F080C-5A78-4606-95C9-6DA06B3703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d6372-2057-48db-8ea2-50e1eddaf97d"/>
    <ds:schemaRef ds:uri="4b250117-215b-42ee-b46e-b2945190ab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0F04283B-14B2-41A9-B3C0-BC755B683A3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08e8e4e-335e-475c-a857-3d2d1a28a81f}" enabled="0" method="" siteId="{808e8e4e-335e-475c-a857-3d2d1a28a8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通訳作業時間</vt:lpstr>
      <vt:lpstr>Pivot</vt:lpstr>
      <vt:lpstr>グラフ</vt:lpstr>
      <vt:lpstr>纏め</vt:lpstr>
      <vt:lpstr>Thuan</vt:lpstr>
      <vt:lpstr>Phong</vt:lpstr>
      <vt:lpstr>Cuong</vt:lpstr>
      <vt:lpstr>Hien</vt:lpstr>
      <vt:lpstr>Nhu</vt:lpstr>
      <vt:lpstr>Luan </vt:lpstr>
      <vt:lpstr>Khanh</vt:lpstr>
      <vt:lpstr>V.Huy</vt:lpstr>
      <vt:lpstr>Q.Huy</vt:lpstr>
      <vt:lpstr>H.Trang</vt:lpstr>
      <vt:lpstr>B.Trang</vt:lpstr>
      <vt:lpstr>B.Trang!brand</vt:lpstr>
      <vt:lpstr>Cuong!brand</vt:lpstr>
      <vt:lpstr>H.Trang!brand</vt:lpstr>
      <vt:lpstr>Hien!brand</vt:lpstr>
      <vt:lpstr>Khanh!brand</vt:lpstr>
      <vt:lpstr>Nhu!brand</vt:lpstr>
      <vt:lpstr>Phong!brand</vt:lpstr>
      <vt:lpstr>Q.Huy!brand</vt:lpstr>
      <vt:lpstr>Thuan!brand</vt:lpstr>
      <vt:lpstr>V.Huy!brand</vt:lpstr>
      <vt:lpstr>brand</vt:lpstr>
      <vt:lpstr>グラフ!Print_Area</vt:lpstr>
      <vt:lpstr>通訳作業時間!Print_Area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Tran, Kynhu/TIVN(VN)</dc:creator>
  <cp:keywords/>
  <dc:description/>
  <cp:lastModifiedBy>Tran, Congchanh/TIVN(VN)</cp:lastModifiedBy>
  <cp:revision/>
  <dcterms:created xsi:type="dcterms:W3CDTF">2024-01-06T07:28:13Z</dcterms:created>
  <dcterms:modified xsi:type="dcterms:W3CDTF">2026-10-27T07:40:58Z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0x010100EC9233562261A640A69A2D64158A42F3</vt:lpwstr>
  </property>
  <property fmtid="{D5CDD505-2E9C-101B-9397-08002B2CF9AE}" pid="3" name="_dlc_DocIdItemGuid">
    <vt:lpwstr>77e5036a-069f-4d0b-bfde-32dab5102aa9</vt:lpwstr>
  </property>
  <property fmtid="{D5CDD505-2E9C-101B-9397-08002B2CF9AE}" pid="4" name="MediaServiceImageTags">
    <vt:lpwstr/>
  </property>
</Properties>
</file>