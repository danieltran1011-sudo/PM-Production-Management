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toraygroup01-my.sharepoint.com/personal/yukari_tanaka_v6_mail_toray/Documents/デスクトップ/"/>
    </mc:Choice>
  </mc:AlternateContent>
  <xr:revisionPtr revIDLastSave="317" documentId="8_{BA558691-FEAF-4BCC-AAF2-69B9F640BC59}" xr6:coauthVersionLast="47" xr6:coauthVersionMax="47" xr10:uidLastSave="{3DEA989E-ED82-42EF-BE1D-2F7FDCF1C100}"/>
  <bookViews>
    <workbookView xWindow="-108" yWindow="-108" windowWidth="23256" windowHeight="14016" tabRatio="964" firstSheet="2" activeTab="2" xr2:uid="{3F0B7B96-EC80-4BA0-B8B2-A05E8E8023BF}"/>
  </bookViews>
  <sheets>
    <sheet name="通関業者向けレター" sheetId="10" state="hidden" r:id="rId1"/>
    <sheet name="営業部向けレター" sheetId="9" state="hidden" r:id="rId2"/>
    <sheet name="20240130 TIVN議事録" sheetId="14" r:id="rId3"/>
    <sheet name="参考b_APIC(2024年度)" sheetId="11" r:id="rId4"/>
    <sheet name="参考b_BTNB(2024年度) " sheetId="12" r:id="rId5"/>
    <sheet name="参考a_年間支払額(2024予算策定）USD表記" sheetId="13" r:id="rId6"/>
    <sheet name="20231127 TIVN議事録" sheetId="8" r:id="rId7"/>
    <sheet name="エビデンス例（APIC）" sheetId="6" r:id="rId8"/>
    <sheet name="エビデンス例 (BTNB)" sheetId="7" r:id="rId9"/>
    <sheet name="参考_APIC(2023年度) " sheetId="3" r:id="rId10"/>
    <sheet name="参考_BTNB(2023年度) " sheetId="4" r:id="rId11"/>
    <sheet name="参考_年間支払額(2023予算策定）" sheetId="5" r:id="rId12"/>
    <sheet name="20231031 アジェンダ" sheetId="2" r:id="rId13"/>
    <sheet name="20230915" sheetId="1" r:id="rId14"/>
  </sheets>
  <definedNames>
    <definedName name="_xlnm._FilterDatabase" localSheetId="10" hidden="1">'参考_BTNB(2023年度) '!$A$13:$AK$114</definedName>
    <definedName name="_xlnm._FilterDatabase" localSheetId="4" hidden="1">'参考b_BTNB(2024年度) '!$A$13:$AM$114</definedName>
    <definedName name="_xlnm.Print_Area" localSheetId="6">'20231127 TIVN議事録'!$A$1:$I$46</definedName>
    <definedName name="_xlnm.Print_Area" localSheetId="10">'参考_BTNB(2023年度) '!$A$1:$AZ$119</definedName>
    <definedName name="_xlnm.Print_Area" localSheetId="11">'参考_年間支払額(2023予算策定）'!$A$1:$AI$74</definedName>
    <definedName name="_xlnm.Print_Area" localSheetId="4">'参考b_BTNB(2024年度) '!$A$1:$BB$119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12" l="1"/>
  <c r="R5" i="12" s="1"/>
  <c r="M4" i="12"/>
  <c r="R4" i="12" s="1"/>
  <c r="M3" i="12"/>
  <c r="R3" i="12" s="1"/>
  <c r="M5" i="11"/>
  <c r="AO12" i="11"/>
  <c r="AC12" i="11"/>
  <c r="M3" i="11"/>
  <c r="R3" i="11" s="1"/>
  <c r="AV115" i="12"/>
  <c r="H15" i="14"/>
  <c r="D21" i="14"/>
  <c r="D20" i="14"/>
  <c r="H16" i="14"/>
  <c r="A16" i="14"/>
  <c r="B16" i="14" s="1"/>
  <c r="A15" i="14"/>
  <c r="B15" i="14" s="1"/>
  <c r="T69" i="13"/>
  <c r="Z65" i="13"/>
  <c r="Y65" i="13"/>
  <c r="X65" i="13"/>
  <c r="U65" i="13"/>
  <c r="S65" i="13"/>
  <c r="P65" i="13"/>
  <c r="N65" i="13"/>
  <c r="K65" i="13"/>
  <c r="I65" i="13"/>
  <c r="D65" i="13"/>
  <c r="AE64" i="13"/>
  <c r="P64" i="13"/>
  <c r="P63" i="13" s="1"/>
  <c r="AE63" i="13" s="1"/>
  <c r="I64" i="13"/>
  <c r="T63" i="13"/>
  <c r="N63" i="13"/>
  <c r="AC63" i="13" s="1"/>
  <c r="K63" i="13"/>
  <c r="J63" i="13"/>
  <c r="O63" i="13" s="1"/>
  <c r="AD63" i="13" s="1"/>
  <c r="F63" i="13"/>
  <c r="E63" i="13"/>
  <c r="P62" i="13"/>
  <c r="AE62" i="13" s="1"/>
  <c r="AE61" i="13"/>
  <c r="AC61" i="13"/>
  <c r="AC65" i="13" s="1"/>
  <c r="T61" i="13"/>
  <c r="T65" i="13" s="1"/>
  <c r="P61" i="13"/>
  <c r="N61" i="13"/>
  <c r="K61" i="13"/>
  <c r="J61" i="13"/>
  <c r="F61" i="13"/>
  <c r="F65" i="13" s="1"/>
  <c r="E61" i="13"/>
  <c r="X58" i="13"/>
  <c r="D57" i="13"/>
  <c r="F56" i="13"/>
  <c r="Z54" i="13"/>
  <c r="K54" i="13"/>
  <c r="AE53" i="13"/>
  <c r="Z53" i="13"/>
  <c r="X53" i="13"/>
  <c r="U53" i="13"/>
  <c r="S53" i="13"/>
  <c r="K53" i="13"/>
  <c r="I53" i="13"/>
  <c r="F53" i="13"/>
  <c r="P53" i="13" s="1"/>
  <c r="D53" i="13"/>
  <c r="AC52" i="13"/>
  <c r="AB52" i="13"/>
  <c r="AA52" i="13"/>
  <c r="Y52" i="13"/>
  <c r="T52" i="13"/>
  <c r="W52" i="13" s="1"/>
  <c r="P52" i="13"/>
  <c r="AE52" i="13" s="1"/>
  <c r="N52" i="13"/>
  <c r="L52" i="13"/>
  <c r="J52" i="13"/>
  <c r="E52" i="13"/>
  <c r="H52" i="13" s="1"/>
  <c r="AC51" i="13"/>
  <c r="AB51" i="13"/>
  <c r="AA51" i="13"/>
  <c r="Y51" i="13"/>
  <c r="W51" i="13"/>
  <c r="V51" i="13"/>
  <c r="T51" i="13"/>
  <c r="P51" i="13"/>
  <c r="AE51" i="13" s="1"/>
  <c r="N51" i="13"/>
  <c r="M51" i="13"/>
  <c r="L51" i="13"/>
  <c r="J51" i="13"/>
  <c r="E51" i="13"/>
  <c r="Y50" i="13"/>
  <c r="AB50" i="13" s="1"/>
  <c r="W50" i="13"/>
  <c r="V50" i="13"/>
  <c r="T50" i="13"/>
  <c r="P50" i="13"/>
  <c r="AE50" i="13" s="1"/>
  <c r="N50" i="13"/>
  <c r="AC50" i="13" s="1"/>
  <c r="M50" i="13"/>
  <c r="L50" i="13"/>
  <c r="J50" i="13"/>
  <c r="E50" i="13"/>
  <c r="AG49" i="13"/>
  <c r="AE49" i="13"/>
  <c r="Y49" i="13"/>
  <c r="T49" i="13"/>
  <c r="R49" i="13"/>
  <c r="P49" i="13"/>
  <c r="N49" i="13"/>
  <c r="AC49" i="13" s="1"/>
  <c r="J49" i="13"/>
  <c r="O49" i="13" s="1"/>
  <c r="AD49" i="13" s="1"/>
  <c r="AF49" i="13" s="1"/>
  <c r="H49" i="13"/>
  <c r="G49" i="13"/>
  <c r="E49" i="13"/>
  <c r="AC48" i="13"/>
  <c r="AB48" i="13"/>
  <c r="AA48" i="13"/>
  <c r="Y48" i="13"/>
  <c r="V48" i="13"/>
  <c r="T48" i="13"/>
  <c r="W48" i="13" s="1"/>
  <c r="P48" i="13"/>
  <c r="AE48" i="13" s="1"/>
  <c r="N48" i="13"/>
  <c r="J48" i="13"/>
  <c r="H48" i="13"/>
  <c r="G48" i="13"/>
  <c r="E48" i="13"/>
  <c r="Y47" i="13"/>
  <c r="AB47" i="13" s="1"/>
  <c r="W47" i="13"/>
  <c r="T47" i="13"/>
  <c r="V47" i="13" s="1"/>
  <c r="P47" i="13"/>
  <c r="AE47" i="13" s="1"/>
  <c r="N47" i="13"/>
  <c r="AC47" i="13" s="1"/>
  <c r="M47" i="13"/>
  <c r="J47" i="13"/>
  <c r="L47" i="13" s="1"/>
  <c r="E47" i="13"/>
  <c r="H47" i="13" s="1"/>
  <c r="AE46" i="13"/>
  <c r="AB46" i="13"/>
  <c r="AA46" i="13"/>
  <c r="Y46" i="13"/>
  <c r="T46" i="13"/>
  <c r="W46" i="13" s="1"/>
  <c r="P46" i="13"/>
  <c r="O46" i="13"/>
  <c r="N46" i="13"/>
  <c r="AC46" i="13" s="1"/>
  <c r="M46" i="13"/>
  <c r="L46" i="13"/>
  <c r="J46" i="13"/>
  <c r="E46" i="13"/>
  <c r="AE45" i="13"/>
  <c r="AD45" i="13"/>
  <c r="AG45" i="13" s="1"/>
  <c r="Y45" i="13"/>
  <c r="T45" i="13"/>
  <c r="P45" i="13"/>
  <c r="N45" i="13"/>
  <c r="AC45" i="13" s="1"/>
  <c r="J45" i="13"/>
  <c r="O45" i="13" s="1"/>
  <c r="R45" i="13" s="1"/>
  <c r="H45" i="13"/>
  <c r="G45" i="13"/>
  <c r="E45" i="13"/>
  <c r="Z43" i="13"/>
  <c r="X43" i="13"/>
  <c r="U43" i="13"/>
  <c r="S43" i="13"/>
  <c r="P43" i="13"/>
  <c r="AE43" i="13" s="1"/>
  <c r="N43" i="13"/>
  <c r="AC43" i="13" s="1"/>
  <c r="K43" i="13"/>
  <c r="I43" i="13"/>
  <c r="F43" i="13"/>
  <c r="E43" i="13"/>
  <c r="D43" i="13"/>
  <c r="AB42" i="13"/>
  <c r="AA42" i="13"/>
  <c r="Y42" i="13"/>
  <c r="W42" i="13"/>
  <c r="T42" i="13"/>
  <c r="V42" i="13" s="1"/>
  <c r="P42" i="13"/>
  <c r="AE42" i="13" s="1"/>
  <c r="O42" i="13"/>
  <c r="R42" i="13" s="1"/>
  <c r="N42" i="13"/>
  <c r="AC42" i="13" s="1"/>
  <c r="M42" i="13"/>
  <c r="J42" i="13"/>
  <c r="L42" i="13" s="1"/>
  <c r="Q42" i="13" s="1"/>
  <c r="H42" i="13"/>
  <c r="G42" i="13"/>
  <c r="E42" i="13"/>
  <c r="AE41" i="13"/>
  <c r="Y41" i="13"/>
  <c r="AB41" i="13" s="1"/>
  <c r="W41" i="13"/>
  <c r="T41" i="13"/>
  <c r="V41" i="13" s="1"/>
  <c r="P41" i="13"/>
  <c r="O41" i="13"/>
  <c r="N41" i="13"/>
  <c r="AC41" i="13" s="1"/>
  <c r="M41" i="13"/>
  <c r="L41" i="13"/>
  <c r="J41" i="13"/>
  <c r="E41" i="13"/>
  <c r="AE40" i="13"/>
  <c r="AC40" i="13"/>
  <c r="Y40" i="13"/>
  <c r="W40" i="13"/>
  <c r="T40" i="13"/>
  <c r="V40" i="13" s="1"/>
  <c r="Q40" i="13"/>
  <c r="P40" i="13"/>
  <c r="N40" i="13"/>
  <c r="M40" i="13"/>
  <c r="L40" i="13"/>
  <c r="J40" i="13"/>
  <c r="H40" i="13"/>
  <c r="G40" i="13"/>
  <c r="E40" i="13"/>
  <c r="Z38" i="13"/>
  <c r="X38" i="13"/>
  <c r="X54" i="13" s="1"/>
  <c r="V38" i="13"/>
  <c r="U38" i="13"/>
  <c r="U54" i="13" s="1"/>
  <c r="S38" i="13"/>
  <c r="S54" i="13" s="1"/>
  <c r="K38" i="13"/>
  <c r="I38" i="13"/>
  <c r="F38" i="13"/>
  <c r="F54" i="13" s="1"/>
  <c r="D38" i="13"/>
  <c r="D54" i="13" s="1"/>
  <c r="AC37" i="13"/>
  <c r="Y37" i="13"/>
  <c r="AB37" i="13" s="1"/>
  <c r="W37" i="13"/>
  <c r="T37" i="13"/>
  <c r="V37" i="13" s="1"/>
  <c r="P37" i="13"/>
  <c r="AE37" i="13" s="1"/>
  <c r="N37" i="13"/>
  <c r="M37" i="13"/>
  <c r="J37" i="13"/>
  <c r="L37" i="13" s="1"/>
  <c r="E37" i="13"/>
  <c r="Z36" i="13"/>
  <c r="U36" i="13"/>
  <c r="K36" i="13"/>
  <c r="J36" i="13"/>
  <c r="I36" i="13"/>
  <c r="F36" i="13"/>
  <c r="AC35" i="13"/>
  <c r="AB35" i="13"/>
  <c r="W35" i="13"/>
  <c r="P35" i="13"/>
  <c r="AE35" i="13" s="1"/>
  <c r="N35" i="13"/>
  <c r="M35" i="13"/>
  <c r="J35" i="13"/>
  <c r="H35" i="13"/>
  <c r="G35" i="13"/>
  <c r="E35" i="13"/>
  <c r="AE34" i="13"/>
  <c r="AD34" i="13"/>
  <c r="AG34" i="13" s="1"/>
  <c r="AB34" i="13"/>
  <c r="W34" i="13"/>
  <c r="R34" i="13"/>
  <c r="P34" i="13"/>
  <c r="O34" i="13"/>
  <c r="N34" i="13"/>
  <c r="AC34" i="13" s="1"/>
  <c r="M34" i="13"/>
  <c r="L34" i="13"/>
  <c r="J34" i="13"/>
  <c r="H34" i="13"/>
  <c r="E34" i="13"/>
  <c r="G34" i="13" s="1"/>
  <c r="AE33" i="13"/>
  <c r="AD33" i="13"/>
  <c r="AG33" i="13" s="1"/>
  <c r="AB33" i="13"/>
  <c r="Y33" i="13"/>
  <c r="T33" i="13"/>
  <c r="W33" i="13" s="1"/>
  <c r="P33" i="13"/>
  <c r="O33" i="13"/>
  <c r="N33" i="13"/>
  <c r="AC33" i="13" s="1"/>
  <c r="J33" i="13"/>
  <c r="G33" i="13"/>
  <c r="E33" i="13"/>
  <c r="H33" i="13" s="1"/>
  <c r="AC32" i="13"/>
  <c r="AB32" i="13"/>
  <c r="Y32" i="13"/>
  <c r="T32" i="13"/>
  <c r="T38" i="13" s="1"/>
  <c r="P32" i="13"/>
  <c r="O32" i="13"/>
  <c r="N32" i="13"/>
  <c r="N38" i="13" s="1"/>
  <c r="M32" i="13"/>
  <c r="J32" i="13"/>
  <c r="J38" i="13" s="1"/>
  <c r="H32" i="13"/>
  <c r="E32" i="13"/>
  <c r="G32" i="13" s="1"/>
  <c r="AE30" i="13"/>
  <c r="AC30" i="13"/>
  <c r="AB30" i="13"/>
  <c r="Y30" i="13"/>
  <c r="AA30" i="13" s="1"/>
  <c r="T30" i="13"/>
  <c r="P30" i="13"/>
  <c r="N30" i="13"/>
  <c r="M30" i="13"/>
  <c r="L30" i="13"/>
  <c r="J30" i="13"/>
  <c r="H30" i="13"/>
  <c r="G30" i="13"/>
  <c r="E30" i="13"/>
  <c r="Z24" i="13"/>
  <c r="Z58" i="13" s="1"/>
  <c r="X24" i="13"/>
  <c r="U24" i="13"/>
  <c r="S24" i="13"/>
  <c r="S58" i="13" s="1"/>
  <c r="I24" i="13"/>
  <c r="I58" i="13" s="1"/>
  <c r="D24" i="13"/>
  <c r="Y23" i="13"/>
  <c r="AB23" i="13" s="1"/>
  <c r="W23" i="13"/>
  <c r="T23" i="13"/>
  <c r="V23" i="13" s="1"/>
  <c r="P23" i="13"/>
  <c r="AE23" i="13" s="1"/>
  <c r="O23" i="13"/>
  <c r="N23" i="13"/>
  <c r="AC23" i="13" s="1"/>
  <c r="M23" i="13"/>
  <c r="J23" i="13"/>
  <c r="L23" i="13" s="1"/>
  <c r="E23" i="13"/>
  <c r="H23" i="13" s="1"/>
  <c r="Y22" i="13"/>
  <c r="AB22" i="13" s="1"/>
  <c r="W22" i="13"/>
  <c r="V22" i="13"/>
  <c r="T22" i="13"/>
  <c r="P22" i="13"/>
  <c r="AE22" i="13" s="1"/>
  <c r="N22" i="13"/>
  <c r="AC22" i="13" s="1"/>
  <c r="M22" i="13"/>
  <c r="L22" i="13"/>
  <c r="J22" i="13"/>
  <c r="E22" i="13"/>
  <c r="H22" i="13" s="1"/>
  <c r="AE21" i="13"/>
  <c r="Y21" i="13"/>
  <c r="AB21" i="13" s="1"/>
  <c r="T21" i="13"/>
  <c r="P21" i="13"/>
  <c r="N21" i="13"/>
  <c r="AC21" i="13" s="1"/>
  <c r="J21" i="13"/>
  <c r="H21" i="13"/>
  <c r="G21" i="13"/>
  <c r="E21" i="13"/>
  <c r="AC20" i="13"/>
  <c r="AB20" i="13"/>
  <c r="AA20" i="13"/>
  <c r="Y20" i="13"/>
  <c r="V20" i="13"/>
  <c r="T20" i="13"/>
  <c r="W20" i="13" s="1"/>
  <c r="P20" i="13"/>
  <c r="AE20" i="13" s="1"/>
  <c r="N20" i="13"/>
  <c r="L20" i="13"/>
  <c r="J20" i="13"/>
  <c r="E20" i="13"/>
  <c r="H20" i="13" s="1"/>
  <c r="Y19" i="13"/>
  <c r="AB19" i="13" s="1"/>
  <c r="W19" i="13"/>
  <c r="V19" i="13"/>
  <c r="T19" i="13"/>
  <c r="O19" i="13"/>
  <c r="N19" i="13"/>
  <c r="AC19" i="13" s="1"/>
  <c r="J19" i="13"/>
  <c r="M19" i="13" s="1"/>
  <c r="F19" i="13"/>
  <c r="F24" i="13" s="1"/>
  <c r="E19" i="13"/>
  <c r="H19" i="13" s="1"/>
  <c r="Y18" i="13"/>
  <c r="AB18" i="13" s="1"/>
  <c r="W18" i="13"/>
  <c r="V18" i="13"/>
  <c r="T18" i="13"/>
  <c r="P18" i="13"/>
  <c r="AE18" i="13" s="1"/>
  <c r="N18" i="13"/>
  <c r="AC18" i="13" s="1"/>
  <c r="M18" i="13"/>
  <c r="L18" i="13"/>
  <c r="J18" i="13"/>
  <c r="E18" i="13"/>
  <c r="Y17" i="13"/>
  <c r="W17" i="13"/>
  <c r="V17" i="13"/>
  <c r="T17" i="13"/>
  <c r="P17" i="13"/>
  <c r="AE17" i="13" s="1"/>
  <c r="N17" i="13"/>
  <c r="AC17" i="13" s="1"/>
  <c r="M17" i="13"/>
  <c r="L17" i="13"/>
  <c r="J17" i="13"/>
  <c r="J24" i="13" s="1"/>
  <c r="E17" i="13"/>
  <c r="H17" i="13" s="1"/>
  <c r="Z15" i="13"/>
  <c r="Z57" i="13" s="1"/>
  <c r="X15" i="13"/>
  <c r="X57" i="13" s="1"/>
  <c r="W15" i="13"/>
  <c r="V15" i="13"/>
  <c r="U15" i="13"/>
  <c r="U57" i="13" s="1"/>
  <c r="S15" i="13"/>
  <c r="S57" i="13" s="1"/>
  <c r="N15" i="13"/>
  <c r="J15" i="13"/>
  <c r="I15" i="13"/>
  <c r="I57" i="13" s="1"/>
  <c r="D15" i="13"/>
  <c r="AC14" i="13"/>
  <c r="AB14" i="13"/>
  <c r="AA14" i="13"/>
  <c r="Y14" i="13"/>
  <c r="V14" i="13"/>
  <c r="T14" i="13"/>
  <c r="W14" i="13" s="1"/>
  <c r="Q14" i="13"/>
  <c r="P14" i="13"/>
  <c r="AE14" i="13" s="1"/>
  <c r="N14" i="13"/>
  <c r="L14" i="13"/>
  <c r="J14" i="13"/>
  <c r="G14" i="13"/>
  <c r="E14" i="13"/>
  <c r="H14" i="13" s="1"/>
  <c r="AB13" i="13"/>
  <c r="AA13" i="13"/>
  <c r="Y13" i="13"/>
  <c r="W13" i="13"/>
  <c r="T13" i="13"/>
  <c r="V13" i="13" s="1"/>
  <c r="P13" i="13"/>
  <c r="AE13" i="13" s="1"/>
  <c r="O13" i="13"/>
  <c r="AD13" i="13" s="1"/>
  <c r="AG13" i="13" s="1"/>
  <c r="N13" i="13"/>
  <c r="AC13" i="13" s="1"/>
  <c r="M13" i="13"/>
  <c r="J13" i="13"/>
  <c r="L13" i="13" s="1"/>
  <c r="E13" i="13"/>
  <c r="G13" i="13" s="1"/>
  <c r="Y12" i="13"/>
  <c r="W12" i="13"/>
  <c r="V12" i="13"/>
  <c r="T12" i="13"/>
  <c r="T15" i="13" s="1"/>
  <c r="N12" i="13"/>
  <c r="AC12" i="13" s="1"/>
  <c r="M12" i="13"/>
  <c r="L12" i="13"/>
  <c r="K12" i="13"/>
  <c r="K15" i="13" s="1"/>
  <c r="J12" i="13"/>
  <c r="E12" i="13"/>
  <c r="Z10" i="13"/>
  <c r="Y10" i="13"/>
  <c r="AB10" i="13" s="1"/>
  <c r="X10" i="13"/>
  <c r="U10" i="13"/>
  <c r="S10" i="13"/>
  <c r="S56" i="13" s="1"/>
  <c r="S59" i="13" s="1"/>
  <c r="S67" i="13" s="1"/>
  <c r="S70" i="13" s="1"/>
  <c r="P10" i="13"/>
  <c r="K10" i="13"/>
  <c r="I10" i="13"/>
  <c r="F10" i="13"/>
  <c r="D10" i="13"/>
  <c r="AE9" i="13"/>
  <c r="Y9" i="13"/>
  <c r="T9" i="13"/>
  <c r="V9" i="13" s="1"/>
  <c r="R9" i="13"/>
  <c r="P9" i="13"/>
  <c r="N9" i="13"/>
  <c r="AC9" i="13" s="1"/>
  <c r="J9" i="13"/>
  <c r="O9" i="13" s="1"/>
  <c r="AD9" i="13" s="1"/>
  <c r="H9" i="13"/>
  <c r="G9" i="13"/>
  <c r="E9" i="13"/>
  <c r="AC8" i="13"/>
  <c r="AB8" i="13"/>
  <c r="AA8" i="13"/>
  <c r="Y8" i="13"/>
  <c r="V8" i="13"/>
  <c r="T8" i="13"/>
  <c r="W8" i="13" s="1"/>
  <c r="P8" i="13"/>
  <c r="AE8" i="13" s="1"/>
  <c r="O8" i="13"/>
  <c r="R8" i="13" s="1"/>
  <c r="N8" i="13"/>
  <c r="M8" i="13"/>
  <c r="L8" i="13"/>
  <c r="J8" i="13"/>
  <c r="E8" i="13"/>
  <c r="H8" i="13" s="1"/>
  <c r="AE7" i="13"/>
  <c r="Y7" i="13"/>
  <c r="AB7" i="13" s="1"/>
  <c r="T7" i="13"/>
  <c r="T10" i="13" s="1"/>
  <c r="P7" i="13"/>
  <c r="N7" i="13"/>
  <c r="AC7" i="13" s="1"/>
  <c r="J7" i="13"/>
  <c r="J10" i="13" s="1"/>
  <c r="H7" i="13"/>
  <c r="G7" i="13"/>
  <c r="E7" i="13"/>
  <c r="AC5" i="13"/>
  <c r="AB5" i="13"/>
  <c r="AA5" i="13"/>
  <c r="Y5" i="13"/>
  <c r="T5" i="13"/>
  <c r="V5" i="13" s="1"/>
  <c r="P5" i="13"/>
  <c r="AE5" i="13" s="1"/>
  <c r="N5" i="13"/>
  <c r="J5" i="13"/>
  <c r="E5" i="13"/>
  <c r="P23" i="8"/>
  <c r="R23" i="8" s="1"/>
  <c r="O5" i="12"/>
  <c r="O4" i="12"/>
  <c r="W2" i="12"/>
  <c r="R22" i="8"/>
  <c r="Z19" i="8"/>
  <c r="AB19" i="8" s="1"/>
  <c r="Z18" i="8"/>
  <c r="AB18" i="8" s="1"/>
  <c r="P19" i="8"/>
  <c r="Q19" i="8" s="1"/>
  <c r="S19" i="8" s="1"/>
  <c r="Q18" i="8"/>
  <c r="AA18" i="8" s="1"/>
  <c r="P18" i="8"/>
  <c r="O5" i="11"/>
  <c r="R5" i="11" s="1"/>
  <c r="O4" i="11"/>
  <c r="R4" i="11" s="1"/>
  <c r="V3" i="11"/>
  <c r="R7" i="11" l="1"/>
  <c r="I15" i="14"/>
  <c r="J15" i="14"/>
  <c r="I16" i="14"/>
  <c r="J16" i="14"/>
  <c r="S71" i="13"/>
  <c r="S72" i="13" s="1"/>
  <c r="W10" i="13"/>
  <c r="T25" i="13"/>
  <c r="W25" i="13" s="1"/>
  <c r="T56" i="13"/>
  <c r="AG9" i="13"/>
  <c r="AF9" i="13"/>
  <c r="M10" i="13"/>
  <c r="J25" i="13"/>
  <c r="J56" i="13"/>
  <c r="L10" i="13"/>
  <c r="F58" i="13"/>
  <c r="G24" i="13"/>
  <c r="G5" i="13"/>
  <c r="L7" i="13"/>
  <c r="Q7" i="13" s="1"/>
  <c r="D56" i="13"/>
  <c r="D25" i="13"/>
  <c r="AF13" i="13"/>
  <c r="H18" i="13"/>
  <c r="G18" i="13"/>
  <c r="Q18" i="13" s="1"/>
  <c r="AA19" i="13"/>
  <c r="AC38" i="13"/>
  <c r="AD46" i="13"/>
  <c r="AG46" i="13" s="1"/>
  <c r="R46" i="13"/>
  <c r="Y15" i="13"/>
  <c r="AA12" i="13"/>
  <c r="W30" i="13"/>
  <c r="V30" i="13"/>
  <c r="AA47" i="13"/>
  <c r="O37" i="13"/>
  <c r="H37" i="13"/>
  <c r="O51" i="13"/>
  <c r="H51" i="13"/>
  <c r="K57" i="13"/>
  <c r="L15" i="13"/>
  <c r="AF46" i="13"/>
  <c r="Z56" i="13"/>
  <c r="AA10" i="13"/>
  <c r="W7" i="13"/>
  <c r="R13" i="13"/>
  <c r="L9" i="13"/>
  <c r="Q9" i="13" s="1"/>
  <c r="W9" i="13"/>
  <c r="AD19" i="13"/>
  <c r="AG19" i="13" s="1"/>
  <c r="R19" i="13"/>
  <c r="AA23" i="13"/>
  <c r="U58" i="13"/>
  <c r="AF33" i="13"/>
  <c r="G37" i="13"/>
  <c r="Q37" i="13" s="1"/>
  <c r="AF45" i="13"/>
  <c r="G51" i="13"/>
  <c r="Q51" i="13" s="1"/>
  <c r="AB40" i="13"/>
  <c r="Y43" i="13"/>
  <c r="AA40" i="13"/>
  <c r="N57" i="13"/>
  <c r="AC57" i="13" s="1"/>
  <c r="AC15" i="13"/>
  <c r="V7" i="13"/>
  <c r="AD32" i="13"/>
  <c r="AG32" i="13" s="1"/>
  <c r="R32" i="13"/>
  <c r="L5" i="13"/>
  <c r="Q5" i="13" s="1"/>
  <c r="M5" i="13"/>
  <c r="W5" i="13"/>
  <c r="O7" i="13"/>
  <c r="AA7" i="13"/>
  <c r="G8" i="13"/>
  <c r="Q8" i="13" s="1"/>
  <c r="AD8" i="13"/>
  <c r="AG8" i="13" s="1"/>
  <c r="M9" i="13"/>
  <c r="AB9" i="13"/>
  <c r="AA9" i="13"/>
  <c r="I56" i="13"/>
  <c r="I59" i="13" s="1"/>
  <c r="I67" i="13" s="1"/>
  <c r="N10" i="13"/>
  <c r="I25" i="13"/>
  <c r="E15" i="13"/>
  <c r="H12" i="13"/>
  <c r="O12" i="13"/>
  <c r="F12" i="13"/>
  <c r="H13" i="13"/>
  <c r="O14" i="13"/>
  <c r="AA18" i="13"/>
  <c r="G20" i="13"/>
  <c r="Q20" i="13" s="1"/>
  <c r="D58" i="13"/>
  <c r="N24" i="13"/>
  <c r="W38" i="13"/>
  <c r="AA41" i="13"/>
  <c r="H43" i="13"/>
  <c r="G43" i="13"/>
  <c r="O48" i="13"/>
  <c r="M48" i="13"/>
  <c r="L48" i="13"/>
  <c r="Q48" i="13" s="1"/>
  <c r="W49" i="13"/>
  <c r="V49" i="13"/>
  <c r="AB12" i="13"/>
  <c r="G19" i="13"/>
  <c r="AF34" i="13"/>
  <c r="H50" i="13"/>
  <c r="G50" i="13"/>
  <c r="O50" i="13"/>
  <c r="H5" i="13"/>
  <c r="M7" i="13"/>
  <c r="W21" i="13"/>
  <c r="V21" i="13"/>
  <c r="T24" i="13"/>
  <c r="V24" i="13" s="1"/>
  <c r="Q30" i="13"/>
  <c r="I62" i="13"/>
  <c r="D62" i="13"/>
  <c r="N62" i="13" s="1"/>
  <c r="AC62" i="13" s="1"/>
  <c r="D64" i="13"/>
  <c r="N64" i="13" s="1"/>
  <c r="AC64" i="13" s="1"/>
  <c r="E10" i="13"/>
  <c r="U25" i="13"/>
  <c r="V25" i="13" s="1"/>
  <c r="Q13" i="13"/>
  <c r="E24" i="13"/>
  <c r="Z25" i="13"/>
  <c r="G38" i="13"/>
  <c r="R33" i="13"/>
  <c r="AF41" i="13"/>
  <c r="M15" i="13"/>
  <c r="AE10" i="13"/>
  <c r="O5" i="13"/>
  <c r="E64" i="13" s="1"/>
  <c r="K56" i="13"/>
  <c r="X56" i="13"/>
  <c r="X59" i="13" s="1"/>
  <c r="X67" i="13" s="1"/>
  <c r="X70" i="13" s="1"/>
  <c r="X25" i="13"/>
  <c r="O24" i="13"/>
  <c r="Y24" i="13"/>
  <c r="AB17" i="13"/>
  <c r="AA17" i="13"/>
  <c r="O18" i="13"/>
  <c r="O20" i="13"/>
  <c r="O21" i="13"/>
  <c r="M21" i="13"/>
  <c r="L21" i="13"/>
  <c r="Q21" i="13" s="1"/>
  <c r="AD23" i="13"/>
  <c r="AG23" i="13" s="1"/>
  <c r="R23" i="13"/>
  <c r="P38" i="13"/>
  <c r="P56" i="13" s="1"/>
  <c r="I54" i="13"/>
  <c r="N53" i="13"/>
  <c r="AC53" i="13" s="1"/>
  <c r="U56" i="13"/>
  <c r="O61" i="13"/>
  <c r="E65" i="13"/>
  <c r="O30" i="13"/>
  <c r="P36" i="13"/>
  <c r="M38" i="13"/>
  <c r="O47" i="13"/>
  <c r="J53" i="13"/>
  <c r="J58" i="13" s="1"/>
  <c r="O17" i="13"/>
  <c r="O22" i="13"/>
  <c r="AA22" i="13"/>
  <c r="G23" i="13"/>
  <c r="Q23" i="13" s="1"/>
  <c r="E38" i="13"/>
  <c r="AD41" i="13"/>
  <c r="AG41" i="13" s="1"/>
  <c r="R41" i="13"/>
  <c r="T53" i="13"/>
  <c r="Q50" i="13"/>
  <c r="L53" i="13"/>
  <c r="J65" i="13"/>
  <c r="AE65" i="13"/>
  <c r="S25" i="13"/>
  <c r="L36" i="13"/>
  <c r="V45" i="13"/>
  <c r="E53" i="13"/>
  <c r="H46" i="13"/>
  <c r="G46" i="13"/>
  <c r="V46" i="13"/>
  <c r="L49" i="13"/>
  <c r="Q49" i="13" s="1"/>
  <c r="AB49" i="13"/>
  <c r="AA49" i="13"/>
  <c r="AA50" i="13"/>
  <c r="G52" i="13"/>
  <c r="Q52" i="13" s="1"/>
  <c r="M14" i="13"/>
  <c r="G17" i="13"/>
  <c r="Q17" i="13" s="1"/>
  <c r="K19" i="13"/>
  <c r="M20" i="13"/>
  <c r="AA21" i="13"/>
  <c r="G22" i="13"/>
  <c r="Q22" i="13" s="1"/>
  <c r="W32" i="13"/>
  <c r="O35" i="13"/>
  <c r="O38" i="13" s="1"/>
  <c r="AA37" i="13"/>
  <c r="AA38" i="13" s="1"/>
  <c r="T43" i="13"/>
  <c r="T54" i="13" s="1"/>
  <c r="L45" i="13"/>
  <c r="Q45" i="13" s="1"/>
  <c r="W45" i="13"/>
  <c r="G47" i="13"/>
  <c r="Q47" i="13" s="1"/>
  <c r="M49" i="13"/>
  <c r="V52" i="13"/>
  <c r="V10" i="13"/>
  <c r="L32" i="13"/>
  <c r="Y38" i="13"/>
  <c r="M33" i="13"/>
  <c r="L33" i="13"/>
  <c r="Q33" i="13" s="1"/>
  <c r="L35" i="13"/>
  <c r="Q35" i="13" s="1"/>
  <c r="J43" i="13"/>
  <c r="O40" i="13"/>
  <c r="H41" i="13"/>
  <c r="G41" i="13"/>
  <c r="Q41" i="13" s="1"/>
  <c r="AD42" i="13"/>
  <c r="AG42" i="13" s="1"/>
  <c r="M45" i="13"/>
  <c r="AB45" i="13"/>
  <c r="AA45" i="13"/>
  <c r="Q46" i="13"/>
  <c r="O52" i="13"/>
  <c r="M52" i="13"/>
  <c r="Y53" i="13"/>
  <c r="AB53" i="13" s="1"/>
  <c r="Q34" i="13"/>
  <c r="AA53" i="13"/>
  <c r="AE32" i="13"/>
  <c r="AA19" i="8"/>
  <c r="S18" i="8"/>
  <c r="W54" i="13" l="1"/>
  <c r="V54" i="13"/>
  <c r="R38" i="13"/>
  <c r="AD38" i="13"/>
  <c r="AG38" i="13" s="1"/>
  <c r="AE56" i="13"/>
  <c r="R52" i="13"/>
  <c r="AD52" i="13"/>
  <c r="AD17" i="13"/>
  <c r="R17" i="13"/>
  <c r="U59" i="13"/>
  <c r="V56" i="13"/>
  <c r="AA24" i="13"/>
  <c r="AB24" i="13"/>
  <c r="Y58" i="13"/>
  <c r="E56" i="13"/>
  <c r="E25" i="13"/>
  <c r="G10" i="13"/>
  <c r="G56" i="13" s="1"/>
  <c r="H10" i="13"/>
  <c r="N25" i="13"/>
  <c r="AC25" i="13" s="1"/>
  <c r="J64" i="13"/>
  <c r="O64" i="13" s="1"/>
  <c r="AD64" i="13" s="1"/>
  <c r="AD37" i="13"/>
  <c r="R37" i="13"/>
  <c r="O10" i="13"/>
  <c r="P54" i="13"/>
  <c r="AE54" i="13" s="1"/>
  <c r="AE38" i="13"/>
  <c r="AB43" i="13"/>
  <c r="AA43" i="13"/>
  <c r="AD51" i="13"/>
  <c r="R51" i="13"/>
  <c r="Y57" i="13"/>
  <c r="AB15" i="13"/>
  <c r="G53" i="13"/>
  <c r="G58" i="13" s="1"/>
  <c r="H53" i="13"/>
  <c r="H15" i="13"/>
  <c r="E57" i="13"/>
  <c r="AA25" i="13"/>
  <c r="AD7" i="13"/>
  <c r="R7" i="13"/>
  <c r="R47" i="13"/>
  <c r="AD47" i="13"/>
  <c r="AD50" i="13"/>
  <c r="R50" i="13"/>
  <c r="I69" i="13"/>
  <c r="I70" i="13"/>
  <c r="Y25" i="13"/>
  <c r="AB25" i="13" s="1"/>
  <c r="D59" i="13"/>
  <c r="D67" i="13" s="1"/>
  <c r="AF8" i="13"/>
  <c r="AD35" i="13"/>
  <c r="R35" i="13"/>
  <c r="Z59" i="13"/>
  <c r="W56" i="13"/>
  <c r="L43" i="13"/>
  <c r="Q43" i="13" s="1"/>
  <c r="O43" i="13"/>
  <c r="M43" i="13"/>
  <c r="AE36" i="13"/>
  <c r="AF32" i="13"/>
  <c r="AD14" i="13"/>
  <c r="R14" i="13"/>
  <c r="AB38" i="13"/>
  <c r="Y54" i="13"/>
  <c r="K24" i="13"/>
  <c r="L19" i="13"/>
  <c r="Q19" i="13" s="1"/>
  <c r="P19" i="13"/>
  <c r="AE19" i="13" s="1"/>
  <c r="AF19" i="13" s="1"/>
  <c r="AD21" i="13"/>
  <c r="R21" i="13"/>
  <c r="X71" i="13"/>
  <c r="X72" i="13" s="1"/>
  <c r="J57" i="13"/>
  <c r="M57" i="13" s="1"/>
  <c r="E58" i="13"/>
  <c r="H58" i="13" s="1"/>
  <c r="H24" i="13"/>
  <c r="T57" i="13"/>
  <c r="Y56" i="13"/>
  <c r="N54" i="13"/>
  <c r="AC54" i="13" s="1"/>
  <c r="R40" i="13"/>
  <c r="AD40" i="13"/>
  <c r="Q53" i="13"/>
  <c r="R5" i="13"/>
  <c r="AD5" i="13"/>
  <c r="R48" i="13"/>
  <c r="AD48" i="13"/>
  <c r="O25" i="13"/>
  <c r="AD22" i="13"/>
  <c r="R22" i="13"/>
  <c r="W53" i="13"/>
  <c r="V53" i="13"/>
  <c r="J54" i="13"/>
  <c r="M54" i="13" s="1"/>
  <c r="J62" i="13"/>
  <c r="L57" i="13"/>
  <c r="Q32" i="13"/>
  <c r="Q38" i="13" s="1"/>
  <c r="Q54" i="13" s="1"/>
  <c r="L38" i="13"/>
  <c r="L54" i="13" s="1"/>
  <c r="AF42" i="13"/>
  <c r="E54" i="13"/>
  <c r="H54" i="13" s="1"/>
  <c r="H38" i="13"/>
  <c r="AD20" i="13"/>
  <c r="R20" i="13"/>
  <c r="G12" i="13"/>
  <c r="Q12" i="13" s="1"/>
  <c r="F15" i="13"/>
  <c r="P12" i="13"/>
  <c r="AE12" i="13" s="1"/>
  <c r="AF12" i="13" s="1"/>
  <c r="L56" i="13"/>
  <c r="O65" i="13"/>
  <c r="AD61" i="13"/>
  <c r="AD65" i="13" s="1"/>
  <c r="M53" i="13"/>
  <c r="O53" i="13"/>
  <c r="O58" i="13"/>
  <c r="AD24" i="13"/>
  <c r="E62" i="13"/>
  <c r="O62" i="13" s="1"/>
  <c r="AD62" i="13" s="1"/>
  <c r="N56" i="13"/>
  <c r="AC10" i="13"/>
  <c r="AF23" i="13"/>
  <c r="O15" i="13"/>
  <c r="V43" i="13"/>
  <c r="W43" i="13"/>
  <c r="AA15" i="13"/>
  <c r="AD30" i="13"/>
  <c r="R30" i="13"/>
  <c r="AD18" i="13"/>
  <c r="R18" i="13"/>
  <c r="T58" i="13"/>
  <c r="W58" i="13" s="1"/>
  <c r="W24" i="13"/>
  <c r="N58" i="13"/>
  <c r="AC58" i="13" s="1"/>
  <c r="AC24" i="13"/>
  <c r="AD12" i="13"/>
  <c r="AG12" i="13" s="1"/>
  <c r="R12" i="13"/>
  <c r="M56" i="13"/>
  <c r="J59" i="13"/>
  <c r="AF38" i="13" l="1"/>
  <c r="F57" i="13"/>
  <c r="F59" i="13" s="1"/>
  <c r="F67" i="13" s="1"/>
  <c r="G15" i="13"/>
  <c r="F25" i="13"/>
  <c r="G25" i="13" s="1"/>
  <c r="P15" i="13"/>
  <c r="K58" i="13"/>
  <c r="P24" i="13"/>
  <c r="L24" i="13"/>
  <c r="M24" i="13"/>
  <c r="K25" i="13"/>
  <c r="AG35" i="13"/>
  <c r="AF35" i="13"/>
  <c r="AG47" i="13"/>
  <c r="AF47" i="13"/>
  <c r="H25" i="13"/>
  <c r="W57" i="13"/>
  <c r="V57" i="13"/>
  <c r="AD53" i="13"/>
  <c r="R53" i="13"/>
  <c r="AF22" i="13"/>
  <c r="AG22" i="13"/>
  <c r="AG40" i="13"/>
  <c r="AF40" i="13"/>
  <c r="AB54" i="13"/>
  <c r="AA54" i="13"/>
  <c r="R43" i="13"/>
  <c r="AD43" i="13"/>
  <c r="O56" i="13"/>
  <c r="AD10" i="13"/>
  <c r="R10" i="13"/>
  <c r="H56" i="13"/>
  <c r="E59" i="13"/>
  <c r="AG17" i="13"/>
  <c r="AF17" i="13"/>
  <c r="O54" i="13"/>
  <c r="AD58" i="13"/>
  <c r="AG50" i="13"/>
  <c r="AF50" i="13"/>
  <c r="V59" i="13"/>
  <c r="U67" i="13"/>
  <c r="AD15" i="13"/>
  <c r="R15" i="13"/>
  <c r="O57" i="13"/>
  <c r="J67" i="13"/>
  <c r="AD25" i="13"/>
  <c r="D69" i="13"/>
  <c r="D70" i="13" s="1"/>
  <c r="AB57" i="13"/>
  <c r="AA57" i="13"/>
  <c r="G54" i="13"/>
  <c r="AG5" i="13"/>
  <c r="AF5" i="13"/>
  <c r="Z67" i="13"/>
  <c r="Z75" i="13"/>
  <c r="AA59" i="13"/>
  <c r="AG18" i="13"/>
  <c r="AF18" i="13"/>
  <c r="T59" i="13"/>
  <c r="AG7" i="13"/>
  <c r="AF7" i="13"/>
  <c r="AG37" i="13"/>
  <c r="AF37" i="13"/>
  <c r="AB58" i="13"/>
  <c r="AA58" i="13"/>
  <c r="AG52" i="13"/>
  <c r="AF52" i="13"/>
  <c r="N59" i="13"/>
  <c r="AC56" i="13"/>
  <c r="AG20" i="13"/>
  <c r="AF20" i="13"/>
  <c r="AG48" i="13"/>
  <c r="AF48" i="13"/>
  <c r="V58" i="13"/>
  <c r="AG14" i="13"/>
  <c r="AF14" i="13"/>
  <c r="I71" i="13"/>
  <c r="I72" i="13"/>
  <c r="AG51" i="13"/>
  <c r="AF51" i="13"/>
  <c r="AG30" i="13"/>
  <c r="AF30" i="13"/>
  <c r="Q10" i="13"/>
  <c r="Q56" i="13" s="1"/>
  <c r="AB56" i="13"/>
  <c r="Y59" i="13"/>
  <c r="AG21" i="13"/>
  <c r="AF21" i="13"/>
  <c r="AA56" i="13"/>
  <c r="H57" i="13"/>
  <c r="D71" i="13" l="1"/>
  <c r="D72" i="13" s="1"/>
  <c r="L58" i="13"/>
  <c r="L59" i="13" s="1"/>
  <c r="Q24" i="13"/>
  <c r="Q58" i="13" s="1"/>
  <c r="Q59" i="13" s="1"/>
  <c r="O59" i="13"/>
  <c r="AD56" i="13"/>
  <c r="R56" i="13"/>
  <c r="M58" i="13"/>
  <c r="K59" i="13"/>
  <c r="P58" i="13"/>
  <c r="AE24" i="13"/>
  <c r="R24" i="13"/>
  <c r="AG43" i="13"/>
  <c r="AF43" i="13"/>
  <c r="AE15" i="13"/>
  <c r="AF15" i="13" s="1"/>
  <c r="P57" i="13"/>
  <c r="AG10" i="13"/>
  <c r="AF10" i="13"/>
  <c r="AB59" i="13"/>
  <c r="Y67" i="13"/>
  <c r="Y70" i="13" s="1"/>
  <c r="R57" i="13"/>
  <c r="AD57" i="13"/>
  <c r="AD54" i="13"/>
  <c r="R54" i="13"/>
  <c r="Z69" i="13"/>
  <c r="Z70" i="13"/>
  <c r="AG53" i="13"/>
  <c r="AF53" i="13"/>
  <c r="G57" i="13"/>
  <c r="G59" i="13" s="1"/>
  <c r="Q15" i="13"/>
  <c r="Q57" i="13" s="1"/>
  <c r="J69" i="13"/>
  <c r="J70" i="13" s="1"/>
  <c r="E67" i="13"/>
  <c r="H59" i="13"/>
  <c r="P25" i="13"/>
  <c r="L25" i="13"/>
  <c r="Q25" i="13" s="1"/>
  <c r="M25" i="13"/>
  <c r="F75" i="13"/>
  <c r="F69" i="13"/>
  <c r="F70" i="13" s="1"/>
  <c r="U69" i="13"/>
  <c r="U70" i="13" s="1"/>
  <c r="V67" i="13"/>
  <c r="AC59" i="13"/>
  <c r="AC67" i="13" s="1"/>
  <c r="N67" i="13"/>
  <c r="T67" i="13"/>
  <c r="T70" i="13" s="1"/>
  <c r="W59" i="13"/>
  <c r="V70" i="13" l="1"/>
  <c r="U71" i="13"/>
  <c r="U72" i="13"/>
  <c r="F71" i="13"/>
  <c r="F72" i="13"/>
  <c r="J71" i="13"/>
  <c r="Q69" i="13"/>
  <c r="Q70" i="13"/>
  <c r="AG56" i="13"/>
  <c r="AF56" i="13"/>
  <c r="AE25" i="13"/>
  <c r="R25" i="13"/>
  <c r="AD59" i="13"/>
  <c r="O67" i="13"/>
  <c r="Y71" i="13"/>
  <c r="Y72" i="13" s="1"/>
  <c r="AB70" i="13"/>
  <c r="E70" i="13"/>
  <c r="E69" i="13"/>
  <c r="H69" i="13" s="1"/>
  <c r="G69" i="13"/>
  <c r="G70" i="13" s="1"/>
  <c r="AG15" i="13"/>
  <c r="AB69" i="13"/>
  <c r="AA69" i="13"/>
  <c r="AE58" i="13"/>
  <c r="R58" i="13"/>
  <c r="L69" i="13"/>
  <c r="L70" i="13" s="1"/>
  <c r="V69" i="13"/>
  <c r="W69" i="13"/>
  <c r="AF24" i="13"/>
  <c r="AG24" i="13"/>
  <c r="K67" i="13"/>
  <c r="M59" i="13"/>
  <c r="N69" i="13"/>
  <c r="AC69" i="13" s="1"/>
  <c r="AG54" i="13"/>
  <c r="AF54" i="13"/>
  <c r="AG57" i="13"/>
  <c r="AA70" i="13"/>
  <c r="Z71" i="13"/>
  <c r="AA71" i="13" s="1"/>
  <c r="W70" i="13"/>
  <c r="T71" i="13"/>
  <c r="W71" i="13" s="1"/>
  <c r="AA67" i="13"/>
  <c r="AE57" i="13"/>
  <c r="AF57" i="13" s="1"/>
  <c r="P59" i="13"/>
  <c r="G71" i="13" l="1"/>
  <c r="G72" i="13" s="1"/>
  <c r="L71" i="13"/>
  <c r="L72" i="13"/>
  <c r="T72" i="13"/>
  <c r="W72" i="13" s="1"/>
  <c r="AD67" i="13"/>
  <c r="O69" i="13"/>
  <c r="N70" i="13"/>
  <c r="J72" i="13"/>
  <c r="AE59" i="13"/>
  <c r="P67" i="13"/>
  <c r="K75" i="13"/>
  <c r="K69" i="13"/>
  <c r="M69" i="13" s="1"/>
  <c r="K70" i="13"/>
  <c r="AF58" i="13"/>
  <c r="AG58" i="13"/>
  <c r="AF25" i="13"/>
  <c r="AG25" i="13"/>
  <c r="Z72" i="13"/>
  <c r="AA72" i="13" s="1"/>
  <c r="V72" i="13"/>
  <c r="H70" i="13"/>
  <c r="E71" i="13"/>
  <c r="H71" i="13" s="1"/>
  <c r="E72" i="13"/>
  <c r="H72" i="13" s="1"/>
  <c r="AB71" i="13"/>
  <c r="Q71" i="13"/>
  <c r="Q72" i="13" s="1"/>
  <c r="V71" i="13"/>
  <c r="R59" i="13"/>
  <c r="P69" i="13" l="1"/>
  <c r="AE69" i="13" s="1"/>
  <c r="AF59" i="13"/>
  <c r="AE67" i="13"/>
  <c r="AC70" i="13"/>
  <c r="N71" i="13"/>
  <c r="AC71" i="13" s="1"/>
  <c r="R69" i="13"/>
  <c r="AD69" i="13"/>
  <c r="AG69" i="13" s="1"/>
  <c r="K71" i="13"/>
  <c r="M71" i="13" s="1"/>
  <c r="M70" i="13"/>
  <c r="O70" i="13"/>
  <c r="AG59" i="13"/>
  <c r="AB72" i="13"/>
  <c r="N72" i="13" l="1"/>
  <c r="AC72" i="13" s="1"/>
  <c r="AD70" i="13"/>
  <c r="O71" i="13"/>
  <c r="O72" i="13"/>
  <c r="R70" i="13"/>
  <c r="K72" i="13"/>
  <c r="M72" i="13" s="1"/>
  <c r="P70" i="13"/>
  <c r="AF69" i="13"/>
  <c r="AE70" i="13" l="1"/>
  <c r="AF70" i="13" s="1"/>
  <c r="P71" i="13"/>
  <c r="AE71" i="13" s="1"/>
  <c r="AD71" i="13"/>
  <c r="AG71" i="13" s="1"/>
  <c r="R71" i="13"/>
  <c r="AD72" i="13"/>
  <c r="P72" i="13" l="1"/>
  <c r="AG70" i="13"/>
  <c r="AF71" i="13"/>
  <c r="AE72" i="13" l="1"/>
  <c r="R72" i="13"/>
  <c r="AF72" i="13" l="1"/>
  <c r="AG72" i="13"/>
  <c r="AU114" i="12" l="1"/>
  <c r="AO114" i="12"/>
  <c r="AK114" i="12"/>
  <c r="AI114" i="12"/>
  <c r="AG114" i="12"/>
  <c r="AE114" i="12"/>
  <c r="AC114" i="12"/>
  <c r="AA114" i="12"/>
  <c r="W114" i="12"/>
  <c r="U114" i="12"/>
  <c r="S114" i="12"/>
  <c r="Q114" i="12"/>
  <c r="O114" i="12"/>
  <c r="M114" i="12"/>
  <c r="G114" i="12"/>
  <c r="K114" i="12" s="1"/>
  <c r="AV113" i="12"/>
  <c r="AQ113" i="12"/>
  <c r="AM113" i="12"/>
  <c r="Y113" i="12"/>
  <c r="K113" i="12"/>
  <c r="AS113" i="12" s="1"/>
  <c r="AV112" i="12"/>
  <c r="AS112" i="12"/>
  <c r="AQ112" i="12"/>
  <c r="AM112" i="12"/>
  <c r="Y112" i="12"/>
  <c r="K112" i="12"/>
  <c r="AV111" i="12"/>
  <c r="AQ111" i="12"/>
  <c r="AM111" i="12"/>
  <c r="Y111" i="12"/>
  <c r="K111" i="12"/>
  <c r="AV110" i="12"/>
  <c r="AQ110" i="12"/>
  <c r="AS110" i="12" s="1"/>
  <c r="AM110" i="12"/>
  <c r="Y110" i="12"/>
  <c r="K110" i="12"/>
  <c r="AV109" i="12"/>
  <c r="AS109" i="12"/>
  <c r="AQ109" i="12"/>
  <c r="AM109" i="12"/>
  <c r="Y109" i="12"/>
  <c r="K109" i="12"/>
  <c r="AV108" i="12"/>
  <c r="AQ108" i="12"/>
  <c r="AS108" i="12" s="1"/>
  <c r="AM108" i="12"/>
  <c r="Y108" i="12"/>
  <c r="K108" i="12"/>
  <c r="AV107" i="12"/>
  <c r="AQ107" i="12"/>
  <c r="AM107" i="12"/>
  <c r="Y107" i="12"/>
  <c r="K107" i="12"/>
  <c r="AS107" i="12" s="1"/>
  <c r="AV106" i="12"/>
  <c r="AS106" i="12"/>
  <c r="AQ106" i="12"/>
  <c r="AM106" i="12"/>
  <c r="Y106" i="12"/>
  <c r="K106" i="12"/>
  <c r="AV105" i="12"/>
  <c r="AQ105" i="12"/>
  <c r="AM105" i="12"/>
  <c r="Y105" i="12"/>
  <c r="K105" i="12"/>
  <c r="AS105" i="12" s="1"/>
  <c r="AV104" i="12"/>
  <c r="AS104" i="12"/>
  <c r="AQ104" i="12"/>
  <c r="AM104" i="12"/>
  <c r="Y104" i="12"/>
  <c r="K104" i="12"/>
  <c r="AV103" i="12"/>
  <c r="AQ103" i="12"/>
  <c r="AM103" i="12"/>
  <c r="Y103" i="12"/>
  <c r="K103" i="12"/>
  <c r="AS103" i="12" s="1"/>
  <c r="AV102" i="12"/>
  <c r="AQ102" i="12"/>
  <c r="AS102" i="12" s="1"/>
  <c r="AM102" i="12"/>
  <c r="Y102" i="12"/>
  <c r="K102" i="12"/>
  <c r="AV101" i="12"/>
  <c r="AQ101" i="12"/>
  <c r="AM101" i="12"/>
  <c r="Y101" i="12"/>
  <c r="AS101" i="12" s="1"/>
  <c r="K101" i="12"/>
  <c r="AV100" i="12"/>
  <c r="AQ100" i="12"/>
  <c r="AS100" i="12" s="1"/>
  <c r="AM100" i="12"/>
  <c r="Y100" i="12"/>
  <c r="K100" i="12"/>
  <c r="AV99" i="12"/>
  <c r="AQ99" i="12"/>
  <c r="AM99" i="12"/>
  <c r="Y99" i="12"/>
  <c r="K99" i="12"/>
  <c r="AS99" i="12" s="1"/>
  <c r="AV98" i="12"/>
  <c r="AQ98" i="12"/>
  <c r="AM98" i="12"/>
  <c r="Y98" i="12"/>
  <c r="K98" i="12"/>
  <c r="AV97" i="12"/>
  <c r="AQ97" i="12"/>
  <c r="AM97" i="12"/>
  <c r="Y97" i="12"/>
  <c r="K97" i="12"/>
  <c r="AS97" i="12" s="1"/>
  <c r="AV96" i="12"/>
  <c r="AS96" i="12"/>
  <c r="AQ96" i="12"/>
  <c r="AM96" i="12"/>
  <c r="Y96" i="12"/>
  <c r="K96" i="12"/>
  <c r="AV95" i="12"/>
  <c r="AQ95" i="12"/>
  <c r="AM95" i="12"/>
  <c r="Y95" i="12"/>
  <c r="K95" i="12"/>
  <c r="AV94" i="12"/>
  <c r="AQ94" i="12"/>
  <c r="AS94" i="12" s="1"/>
  <c r="AM94" i="12"/>
  <c r="Y94" i="12"/>
  <c r="K94" i="12"/>
  <c r="AV93" i="12"/>
  <c r="AS93" i="12"/>
  <c r="AQ93" i="12"/>
  <c r="AM93" i="12"/>
  <c r="Y93" i="12"/>
  <c r="K93" i="12"/>
  <c r="AV92" i="12"/>
  <c r="AQ92" i="12"/>
  <c r="AS92" i="12" s="1"/>
  <c r="AM92" i="12"/>
  <c r="Y92" i="12"/>
  <c r="K92" i="12"/>
  <c r="AV91" i="12"/>
  <c r="AQ91" i="12"/>
  <c r="AM91" i="12"/>
  <c r="Y91" i="12"/>
  <c r="K91" i="12"/>
  <c r="AS91" i="12" s="1"/>
  <c r="AV90" i="12"/>
  <c r="AS90" i="12"/>
  <c r="AQ90" i="12"/>
  <c r="AM90" i="12"/>
  <c r="Y90" i="12"/>
  <c r="K90" i="12"/>
  <c r="AV89" i="12"/>
  <c r="AQ89" i="12"/>
  <c r="AM89" i="12"/>
  <c r="Y89" i="12"/>
  <c r="K89" i="12"/>
  <c r="AV88" i="12"/>
  <c r="AQ88" i="12"/>
  <c r="AS88" i="12" s="1"/>
  <c r="AM88" i="12"/>
  <c r="Y88" i="12"/>
  <c r="K88" i="12"/>
  <c r="AV87" i="12"/>
  <c r="AQ87" i="12"/>
  <c r="AM87" i="12"/>
  <c r="Y87" i="12"/>
  <c r="K87" i="12"/>
  <c r="AV86" i="12"/>
  <c r="AQ86" i="12"/>
  <c r="AS86" i="12" s="1"/>
  <c r="AM86" i="12"/>
  <c r="Y86" i="12"/>
  <c r="K86" i="12"/>
  <c r="AV85" i="12"/>
  <c r="AQ85" i="12"/>
  <c r="AM85" i="12"/>
  <c r="Y85" i="12"/>
  <c r="K85" i="12"/>
  <c r="AS85" i="12" s="1"/>
  <c r="AV84" i="12"/>
  <c r="AS84" i="12"/>
  <c r="AQ84" i="12"/>
  <c r="AM84" i="12"/>
  <c r="Y84" i="12"/>
  <c r="K84" i="12"/>
  <c r="AV83" i="12"/>
  <c r="AQ83" i="12"/>
  <c r="AM83" i="12"/>
  <c r="Y83" i="12"/>
  <c r="K83" i="12"/>
  <c r="AS83" i="12" s="1"/>
  <c r="AV82" i="12"/>
  <c r="AQ82" i="12"/>
  <c r="AM82" i="12"/>
  <c r="Y82" i="12"/>
  <c r="K82" i="12"/>
  <c r="AV81" i="12"/>
  <c r="AQ81" i="12"/>
  <c r="AS81" i="12" s="1"/>
  <c r="AM81" i="12"/>
  <c r="Y81" i="12"/>
  <c r="K81" i="12"/>
  <c r="AV80" i="12"/>
  <c r="AS80" i="12"/>
  <c r="AQ80" i="12"/>
  <c r="AM80" i="12"/>
  <c r="Y80" i="12"/>
  <c r="K80" i="12"/>
  <c r="AV79" i="12"/>
  <c r="AS79" i="12"/>
  <c r="AQ79" i="12"/>
  <c r="AM79" i="12"/>
  <c r="Y79" i="12"/>
  <c r="K79" i="12"/>
  <c r="AV78" i="12"/>
  <c r="AQ78" i="12"/>
  <c r="AM78" i="12"/>
  <c r="Y78" i="12"/>
  <c r="K78" i="12"/>
  <c r="AV77" i="12"/>
  <c r="AQ77" i="12"/>
  <c r="AM77" i="12"/>
  <c r="Y77" i="12"/>
  <c r="K77" i="12"/>
  <c r="AV76" i="12"/>
  <c r="AQ76" i="12"/>
  <c r="AM76" i="12"/>
  <c r="Y76" i="12"/>
  <c r="K76" i="12"/>
  <c r="AV75" i="12"/>
  <c r="AQ75" i="12"/>
  <c r="AS75" i="12" s="1"/>
  <c r="AM75" i="12"/>
  <c r="Y75" i="12"/>
  <c r="K75" i="12"/>
  <c r="AV74" i="12"/>
  <c r="AQ74" i="12"/>
  <c r="AS74" i="12" s="1"/>
  <c r="AM74" i="12"/>
  <c r="Y74" i="12"/>
  <c r="K74" i="12"/>
  <c r="AV73" i="12"/>
  <c r="AQ73" i="12"/>
  <c r="AS73" i="12" s="1"/>
  <c r="AM73" i="12"/>
  <c r="Y73" i="12"/>
  <c r="K73" i="12"/>
  <c r="AV72" i="12"/>
  <c r="AS72" i="12"/>
  <c r="AQ72" i="12"/>
  <c r="AM72" i="12"/>
  <c r="Y72" i="12"/>
  <c r="K72" i="12"/>
  <c r="AV71" i="12"/>
  <c r="AS71" i="12"/>
  <c r="AQ71" i="12"/>
  <c r="AM71" i="12"/>
  <c r="Y71" i="12"/>
  <c r="K71" i="12"/>
  <c r="AQ70" i="12"/>
  <c r="AM70" i="12"/>
  <c r="Y70" i="12"/>
  <c r="K70" i="12"/>
  <c r="AV69" i="12"/>
  <c r="AQ69" i="12"/>
  <c r="AM69" i="12"/>
  <c r="Y69" i="12"/>
  <c r="K69" i="12"/>
  <c r="AV68" i="12"/>
  <c r="AQ68" i="12"/>
  <c r="AM68" i="12"/>
  <c r="Y68" i="12"/>
  <c r="K68" i="12"/>
  <c r="AS68" i="12" s="1"/>
  <c r="AV67" i="12"/>
  <c r="AQ67" i="12"/>
  <c r="AS67" i="12" s="1"/>
  <c r="AM67" i="12"/>
  <c r="Y67" i="12"/>
  <c r="K67" i="12"/>
  <c r="AV66" i="12"/>
  <c r="AQ66" i="12"/>
  <c r="AS66" i="12" s="1"/>
  <c r="AM66" i="12"/>
  <c r="Y66" i="12"/>
  <c r="K66" i="12"/>
  <c r="AV65" i="12"/>
  <c r="AS65" i="12"/>
  <c r="AQ65" i="12"/>
  <c r="AM65" i="12"/>
  <c r="Y65" i="12"/>
  <c r="K65" i="12"/>
  <c r="AV64" i="12"/>
  <c r="AQ64" i="12"/>
  <c r="AM64" i="12"/>
  <c r="Y64" i="12"/>
  <c r="K64" i="12"/>
  <c r="AV63" i="12"/>
  <c r="AQ63" i="12"/>
  <c r="AM63" i="12"/>
  <c r="Y63" i="12"/>
  <c r="K63" i="12"/>
  <c r="AS63" i="12" s="1"/>
  <c r="AV62" i="12"/>
  <c r="AQ62" i="12"/>
  <c r="AS62" i="12" s="1"/>
  <c r="AM62" i="12"/>
  <c r="Y62" i="12"/>
  <c r="K62" i="12"/>
  <c r="AV61" i="12"/>
  <c r="AQ61" i="12"/>
  <c r="AM61" i="12"/>
  <c r="Y61" i="12"/>
  <c r="K61" i="12"/>
  <c r="AS61" i="12" s="1"/>
  <c r="AV60" i="12"/>
  <c r="AS60" i="12"/>
  <c r="AQ60" i="12"/>
  <c r="AM60" i="12"/>
  <c r="Y60" i="12"/>
  <c r="K60" i="12"/>
  <c r="AV59" i="12"/>
  <c r="AS59" i="12"/>
  <c r="AQ59" i="12"/>
  <c r="AM59" i="12"/>
  <c r="Y59" i="12"/>
  <c r="K59" i="12"/>
  <c r="AV58" i="12"/>
  <c r="AQ58" i="12"/>
  <c r="AM58" i="12"/>
  <c r="Y58" i="12"/>
  <c r="K58" i="12"/>
  <c r="AS58" i="12" s="1"/>
  <c r="AV57" i="12"/>
  <c r="AQ57" i="12"/>
  <c r="AM57" i="12"/>
  <c r="Y57" i="12"/>
  <c r="K57" i="12"/>
  <c r="AV56" i="12"/>
  <c r="AS56" i="12"/>
  <c r="AQ56" i="12"/>
  <c r="AM56" i="12"/>
  <c r="Y56" i="12"/>
  <c r="K56" i="12"/>
  <c r="AV55" i="12"/>
  <c r="AQ55" i="12"/>
  <c r="AM55" i="12"/>
  <c r="Y55" i="12"/>
  <c r="K55" i="12"/>
  <c r="AS55" i="12" s="1"/>
  <c r="AV54" i="12"/>
  <c r="AQ54" i="12"/>
  <c r="AS54" i="12" s="1"/>
  <c r="AM54" i="12"/>
  <c r="Y54" i="12"/>
  <c r="K54" i="12"/>
  <c r="AV53" i="12"/>
  <c r="AQ53" i="12"/>
  <c r="AM53" i="12"/>
  <c r="Y53" i="12"/>
  <c r="K53" i="12"/>
  <c r="AS53" i="12" s="1"/>
  <c r="AV52" i="12"/>
  <c r="AS52" i="12"/>
  <c r="AQ52" i="12"/>
  <c r="AM52" i="12"/>
  <c r="Y52" i="12"/>
  <c r="K52" i="12"/>
  <c r="AV51" i="12"/>
  <c r="AS51" i="12"/>
  <c r="AQ51" i="12"/>
  <c r="AM51" i="12"/>
  <c r="Y51" i="12"/>
  <c r="K51" i="12"/>
  <c r="AV50" i="12"/>
  <c r="AQ50" i="12"/>
  <c r="AM50" i="12"/>
  <c r="Y50" i="12"/>
  <c r="K50" i="12"/>
  <c r="AV49" i="12"/>
  <c r="AQ49" i="12"/>
  <c r="AM49" i="12"/>
  <c r="Y49" i="12"/>
  <c r="K49" i="12"/>
  <c r="AQ48" i="12"/>
  <c r="AM48" i="12"/>
  <c r="Y48" i="12"/>
  <c r="K48" i="12"/>
  <c r="AS48" i="12" s="1"/>
  <c r="AV47" i="12"/>
  <c r="AQ47" i="12"/>
  <c r="AM47" i="12"/>
  <c r="Y47" i="12"/>
  <c r="K47" i="12"/>
  <c r="AS47" i="12" s="1"/>
  <c r="AV46" i="12"/>
  <c r="AQ46" i="12"/>
  <c r="AS46" i="12" s="1"/>
  <c r="AM46" i="12"/>
  <c r="Y46" i="12"/>
  <c r="K46" i="12"/>
  <c r="AV45" i="12"/>
  <c r="AS45" i="12"/>
  <c r="AQ45" i="12"/>
  <c r="AM45" i="12"/>
  <c r="Y45" i="12"/>
  <c r="K45" i="12"/>
  <c r="AV44" i="12"/>
  <c r="AQ44" i="12"/>
  <c r="AM44" i="12"/>
  <c r="Y44" i="12"/>
  <c r="AS44" i="12" s="1"/>
  <c r="K44" i="12"/>
  <c r="AV43" i="12"/>
  <c r="AQ43" i="12"/>
  <c r="AM43" i="12"/>
  <c r="AS43" i="12" s="1"/>
  <c r="Y43" i="12"/>
  <c r="K43" i="12"/>
  <c r="AV42" i="12"/>
  <c r="AQ42" i="12"/>
  <c r="AM42" i="12"/>
  <c r="Y42" i="12"/>
  <c r="AS42" i="12" s="1"/>
  <c r="K42" i="12"/>
  <c r="AV41" i="12"/>
  <c r="AQ41" i="12"/>
  <c r="AM41" i="12"/>
  <c r="Y41" i="12"/>
  <c r="K41" i="12"/>
  <c r="AV40" i="12"/>
  <c r="AQ40" i="12"/>
  <c r="AS40" i="12" s="1"/>
  <c r="AM40" i="12"/>
  <c r="Y40" i="12"/>
  <c r="K40" i="12"/>
  <c r="AV39" i="12"/>
  <c r="AQ39" i="12"/>
  <c r="AM39" i="12"/>
  <c r="Y39" i="12"/>
  <c r="K39" i="12"/>
  <c r="AS39" i="12" s="1"/>
  <c r="AV38" i="12"/>
  <c r="AS38" i="12"/>
  <c r="AQ38" i="12"/>
  <c r="AM38" i="12"/>
  <c r="Y38" i="12"/>
  <c r="K38" i="12"/>
  <c r="AV37" i="12"/>
  <c r="AS37" i="12"/>
  <c r="AQ37" i="12"/>
  <c r="AM37" i="12"/>
  <c r="Y37" i="12"/>
  <c r="K37" i="12"/>
  <c r="AV36" i="12"/>
  <c r="AS36" i="12"/>
  <c r="AQ36" i="12"/>
  <c r="AM36" i="12"/>
  <c r="Y36" i="12"/>
  <c r="K36" i="12"/>
  <c r="AV35" i="12"/>
  <c r="AQ35" i="12"/>
  <c r="AM35" i="12"/>
  <c r="Y35" i="12"/>
  <c r="K35" i="12"/>
  <c r="AV34" i="12"/>
  <c r="AQ34" i="12"/>
  <c r="AM34" i="12"/>
  <c r="Y34" i="12"/>
  <c r="K34" i="12"/>
  <c r="AS34" i="12" s="1"/>
  <c r="AV33" i="12"/>
  <c r="AQ33" i="12"/>
  <c r="AM33" i="12"/>
  <c r="Y33" i="12"/>
  <c r="K33" i="12"/>
  <c r="AS33" i="12" s="1"/>
  <c r="AV32" i="12"/>
  <c r="AS32" i="12"/>
  <c r="AQ32" i="12"/>
  <c r="AM32" i="12"/>
  <c r="Y32" i="12"/>
  <c r="K32" i="12"/>
  <c r="AV31" i="12"/>
  <c r="AQ31" i="12"/>
  <c r="AM31" i="12"/>
  <c r="Y31" i="12"/>
  <c r="K31" i="12"/>
  <c r="AS31" i="12" s="1"/>
  <c r="AV30" i="12"/>
  <c r="AS30" i="12"/>
  <c r="AQ30" i="12"/>
  <c r="AM30" i="12"/>
  <c r="Y30" i="12"/>
  <c r="K30" i="12"/>
  <c r="AQ29" i="12"/>
  <c r="AM29" i="12"/>
  <c r="Y29" i="12"/>
  <c r="K29" i="12"/>
  <c r="AS29" i="12" s="1"/>
  <c r="AV28" i="12"/>
  <c r="AQ28" i="12"/>
  <c r="AM28" i="12"/>
  <c r="Y28" i="12"/>
  <c r="K28" i="12"/>
  <c r="AS28" i="12" s="1"/>
  <c r="AQ27" i="12"/>
  <c r="AM27" i="12"/>
  <c r="Y27" i="12"/>
  <c r="K27" i="12"/>
  <c r="AS27" i="12" s="1"/>
  <c r="AQ26" i="12"/>
  <c r="AM26" i="12"/>
  <c r="Y26" i="12"/>
  <c r="K26" i="12"/>
  <c r="AS26" i="12" s="1"/>
  <c r="AQ25" i="12"/>
  <c r="AM25" i="12"/>
  <c r="Y25" i="12"/>
  <c r="K25" i="12"/>
  <c r="AS25" i="12" s="1"/>
  <c r="AV24" i="12"/>
  <c r="AQ24" i="12"/>
  <c r="AM24" i="12"/>
  <c r="Y24" i="12"/>
  <c r="K24" i="12"/>
  <c r="AS24" i="12" s="1"/>
  <c r="AV23" i="12"/>
  <c r="AQ23" i="12"/>
  <c r="AM23" i="12"/>
  <c r="Y23" i="12"/>
  <c r="K23" i="12"/>
  <c r="AS23" i="12" s="1"/>
  <c r="AV22" i="12"/>
  <c r="AS22" i="12"/>
  <c r="AQ22" i="12"/>
  <c r="AM22" i="12"/>
  <c r="Y22" i="12"/>
  <c r="K22" i="12"/>
  <c r="AV21" i="12"/>
  <c r="AQ21" i="12"/>
  <c r="AS21" i="12" s="1"/>
  <c r="AM21" i="12"/>
  <c r="Y21" i="12"/>
  <c r="K21" i="12"/>
  <c r="AV20" i="12"/>
  <c r="AS20" i="12"/>
  <c r="AQ20" i="12"/>
  <c r="AM20" i="12"/>
  <c r="Y20" i="12"/>
  <c r="K20" i="12"/>
  <c r="AV19" i="12"/>
  <c r="AQ19" i="12"/>
  <c r="AM19" i="12"/>
  <c r="Y19" i="12"/>
  <c r="K19" i="12"/>
  <c r="AV18" i="12"/>
  <c r="AQ18" i="12"/>
  <c r="AM18" i="12"/>
  <c r="Y18" i="12"/>
  <c r="K18" i="12"/>
  <c r="AS18" i="12" s="1"/>
  <c r="AV17" i="12"/>
  <c r="AQ17" i="12"/>
  <c r="AM17" i="12"/>
  <c r="Y17" i="12"/>
  <c r="K17" i="12"/>
  <c r="AS17" i="12" s="1"/>
  <c r="AV16" i="12"/>
  <c r="AQ16" i="12"/>
  <c r="AM16" i="12"/>
  <c r="Y16" i="12"/>
  <c r="K16" i="12"/>
  <c r="AV15" i="12"/>
  <c r="AQ15" i="12"/>
  <c r="AS15" i="12" s="1"/>
  <c r="AM15" i="12"/>
  <c r="Y15" i="12"/>
  <c r="K15" i="12"/>
  <c r="AV14" i="12"/>
  <c r="AS14" i="12"/>
  <c r="AQ14" i="12"/>
  <c r="AM14" i="12"/>
  <c r="Y14" i="12"/>
  <c r="K14" i="12"/>
  <c r="AS13" i="12"/>
  <c r="AQ13" i="12"/>
  <c r="AM13" i="12"/>
  <c r="AJ13" i="12"/>
  <c r="AJ42" i="12" s="1"/>
  <c r="AH13" i="12"/>
  <c r="AH14" i="12" s="1"/>
  <c r="AF13" i="12"/>
  <c r="AF38" i="12" s="1"/>
  <c r="AD13" i="12"/>
  <c r="AD47" i="12" s="1"/>
  <c r="AB13" i="12"/>
  <c r="AB66" i="12" s="1"/>
  <c r="Y13" i="12"/>
  <c r="T13" i="12"/>
  <c r="T14" i="12" s="1"/>
  <c r="P13" i="12"/>
  <c r="P32" i="12" s="1"/>
  <c r="N13" i="12"/>
  <c r="N32" i="12" s="1"/>
  <c r="K13" i="12"/>
  <c r="R7" i="12"/>
  <c r="V7" i="12" s="1"/>
  <c r="Y7" i="12" s="1"/>
  <c r="M7" i="12"/>
  <c r="O6" i="12"/>
  <c r="AP13" i="12" s="1"/>
  <c r="AP17" i="12" s="1"/>
  <c r="AR17" i="12" s="1"/>
  <c r="AL13" i="12"/>
  <c r="R13" i="12"/>
  <c r="R15" i="12" s="1"/>
  <c r="H13" i="12"/>
  <c r="AW113" i="11"/>
  <c r="AQ113" i="11"/>
  <c r="AM113" i="11"/>
  <c r="AK113" i="11"/>
  <c r="AI113" i="11"/>
  <c r="AG113" i="11"/>
  <c r="AE113" i="11"/>
  <c r="AA113" i="11"/>
  <c r="Y113" i="11"/>
  <c r="W113" i="11"/>
  <c r="U113" i="11"/>
  <c r="S113" i="11"/>
  <c r="Q113" i="11"/>
  <c r="O113" i="11"/>
  <c r="M113" i="11"/>
  <c r="J113" i="11"/>
  <c r="I113" i="11"/>
  <c r="G113" i="11"/>
  <c r="AX112" i="11"/>
  <c r="AT112" i="11"/>
  <c r="AS112" i="11"/>
  <c r="AO112" i="11"/>
  <c r="AC112" i="11"/>
  <c r="K112" i="11"/>
  <c r="AU112" i="11" s="1"/>
  <c r="AX111" i="11"/>
  <c r="AU111" i="11"/>
  <c r="AT111" i="11"/>
  <c r="AS111" i="11"/>
  <c r="AO111" i="11"/>
  <c r="AC111" i="11"/>
  <c r="K111" i="11"/>
  <c r="AX110" i="11"/>
  <c r="AU110" i="11"/>
  <c r="AT110" i="11"/>
  <c r="AS110" i="11"/>
  <c r="AO110" i="11"/>
  <c r="AC110" i="11"/>
  <c r="K110" i="11"/>
  <c r="AX109" i="11"/>
  <c r="AU109" i="11"/>
  <c r="AT109" i="11"/>
  <c r="AS109" i="11"/>
  <c r="AO109" i="11"/>
  <c r="AC109" i="11"/>
  <c r="K109" i="11"/>
  <c r="AX108" i="11"/>
  <c r="AT108" i="11"/>
  <c r="AS108" i="11"/>
  <c r="AO108" i="11"/>
  <c r="AC108" i="11"/>
  <c r="K108" i="11"/>
  <c r="AU108" i="11" s="1"/>
  <c r="AX107" i="11"/>
  <c r="AT107" i="11"/>
  <c r="AS107" i="11"/>
  <c r="AO107" i="11"/>
  <c r="AC107" i="11"/>
  <c r="K107" i="11"/>
  <c r="AX106" i="11"/>
  <c r="AT106" i="11"/>
  <c r="AS106" i="11"/>
  <c r="AO106" i="11"/>
  <c r="AC106" i="11"/>
  <c r="K106" i="11"/>
  <c r="AU106" i="11" s="1"/>
  <c r="AX105" i="11"/>
  <c r="AT105" i="11"/>
  <c r="AS105" i="11"/>
  <c r="AO105" i="11"/>
  <c r="AC105" i="11"/>
  <c r="AU105" i="11" s="1"/>
  <c r="K105" i="11"/>
  <c r="AX104" i="11"/>
  <c r="AT104" i="11"/>
  <c r="AS104" i="11"/>
  <c r="AO104" i="11"/>
  <c r="AC104" i="11"/>
  <c r="K104" i="11"/>
  <c r="AX103" i="11"/>
  <c r="AU103" i="11"/>
  <c r="AT103" i="11"/>
  <c r="AS103" i="11"/>
  <c r="AO103" i="11"/>
  <c r="AC103" i="11"/>
  <c r="K103" i="11"/>
  <c r="AX102" i="11"/>
  <c r="AU102" i="11"/>
  <c r="AT102" i="11"/>
  <c r="AS102" i="11"/>
  <c r="AO102" i="11"/>
  <c r="AC102" i="11"/>
  <c r="K102" i="11"/>
  <c r="AX101" i="11"/>
  <c r="AU101" i="11"/>
  <c r="AT101" i="11"/>
  <c r="AS101" i="11"/>
  <c r="AO101" i="11"/>
  <c r="AC101" i="11"/>
  <c r="K101" i="11"/>
  <c r="AX100" i="11"/>
  <c r="AT100" i="11"/>
  <c r="AS100" i="11"/>
  <c r="AO100" i="11"/>
  <c r="AC100" i="11"/>
  <c r="K100" i="11"/>
  <c r="AU100" i="11" s="1"/>
  <c r="AX99" i="11"/>
  <c r="AT99" i="11"/>
  <c r="AS99" i="11"/>
  <c r="AO99" i="11"/>
  <c r="AC99" i="11"/>
  <c r="K99" i="11"/>
  <c r="AU99" i="11" s="1"/>
  <c r="AX98" i="11"/>
  <c r="AT98" i="11"/>
  <c r="AS98" i="11"/>
  <c r="AO98" i="11"/>
  <c r="AC98" i="11"/>
  <c r="K98" i="11"/>
  <c r="AX97" i="11"/>
  <c r="AT97" i="11"/>
  <c r="AS97" i="11"/>
  <c r="AO97" i="11"/>
  <c r="AC97" i="11"/>
  <c r="AU97" i="11" s="1"/>
  <c r="K97" i="11"/>
  <c r="AX96" i="11"/>
  <c r="AT96" i="11"/>
  <c r="AS96" i="11"/>
  <c r="AO96" i="11"/>
  <c r="AC96" i="11"/>
  <c r="K96" i="11"/>
  <c r="AX95" i="11"/>
  <c r="AU95" i="11"/>
  <c r="AT95" i="11"/>
  <c r="AS95" i="11"/>
  <c r="AO95" i="11"/>
  <c r="AC95" i="11"/>
  <c r="K95" i="11"/>
  <c r="AX94" i="11"/>
  <c r="AU94" i="11"/>
  <c r="AT94" i="11"/>
  <c r="AS94" i="11"/>
  <c r="AO94" i="11"/>
  <c r="AC94" i="11"/>
  <c r="K94" i="11"/>
  <c r="AX93" i="11"/>
  <c r="AU93" i="11"/>
  <c r="AT93" i="11"/>
  <c r="AS93" i="11"/>
  <c r="AO93" i="11"/>
  <c r="AC93" i="11"/>
  <c r="K93" i="11"/>
  <c r="AX92" i="11"/>
  <c r="AT92" i="11"/>
  <c r="AS92" i="11"/>
  <c r="AO92" i="11"/>
  <c r="AC92" i="11"/>
  <c r="K92" i="11"/>
  <c r="AU92" i="11" s="1"/>
  <c r="AX91" i="11"/>
  <c r="AT91" i="11"/>
  <c r="AS91" i="11"/>
  <c r="AO91" i="11"/>
  <c r="AC91" i="11"/>
  <c r="K91" i="11"/>
  <c r="AX90" i="11"/>
  <c r="AT90" i="11"/>
  <c r="AS90" i="11"/>
  <c r="AO90" i="11"/>
  <c r="AC90" i="11"/>
  <c r="K90" i="11"/>
  <c r="AU90" i="11" s="1"/>
  <c r="AX89" i="11"/>
  <c r="AT89" i="11"/>
  <c r="AS89" i="11"/>
  <c r="AO89" i="11"/>
  <c r="AC89" i="11"/>
  <c r="AU89" i="11" s="1"/>
  <c r="K89" i="11"/>
  <c r="AX88" i="11"/>
  <c r="AT88" i="11"/>
  <c r="AS88" i="11"/>
  <c r="AO88" i="11"/>
  <c r="AC88" i="11"/>
  <c r="K88" i="11"/>
  <c r="AX87" i="11"/>
  <c r="AT87" i="11"/>
  <c r="AS87" i="11"/>
  <c r="AO87" i="11"/>
  <c r="AU87" i="11" s="1"/>
  <c r="AC87" i="11"/>
  <c r="K87" i="11"/>
  <c r="AX86" i="11"/>
  <c r="AT86" i="11"/>
  <c r="AS86" i="11"/>
  <c r="AO86" i="11"/>
  <c r="AC86" i="11"/>
  <c r="AU86" i="11" s="1"/>
  <c r="K86" i="11"/>
  <c r="AX85" i="11"/>
  <c r="AU85" i="11"/>
  <c r="AT85" i="11"/>
  <c r="AS85" i="11"/>
  <c r="AO85" i="11"/>
  <c r="AC85" i="11"/>
  <c r="K85" i="11"/>
  <c r="AX84" i="11"/>
  <c r="AT84" i="11"/>
  <c r="AS84" i="11"/>
  <c r="AO84" i="11"/>
  <c r="AC84" i="11"/>
  <c r="K84" i="11"/>
  <c r="AU84" i="11" s="1"/>
  <c r="AX83" i="11"/>
  <c r="AU83" i="11"/>
  <c r="AT83" i="11"/>
  <c r="AS83" i="11"/>
  <c r="AO83" i="11"/>
  <c r="AC83" i="11"/>
  <c r="K83" i="11"/>
  <c r="AX82" i="11"/>
  <c r="AT82" i="11"/>
  <c r="AS82" i="11"/>
  <c r="AO82" i="11"/>
  <c r="AC82" i="11"/>
  <c r="K82" i="11"/>
  <c r="AU82" i="11" s="1"/>
  <c r="AX81" i="11"/>
  <c r="AT81" i="11"/>
  <c r="AS81" i="11"/>
  <c r="AO81" i="11"/>
  <c r="AC81" i="11"/>
  <c r="AU81" i="11" s="1"/>
  <c r="K81" i="11"/>
  <c r="AX80" i="11"/>
  <c r="AT80" i="11"/>
  <c r="AS80" i="11"/>
  <c r="AO80" i="11"/>
  <c r="AC80" i="11"/>
  <c r="K80" i="11"/>
  <c r="AU80" i="11" s="1"/>
  <c r="AX79" i="11"/>
  <c r="AT79" i="11"/>
  <c r="AS79" i="11"/>
  <c r="AO79" i="11"/>
  <c r="AC79" i="11"/>
  <c r="AU79" i="11" s="1"/>
  <c r="K79" i="11"/>
  <c r="AX78" i="11"/>
  <c r="AT78" i="11"/>
  <c r="AS78" i="11"/>
  <c r="AO78" i="11"/>
  <c r="AC78" i="11"/>
  <c r="K78" i="11"/>
  <c r="AU78" i="11" s="1"/>
  <c r="AX77" i="11"/>
  <c r="AT77" i="11"/>
  <c r="AS77" i="11"/>
  <c r="AO77" i="11"/>
  <c r="AU77" i="11" s="1"/>
  <c r="AC77" i="11"/>
  <c r="K77" i="11"/>
  <c r="AX76" i="11"/>
  <c r="AU76" i="11"/>
  <c r="AT76" i="11"/>
  <c r="AS76" i="11"/>
  <c r="AO76" i="11"/>
  <c r="AC76" i="11"/>
  <c r="K76" i="11"/>
  <c r="AX75" i="11"/>
  <c r="AT75" i="11"/>
  <c r="AS75" i="11"/>
  <c r="AO75" i="11"/>
  <c r="AC75" i="11"/>
  <c r="K75" i="11"/>
  <c r="AU75" i="11" s="1"/>
  <c r="AX74" i="11"/>
  <c r="AT74" i="11"/>
  <c r="AS74" i="11"/>
  <c r="AO74" i="11"/>
  <c r="AC74" i="11"/>
  <c r="K74" i="11"/>
  <c r="AX73" i="11"/>
  <c r="AT73" i="11"/>
  <c r="AS73" i="11"/>
  <c r="AO73" i="11"/>
  <c r="AC73" i="11"/>
  <c r="K73" i="11"/>
  <c r="AX72" i="11"/>
  <c r="AT72" i="11"/>
  <c r="AS72" i="11"/>
  <c r="AO72" i="11"/>
  <c r="AC72" i="11"/>
  <c r="AU72" i="11" s="1"/>
  <c r="K72" i="11"/>
  <c r="AX71" i="11"/>
  <c r="AT71" i="11"/>
  <c r="AS71" i="11"/>
  <c r="AO71" i="11"/>
  <c r="AC71" i="11"/>
  <c r="AU71" i="11" s="1"/>
  <c r="K71" i="11"/>
  <c r="AU70" i="11"/>
  <c r="AT70" i="11"/>
  <c r="AS70" i="11"/>
  <c r="AO70" i="11"/>
  <c r="AC70" i="11"/>
  <c r="K70" i="11"/>
  <c r="AX69" i="11"/>
  <c r="AT69" i="11"/>
  <c r="AS69" i="11"/>
  <c r="AO69" i="11"/>
  <c r="AU69" i="11" s="1"/>
  <c r="AC69" i="11"/>
  <c r="K69" i="11"/>
  <c r="AX68" i="11"/>
  <c r="AU68" i="11"/>
  <c r="AT68" i="11"/>
  <c r="AS68" i="11"/>
  <c r="AO68" i="11"/>
  <c r="AC68" i="11"/>
  <c r="K68" i="11"/>
  <c r="AX67" i="11"/>
  <c r="AT67" i="11"/>
  <c r="AS67" i="11"/>
  <c r="AO67" i="11"/>
  <c r="AC67" i="11"/>
  <c r="K67" i="11"/>
  <c r="AU67" i="11" s="1"/>
  <c r="AX66" i="11"/>
  <c r="AT66" i="11"/>
  <c r="AS66" i="11"/>
  <c r="AO66" i="11"/>
  <c r="AC66" i="11"/>
  <c r="K66" i="11"/>
  <c r="AX65" i="11"/>
  <c r="AT65" i="11"/>
  <c r="AS65" i="11"/>
  <c r="AO65" i="11"/>
  <c r="AC65" i="11"/>
  <c r="K65" i="11"/>
  <c r="AX64" i="11"/>
  <c r="AT64" i="11"/>
  <c r="AS64" i="11"/>
  <c r="AO64" i="11"/>
  <c r="AC64" i="11"/>
  <c r="AU64" i="11" s="1"/>
  <c r="K64" i="11"/>
  <c r="AX63" i="11"/>
  <c r="AT63" i="11"/>
  <c r="AS63" i="11"/>
  <c r="AO63" i="11"/>
  <c r="AC63" i="11"/>
  <c r="AU63" i="11" s="1"/>
  <c r="K63" i="11"/>
  <c r="AX62" i="11"/>
  <c r="AT62" i="11"/>
  <c r="AS62" i="11"/>
  <c r="AO62" i="11"/>
  <c r="AC62" i="11"/>
  <c r="K62" i="11"/>
  <c r="AU62" i="11" s="1"/>
  <c r="AX61" i="11"/>
  <c r="AT61" i="11"/>
  <c r="AS61" i="11"/>
  <c r="AO61" i="11"/>
  <c r="AU61" i="11" s="1"/>
  <c r="AC61" i="11"/>
  <c r="K61" i="11"/>
  <c r="AX60" i="11"/>
  <c r="AT60" i="11"/>
  <c r="AS60" i="11"/>
  <c r="AO60" i="11"/>
  <c r="AC60" i="11"/>
  <c r="K60" i="11"/>
  <c r="AX59" i="11"/>
  <c r="AT59" i="11"/>
  <c r="AS59" i="11"/>
  <c r="AO59" i="11"/>
  <c r="AC59" i="11"/>
  <c r="K59" i="11"/>
  <c r="AX58" i="11"/>
  <c r="AT58" i="11"/>
  <c r="AS58" i="11"/>
  <c r="AO58" i="11"/>
  <c r="AC58" i="11"/>
  <c r="K58" i="11"/>
  <c r="AU58" i="11" s="1"/>
  <c r="AX57" i="11"/>
  <c r="AT57" i="11"/>
  <c r="AS57" i="11"/>
  <c r="AO57" i="11"/>
  <c r="AC57" i="11"/>
  <c r="K57" i="11"/>
  <c r="AX56" i="11"/>
  <c r="AU56" i="11"/>
  <c r="AT56" i="11"/>
  <c r="AS56" i="11"/>
  <c r="AO56" i="11"/>
  <c r="AC56" i="11"/>
  <c r="K56" i="11"/>
  <c r="AX55" i="11"/>
  <c r="AU55" i="11"/>
  <c r="AT55" i="11"/>
  <c r="AS55" i="11"/>
  <c r="AO55" i="11"/>
  <c r="AC55" i="11"/>
  <c r="K55" i="11"/>
  <c r="AX54" i="11"/>
  <c r="AU54" i="11"/>
  <c r="AT54" i="11"/>
  <c r="AS54" i="11"/>
  <c r="AO54" i="11"/>
  <c r="AC54" i="11"/>
  <c r="K54" i="11"/>
  <c r="AX53" i="11"/>
  <c r="AU53" i="11"/>
  <c r="AT53" i="11"/>
  <c r="AS53" i="11"/>
  <c r="AO53" i="11"/>
  <c r="AC53" i="11"/>
  <c r="K53" i="11"/>
  <c r="AX52" i="11"/>
  <c r="AU52" i="11"/>
  <c r="AT52" i="11"/>
  <c r="AS52" i="11"/>
  <c r="AO52" i="11"/>
  <c r="AC52" i="11"/>
  <c r="K52" i="11"/>
  <c r="AX51" i="11"/>
  <c r="AU51" i="11"/>
  <c r="AT51" i="11"/>
  <c r="AS51" i="11"/>
  <c r="AO51" i="11"/>
  <c r="AC51" i="11"/>
  <c r="K51" i="11"/>
  <c r="AX50" i="11"/>
  <c r="AU50" i="11"/>
  <c r="AT50" i="11"/>
  <c r="AS50" i="11"/>
  <c r="AO50" i="11"/>
  <c r="AC50" i="11"/>
  <c r="K50" i="11"/>
  <c r="AX49" i="11"/>
  <c r="AT49" i="11"/>
  <c r="AS49" i="11"/>
  <c r="AO49" i="11"/>
  <c r="AC49" i="11"/>
  <c r="K49" i="11"/>
  <c r="AT48" i="11"/>
  <c r="AS48" i="11"/>
  <c r="AO48" i="11"/>
  <c r="AC48" i="11"/>
  <c r="K48" i="11"/>
  <c r="AX47" i="11"/>
  <c r="AU47" i="11"/>
  <c r="AT47" i="11"/>
  <c r="AS47" i="11"/>
  <c r="AO47" i="11"/>
  <c r="AC47" i="11"/>
  <c r="K47" i="11"/>
  <c r="AX46" i="11"/>
  <c r="AT46" i="11"/>
  <c r="AS46" i="11"/>
  <c r="AO46" i="11"/>
  <c r="AC46" i="11"/>
  <c r="K46" i="11"/>
  <c r="AX45" i="11"/>
  <c r="AU45" i="11"/>
  <c r="AT45" i="11"/>
  <c r="AS45" i="11"/>
  <c r="AO45" i="11"/>
  <c r="AC45" i="11"/>
  <c r="K45" i="11"/>
  <c r="AX44" i="11"/>
  <c r="AT44" i="11"/>
  <c r="AS44" i="11"/>
  <c r="AO44" i="11"/>
  <c r="AC44" i="11"/>
  <c r="K44" i="11"/>
  <c r="AU44" i="11" s="1"/>
  <c r="AX43" i="11"/>
  <c r="AU43" i="11"/>
  <c r="AT43" i="11"/>
  <c r="AS43" i="11"/>
  <c r="AO43" i="11"/>
  <c r="AC43" i="11"/>
  <c r="K43" i="11"/>
  <c r="AX42" i="11"/>
  <c r="AU42" i="11"/>
  <c r="AT42" i="11"/>
  <c r="AS42" i="11"/>
  <c r="AO42" i="11"/>
  <c r="AC42" i="11"/>
  <c r="K42" i="11"/>
  <c r="AX41" i="11"/>
  <c r="AT41" i="11"/>
  <c r="AS41" i="11"/>
  <c r="AO41" i="11"/>
  <c r="AC41" i="11"/>
  <c r="K41" i="11"/>
  <c r="AU41" i="11" s="1"/>
  <c r="AX40" i="11"/>
  <c r="AU40" i="11"/>
  <c r="AT40" i="11"/>
  <c r="AS40" i="11"/>
  <c r="AO40" i="11"/>
  <c r="AC40" i="11"/>
  <c r="K40" i="11"/>
  <c r="AX39" i="11"/>
  <c r="AT39" i="11"/>
  <c r="AS39" i="11"/>
  <c r="AO39" i="11"/>
  <c r="AC39" i="11"/>
  <c r="K39" i="11"/>
  <c r="AU39" i="11" s="1"/>
  <c r="AX38" i="11"/>
  <c r="AT38" i="11"/>
  <c r="AS38" i="11"/>
  <c r="AO38" i="11"/>
  <c r="AC38" i="11"/>
  <c r="K38" i="11"/>
  <c r="AU38" i="11" s="1"/>
  <c r="AX37" i="11"/>
  <c r="AT37" i="11"/>
  <c r="AS37" i="11"/>
  <c r="AO37" i="11"/>
  <c r="AC37" i="11"/>
  <c r="K37" i="11"/>
  <c r="AU37" i="11" s="1"/>
  <c r="AX36" i="11"/>
  <c r="AT36" i="11"/>
  <c r="AS36" i="11"/>
  <c r="AO36" i="11"/>
  <c r="AC36" i="11"/>
  <c r="K36" i="11"/>
  <c r="AX35" i="11"/>
  <c r="AT35" i="11"/>
  <c r="AS35" i="11"/>
  <c r="AO35" i="11"/>
  <c r="AC35" i="11"/>
  <c r="AU35" i="11" s="1"/>
  <c r="K35" i="11"/>
  <c r="AX34" i="11"/>
  <c r="AT34" i="11"/>
  <c r="AS34" i="11"/>
  <c r="AO34" i="11"/>
  <c r="AC34" i="11"/>
  <c r="K34" i="11"/>
  <c r="AU34" i="11" s="1"/>
  <c r="AX33" i="11"/>
  <c r="AU33" i="11"/>
  <c r="AT33" i="11"/>
  <c r="AS33" i="11"/>
  <c r="AO33" i="11"/>
  <c r="AC33" i="11"/>
  <c r="K33" i="11"/>
  <c r="AX32" i="11"/>
  <c r="AU32" i="11"/>
  <c r="AT32" i="11"/>
  <c r="AS32" i="11"/>
  <c r="AO32" i="11"/>
  <c r="AC32" i="11"/>
  <c r="K32" i="11"/>
  <c r="AX31" i="11"/>
  <c r="AT31" i="11"/>
  <c r="AS31" i="11"/>
  <c r="AO31" i="11"/>
  <c r="AC31" i="11"/>
  <c r="K31" i="11"/>
  <c r="AU31" i="11" s="1"/>
  <c r="AX30" i="11"/>
  <c r="AT30" i="11"/>
  <c r="AS30" i="11"/>
  <c r="AO30" i="11"/>
  <c r="AC30" i="11"/>
  <c r="K30" i="11"/>
  <c r="AT29" i="11"/>
  <c r="AS29" i="11"/>
  <c r="AO29" i="11"/>
  <c r="AC29" i="11"/>
  <c r="K29" i="11"/>
  <c r="AU29" i="11" s="1"/>
  <c r="AX28" i="11"/>
  <c r="AT28" i="11"/>
  <c r="AS28" i="11"/>
  <c r="AO28" i="11"/>
  <c r="AC28" i="11"/>
  <c r="K28" i="11"/>
  <c r="AU27" i="11"/>
  <c r="AT27" i="11"/>
  <c r="AS27" i="11"/>
  <c r="AO27" i="11"/>
  <c r="AC27" i="11"/>
  <c r="K27" i="11"/>
  <c r="AT26" i="11"/>
  <c r="AS26" i="11"/>
  <c r="AO26" i="11"/>
  <c r="AC26" i="11"/>
  <c r="K26" i="11"/>
  <c r="AU26" i="11" s="1"/>
  <c r="AT25" i="11"/>
  <c r="AS25" i="11"/>
  <c r="AO25" i="11"/>
  <c r="AU25" i="11" s="1"/>
  <c r="AC25" i="11"/>
  <c r="K25" i="11"/>
  <c r="AX24" i="11"/>
  <c r="AT24" i="11"/>
  <c r="AS24" i="11"/>
  <c r="AO24" i="11"/>
  <c r="AC24" i="11"/>
  <c r="K24" i="11"/>
  <c r="AU24" i="11" s="1"/>
  <c r="AX23" i="11"/>
  <c r="AS23" i="11"/>
  <c r="AO23" i="11"/>
  <c r="AC23" i="11"/>
  <c r="K23" i="11"/>
  <c r="AX22" i="11"/>
  <c r="AS22" i="11"/>
  <c r="AO22" i="11"/>
  <c r="AC22" i="11"/>
  <c r="AU22" i="11" s="1"/>
  <c r="K22" i="11"/>
  <c r="AX21" i="11"/>
  <c r="AU21" i="11"/>
  <c r="AT21" i="11"/>
  <c r="AS21" i="11"/>
  <c r="AO21" i="11"/>
  <c r="AC21" i="11"/>
  <c r="K21" i="11"/>
  <c r="AX20" i="11"/>
  <c r="AT20" i="11"/>
  <c r="AS20" i="11"/>
  <c r="AO20" i="11"/>
  <c r="AC20" i="11"/>
  <c r="K20" i="11"/>
  <c r="AU20" i="11" s="1"/>
  <c r="AX19" i="11"/>
  <c r="AU19" i="11"/>
  <c r="AT19" i="11"/>
  <c r="AS19" i="11"/>
  <c r="AO19" i="11"/>
  <c r="AC19" i="11"/>
  <c r="K19" i="11"/>
  <c r="AX18" i="11"/>
  <c r="AU18" i="11"/>
  <c r="AT18" i="11"/>
  <c r="AS18" i="11"/>
  <c r="AO18" i="11"/>
  <c r="AC18" i="11"/>
  <c r="K18" i="11"/>
  <c r="AX17" i="11"/>
  <c r="AT17" i="11"/>
  <c r="AS17" i="11"/>
  <c r="AO17" i="11"/>
  <c r="AC17" i="11"/>
  <c r="K17" i="11"/>
  <c r="AX16" i="11"/>
  <c r="AT16" i="11"/>
  <c r="AS16" i="11"/>
  <c r="AO16" i="11"/>
  <c r="AC16" i="11"/>
  <c r="K16" i="11"/>
  <c r="AU16" i="11" s="1"/>
  <c r="AX15" i="11"/>
  <c r="AT15" i="11"/>
  <c r="AS15" i="11"/>
  <c r="AO15" i="11"/>
  <c r="AC15" i="11"/>
  <c r="AU15" i="11" s="1"/>
  <c r="K15" i="11"/>
  <c r="AX14" i="11"/>
  <c r="AT14" i="11"/>
  <c r="AS14" i="11"/>
  <c r="AO14" i="11"/>
  <c r="AC14" i="11"/>
  <c r="K14" i="11"/>
  <c r="AX13" i="11"/>
  <c r="AT13" i="11"/>
  <c r="AS13" i="11"/>
  <c r="AO13" i="11"/>
  <c r="AC13" i="11"/>
  <c r="K13" i="11"/>
  <c r="AS12" i="11"/>
  <c r="AN12" i="11"/>
  <c r="AN78" i="11" s="1"/>
  <c r="AJ12" i="11"/>
  <c r="AJ67" i="11" s="1"/>
  <c r="AH12" i="11"/>
  <c r="AH20" i="11" s="1"/>
  <c r="AF12" i="11"/>
  <c r="AF25" i="11" s="1"/>
  <c r="Z12" i="11"/>
  <c r="Z42" i="11" s="1"/>
  <c r="V12" i="11"/>
  <c r="V20" i="11" s="1"/>
  <c r="T12" i="11"/>
  <c r="T52" i="11" s="1"/>
  <c r="R12" i="11"/>
  <c r="R70" i="11" s="1"/>
  <c r="K12" i="11"/>
  <c r="AU12" i="11" s="1"/>
  <c r="V7" i="11"/>
  <c r="Y7" i="11" s="1"/>
  <c r="M7" i="11"/>
  <c r="O6" i="11"/>
  <c r="AR12" i="11" s="1"/>
  <c r="AR23" i="11" s="1"/>
  <c r="AT23" i="11" s="1"/>
  <c r="AL12" i="11"/>
  <c r="AL74" i="11" s="1"/>
  <c r="H12" i="11"/>
  <c r="H46" i="11" s="1"/>
  <c r="L46" i="11" s="1"/>
  <c r="B24" i="10"/>
  <c r="D24" i="10" s="1"/>
  <c r="B23" i="10"/>
  <c r="D23" i="10" s="1"/>
  <c r="B23" i="9"/>
  <c r="D23" i="9" s="1"/>
  <c r="B22" i="9"/>
  <c r="D22" i="9" s="1"/>
  <c r="L21" i="8"/>
  <c r="B21" i="8"/>
  <c r="D21" i="8" s="1"/>
  <c r="L20" i="8"/>
  <c r="B20" i="8"/>
  <c r="D20" i="8" s="1"/>
  <c r="G19" i="7"/>
  <c r="G18" i="7"/>
  <c r="G17" i="7"/>
  <c r="G16" i="7"/>
  <c r="G17" i="6"/>
  <c r="G21" i="6" s="1"/>
  <c r="G18" i="6"/>
  <c r="G19" i="6"/>
  <c r="G16" i="6"/>
  <c r="B28" i="2"/>
  <c r="E28" i="2" s="1"/>
  <c r="B29" i="2"/>
  <c r="E29" i="2" s="1"/>
  <c r="AB69" i="5"/>
  <c r="AA69" i="5"/>
  <c r="W69" i="5"/>
  <c r="V69" i="5"/>
  <c r="Z65" i="5"/>
  <c r="Y65" i="5"/>
  <c r="X65" i="5"/>
  <c r="U65" i="5"/>
  <c r="T65" i="5"/>
  <c r="S65" i="5"/>
  <c r="S54" i="5"/>
  <c r="D54" i="5"/>
  <c r="X53" i="5"/>
  <c r="S53" i="5"/>
  <c r="I53" i="5"/>
  <c r="N53" i="5" s="1"/>
  <c r="AC53" i="5" s="1"/>
  <c r="D53" i="5"/>
  <c r="Y52" i="5"/>
  <c r="Z52" i="5" s="1"/>
  <c r="AA52" i="5" s="1"/>
  <c r="W52" i="5"/>
  <c r="U52" i="5"/>
  <c r="V52" i="5" s="1"/>
  <c r="T52" i="5"/>
  <c r="N52" i="5"/>
  <c r="AC52" i="5" s="1"/>
  <c r="J52" i="5"/>
  <c r="E52" i="5"/>
  <c r="Y51" i="5"/>
  <c r="Y53" i="5" s="1"/>
  <c r="W51" i="5"/>
  <c r="V51" i="5"/>
  <c r="T51" i="5"/>
  <c r="R51" i="5"/>
  <c r="P51" i="5"/>
  <c r="AE51" i="5" s="1"/>
  <c r="O51" i="5"/>
  <c r="N51" i="5"/>
  <c r="AC51" i="5" s="1"/>
  <c r="M51" i="5"/>
  <c r="L51" i="5"/>
  <c r="J51" i="5"/>
  <c r="H51" i="5"/>
  <c r="E51" i="5"/>
  <c r="G51" i="5" s="1"/>
  <c r="AB50" i="5"/>
  <c r="Y50" i="5"/>
  <c r="AA50" i="5" s="1"/>
  <c r="T50" i="5"/>
  <c r="W50" i="5" s="1"/>
  <c r="N50" i="5"/>
  <c r="AC50" i="5" s="1"/>
  <c r="J50" i="5"/>
  <c r="E50" i="5"/>
  <c r="H50" i="5" s="1"/>
  <c r="AB49" i="5"/>
  <c r="Y49" i="5"/>
  <c r="AA49" i="5" s="1"/>
  <c r="T49" i="5"/>
  <c r="W49" i="5" s="1"/>
  <c r="N49" i="5"/>
  <c r="AC49" i="5" s="1"/>
  <c r="J49" i="5"/>
  <c r="E49" i="5"/>
  <c r="H49" i="5" s="1"/>
  <c r="AD48" i="5"/>
  <c r="AB48" i="5"/>
  <c r="Y48" i="5"/>
  <c r="AA48" i="5" s="1"/>
  <c r="T48" i="5"/>
  <c r="W48" i="5" s="1"/>
  <c r="N48" i="5"/>
  <c r="AC48" i="5" s="1"/>
  <c r="M48" i="5"/>
  <c r="K48" i="5"/>
  <c r="J48" i="5"/>
  <c r="H48" i="5"/>
  <c r="E48" i="5"/>
  <c r="O48" i="5" s="1"/>
  <c r="R48" i="5" s="1"/>
  <c r="AC47" i="5"/>
  <c r="Y47" i="5"/>
  <c r="AB47" i="5" s="1"/>
  <c r="T47" i="5"/>
  <c r="W47" i="5" s="1"/>
  <c r="N47" i="5"/>
  <c r="M47" i="5"/>
  <c r="K47" i="5"/>
  <c r="J47" i="5"/>
  <c r="H47" i="5"/>
  <c r="E47" i="5"/>
  <c r="O47" i="5" s="1"/>
  <c r="AC46" i="5"/>
  <c r="Y46" i="5"/>
  <c r="AB46" i="5" s="1"/>
  <c r="T46" i="5"/>
  <c r="W46" i="5" s="1"/>
  <c r="N46" i="5"/>
  <c r="M46" i="5"/>
  <c r="K46" i="5"/>
  <c r="J46" i="5"/>
  <c r="H46" i="5"/>
  <c r="E46" i="5"/>
  <c r="G46" i="5" s="1"/>
  <c r="AE45" i="5"/>
  <c r="AB45" i="5"/>
  <c r="Y45" i="5"/>
  <c r="AA45" i="5" s="1"/>
  <c r="T45" i="5"/>
  <c r="P45" i="5"/>
  <c r="N45" i="5"/>
  <c r="AC45" i="5" s="1"/>
  <c r="L45" i="5"/>
  <c r="Q45" i="5" s="1"/>
  <c r="J45" i="5"/>
  <c r="J53" i="5" s="1"/>
  <c r="H45" i="5"/>
  <c r="F45" i="5"/>
  <c r="G45" i="5" s="1"/>
  <c r="E45" i="5"/>
  <c r="X43" i="5"/>
  <c r="S43" i="5"/>
  <c r="N43" i="5"/>
  <c r="AC43" i="5" s="1"/>
  <c r="I43" i="5"/>
  <c r="F43" i="5"/>
  <c r="G43" i="5" s="1"/>
  <c r="E43" i="5"/>
  <c r="H43" i="5" s="1"/>
  <c r="D43" i="5"/>
  <c r="AC42" i="5"/>
  <c r="AB42" i="5"/>
  <c r="AA42" i="5"/>
  <c r="Y42" i="5"/>
  <c r="W42" i="5"/>
  <c r="T42" i="5"/>
  <c r="U42" i="5" s="1"/>
  <c r="V42" i="5" s="1"/>
  <c r="N42" i="5"/>
  <c r="J42" i="5"/>
  <c r="H42" i="5"/>
  <c r="G42" i="5"/>
  <c r="E42" i="5"/>
  <c r="AC41" i="5"/>
  <c r="AB41" i="5"/>
  <c r="Y41" i="5"/>
  <c r="Z41" i="5" s="1"/>
  <c r="Z43" i="5" s="1"/>
  <c r="T41" i="5"/>
  <c r="W41" i="5" s="1"/>
  <c r="P41" i="5"/>
  <c r="AE41" i="5" s="1"/>
  <c r="N41" i="5"/>
  <c r="J41" i="5"/>
  <c r="O41" i="5" s="1"/>
  <c r="G41" i="5"/>
  <c r="E41" i="5"/>
  <c r="H41" i="5" s="1"/>
  <c r="AC40" i="5"/>
  <c r="AA40" i="5"/>
  <c r="Y40" i="5"/>
  <c r="T40" i="5"/>
  <c r="T43" i="5" s="1"/>
  <c r="W43" i="5" s="1"/>
  <c r="O40" i="5"/>
  <c r="N40" i="5"/>
  <c r="M40" i="5"/>
  <c r="J40" i="5"/>
  <c r="J43" i="5" s="1"/>
  <c r="O43" i="5" s="1"/>
  <c r="G40" i="5"/>
  <c r="E40" i="5"/>
  <c r="H40" i="5" s="1"/>
  <c r="X38" i="5"/>
  <c r="X54" i="5" s="1"/>
  <c r="S38" i="5"/>
  <c r="I38" i="5"/>
  <c r="I54" i="5" s="1"/>
  <c r="D38" i="5"/>
  <c r="AE37" i="5"/>
  <c r="Y37" i="5"/>
  <c r="AB37" i="5" s="1"/>
  <c r="T37" i="5"/>
  <c r="P37" i="5"/>
  <c r="N37" i="5"/>
  <c r="AC37" i="5" s="1"/>
  <c r="J37" i="5"/>
  <c r="H37" i="5"/>
  <c r="E37" i="5"/>
  <c r="G37" i="5" s="1"/>
  <c r="I36" i="5"/>
  <c r="AE35" i="5"/>
  <c r="AF35" i="5" s="1"/>
  <c r="AD35" i="5"/>
  <c r="AG35" i="5" s="1"/>
  <c r="AC35" i="5"/>
  <c r="AB35" i="5"/>
  <c r="W35" i="5"/>
  <c r="P35" i="5"/>
  <c r="O35" i="5"/>
  <c r="R35" i="5" s="1"/>
  <c r="N35" i="5"/>
  <c r="M35" i="5"/>
  <c r="J35" i="5"/>
  <c r="L35" i="5" s="1"/>
  <c r="Q35" i="5" s="1"/>
  <c r="H35" i="5"/>
  <c r="G35" i="5"/>
  <c r="AE34" i="5"/>
  <c r="AB34" i="5"/>
  <c r="W34" i="5"/>
  <c r="P34" i="5"/>
  <c r="O34" i="5"/>
  <c r="R34" i="5" s="1"/>
  <c r="N34" i="5"/>
  <c r="AC34" i="5" s="1"/>
  <c r="L34" i="5"/>
  <c r="J34" i="5"/>
  <c r="M34" i="5" s="1"/>
  <c r="H34" i="5"/>
  <c r="G34" i="5"/>
  <c r="Q34" i="5" s="1"/>
  <c r="Y33" i="5"/>
  <c r="U33" i="5"/>
  <c r="T33" i="5"/>
  <c r="W33" i="5" s="1"/>
  <c r="N33" i="5"/>
  <c r="AC33" i="5" s="1"/>
  <c r="L33" i="5"/>
  <c r="K33" i="5"/>
  <c r="K38" i="5" s="1"/>
  <c r="J33" i="5"/>
  <c r="F33" i="5"/>
  <c r="F38" i="5" s="1"/>
  <c r="E33" i="5"/>
  <c r="H33" i="5" s="1"/>
  <c r="Y32" i="5"/>
  <c r="Y38" i="5" s="1"/>
  <c r="T32" i="5"/>
  <c r="P32" i="5"/>
  <c r="N32" i="5"/>
  <c r="J32" i="5"/>
  <c r="M32" i="5" s="1"/>
  <c r="H32" i="5"/>
  <c r="E32" i="5"/>
  <c r="G32" i="5" s="1"/>
  <c r="AC30" i="5"/>
  <c r="AB30" i="5"/>
  <c r="Y30" i="5"/>
  <c r="AA30" i="5" s="1"/>
  <c r="T30" i="5"/>
  <c r="P30" i="5"/>
  <c r="AE30" i="5" s="1"/>
  <c r="N30" i="5"/>
  <c r="J30" i="5"/>
  <c r="G30" i="5"/>
  <c r="E30" i="5"/>
  <c r="H30" i="5" s="1"/>
  <c r="Z24" i="5"/>
  <c r="X24" i="5"/>
  <c r="X58" i="5" s="1"/>
  <c r="U24" i="5"/>
  <c r="S24" i="5"/>
  <c r="S58" i="5" s="1"/>
  <c r="I24" i="5"/>
  <c r="N24" i="5" s="1"/>
  <c r="D24" i="5"/>
  <c r="D58" i="5" s="1"/>
  <c r="AD23" i="5"/>
  <c r="AG23" i="5" s="1"/>
  <c r="Y23" i="5"/>
  <c r="AB23" i="5" s="1"/>
  <c r="W23" i="5"/>
  <c r="T23" i="5"/>
  <c r="V23" i="5" s="1"/>
  <c r="R23" i="5"/>
  <c r="N23" i="5"/>
  <c r="AC23" i="5" s="1"/>
  <c r="M23" i="5"/>
  <c r="L23" i="5"/>
  <c r="K23" i="5"/>
  <c r="J23" i="5"/>
  <c r="O23" i="5" s="1"/>
  <c r="E23" i="5"/>
  <c r="Y22" i="5"/>
  <c r="W22" i="5"/>
  <c r="V22" i="5"/>
  <c r="T22" i="5"/>
  <c r="N22" i="5"/>
  <c r="AC22" i="5" s="1"/>
  <c r="K22" i="5"/>
  <c r="L22" i="5" s="1"/>
  <c r="J22" i="5"/>
  <c r="O22" i="5" s="1"/>
  <c r="E22" i="5"/>
  <c r="Y21" i="5"/>
  <c r="W21" i="5"/>
  <c r="V21" i="5"/>
  <c r="T21" i="5"/>
  <c r="N21" i="5"/>
  <c r="AC21" i="5" s="1"/>
  <c r="J21" i="5"/>
  <c r="O21" i="5" s="1"/>
  <c r="E21" i="5"/>
  <c r="Y20" i="5"/>
  <c r="W20" i="5"/>
  <c r="V20" i="5"/>
  <c r="T20" i="5"/>
  <c r="N20" i="5"/>
  <c r="AC20" i="5" s="1"/>
  <c r="J20" i="5"/>
  <c r="O20" i="5" s="1"/>
  <c r="E20" i="5"/>
  <c r="Y19" i="5"/>
  <c r="AA19" i="5" s="1"/>
  <c r="W19" i="5"/>
  <c r="V19" i="5"/>
  <c r="T19" i="5"/>
  <c r="N19" i="5"/>
  <c r="AC19" i="5" s="1"/>
  <c r="M19" i="5"/>
  <c r="L19" i="5"/>
  <c r="K19" i="5"/>
  <c r="J19" i="5"/>
  <c r="O19" i="5" s="1"/>
  <c r="R19" i="5" s="1"/>
  <c r="E19" i="5"/>
  <c r="AB18" i="5"/>
  <c r="Y18" i="5"/>
  <c r="AA18" i="5" s="1"/>
  <c r="T18" i="5"/>
  <c r="W18" i="5" s="1"/>
  <c r="N18" i="5"/>
  <c r="AC18" i="5" s="1"/>
  <c r="J18" i="5"/>
  <c r="E18" i="5"/>
  <c r="Y17" i="5"/>
  <c r="AA17" i="5" s="1"/>
  <c r="T17" i="5"/>
  <c r="T24" i="5" s="1"/>
  <c r="N17" i="5"/>
  <c r="AC17" i="5" s="1"/>
  <c r="K17" i="5"/>
  <c r="L17" i="5" s="1"/>
  <c r="J17" i="5"/>
  <c r="J24" i="5" s="1"/>
  <c r="E17" i="5"/>
  <c r="Z15" i="5"/>
  <c r="Y15" i="5"/>
  <c r="X15" i="5"/>
  <c r="X57" i="5" s="1"/>
  <c r="U15" i="5"/>
  <c r="S15" i="5"/>
  <c r="S57" i="5" s="1"/>
  <c r="I15" i="5"/>
  <c r="I57" i="5" s="1"/>
  <c r="D15" i="5"/>
  <c r="D57" i="5" s="1"/>
  <c r="AC14" i="5"/>
  <c r="AB14" i="5"/>
  <c r="Y14" i="5"/>
  <c r="AA14" i="5" s="1"/>
  <c r="W14" i="5"/>
  <c r="T14" i="5"/>
  <c r="V14" i="5" s="1"/>
  <c r="O14" i="5"/>
  <c r="N14" i="5"/>
  <c r="J14" i="5"/>
  <c r="F14" i="5"/>
  <c r="G14" i="5" s="1"/>
  <c r="E14" i="5"/>
  <c r="H14" i="5" s="1"/>
  <c r="AB13" i="5"/>
  <c r="AA13" i="5"/>
  <c r="Y13" i="5"/>
  <c r="W13" i="5"/>
  <c r="T13" i="5"/>
  <c r="V13" i="5" s="1"/>
  <c r="O13" i="5"/>
  <c r="N13" i="5"/>
  <c r="AC13" i="5" s="1"/>
  <c r="J13" i="5"/>
  <c r="F13" i="5"/>
  <c r="G13" i="5" s="1"/>
  <c r="E13" i="5"/>
  <c r="H13" i="5" s="1"/>
  <c r="AB12" i="5"/>
  <c r="AA12" i="5"/>
  <c r="Y12" i="5"/>
  <c r="W12" i="5"/>
  <c r="T12" i="5"/>
  <c r="V12" i="5" s="1"/>
  <c r="O12" i="5"/>
  <c r="AD12" i="5" s="1"/>
  <c r="AG12" i="5" s="1"/>
  <c r="N12" i="5"/>
  <c r="AC12" i="5" s="1"/>
  <c r="J12" i="5"/>
  <c r="M12" i="5" s="1"/>
  <c r="F12" i="5"/>
  <c r="G12" i="5" s="1"/>
  <c r="E12" i="5"/>
  <c r="E15" i="5" s="1"/>
  <c r="E57" i="5" s="1"/>
  <c r="Z10" i="5"/>
  <c r="X10" i="5"/>
  <c r="U10" i="5"/>
  <c r="U25" i="5" s="1"/>
  <c r="T10" i="5"/>
  <c r="S10" i="5"/>
  <c r="S56" i="5" s="1"/>
  <c r="S59" i="5" s="1"/>
  <c r="S67" i="5" s="1"/>
  <c r="S70" i="5" s="1"/>
  <c r="K10" i="5"/>
  <c r="L10" i="5" s="1"/>
  <c r="J10" i="5"/>
  <c r="I10" i="5"/>
  <c r="D10" i="5"/>
  <c r="D56" i="5" s="1"/>
  <c r="D59" i="5" s="1"/>
  <c r="Y9" i="5"/>
  <c r="AB9" i="5" s="1"/>
  <c r="W9" i="5"/>
  <c r="V9" i="5"/>
  <c r="T9" i="5"/>
  <c r="N9" i="5"/>
  <c r="AC9" i="5" s="1"/>
  <c r="M9" i="5"/>
  <c r="L9" i="5"/>
  <c r="K9" i="5"/>
  <c r="J9" i="5"/>
  <c r="E9" i="5"/>
  <c r="Y8" i="5"/>
  <c r="AB8" i="5" s="1"/>
  <c r="W8" i="5"/>
  <c r="V8" i="5"/>
  <c r="T8" i="5"/>
  <c r="N8" i="5"/>
  <c r="AC8" i="5" s="1"/>
  <c r="M8" i="5"/>
  <c r="L8" i="5"/>
  <c r="K8" i="5"/>
  <c r="J8" i="5"/>
  <c r="E8" i="5"/>
  <c r="Y7" i="5"/>
  <c r="Y10" i="5" s="1"/>
  <c r="W7" i="5"/>
  <c r="V7" i="5"/>
  <c r="T7" i="5"/>
  <c r="P7" i="5"/>
  <c r="AE7" i="5" s="1"/>
  <c r="N7" i="5"/>
  <c r="AC7" i="5" s="1"/>
  <c r="M7" i="5"/>
  <c r="L7" i="5"/>
  <c r="Q7" i="5" s="1"/>
  <c r="K7" i="5"/>
  <c r="J7" i="5"/>
  <c r="F7" i="5"/>
  <c r="E7" i="5"/>
  <c r="G7" i="5" s="1"/>
  <c r="Y5" i="5"/>
  <c r="AB5" i="5" s="1"/>
  <c r="W5" i="5"/>
  <c r="V5" i="5"/>
  <c r="T5" i="5"/>
  <c r="P5" i="5"/>
  <c r="N5" i="5"/>
  <c r="M5" i="5"/>
  <c r="L5" i="5"/>
  <c r="J5" i="5"/>
  <c r="O5" i="5" s="1"/>
  <c r="E5" i="5"/>
  <c r="AJ19" i="12" l="1"/>
  <c r="AD24" i="12"/>
  <c r="AJ30" i="12"/>
  <c r="AJ38" i="12"/>
  <c r="AB45" i="12"/>
  <c r="AJ24" i="12"/>
  <c r="AJ27" i="12"/>
  <c r="AJ18" i="12"/>
  <c r="AF23" i="12"/>
  <c r="AJ33" i="12"/>
  <c r="AJ29" i="12"/>
  <c r="AD36" i="12"/>
  <c r="AJ66" i="12"/>
  <c r="AB17" i="12"/>
  <c r="AJ26" i="12"/>
  <c r="AD53" i="12"/>
  <c r="AJ59" i="12"/>
  <c r="AJ83" i="12"/>
  <c r="AJ95" i="12"/>
  <c r="AD16" i="12"/>
  <c r="AF35" i="12"/>
  <c r="AJ43" i="12"/>
  <c r="AJ16" i="12"/>
  <c r="AF20" i="12"/>
  <c r="AJ21" i="12"/>
  <c r="AF15" i="12"/>
  <c r="AJ20" i="12"/>
  <c r="AB25" i="12"/>
  <c r="AF39" i="12"/>
  <c r="AF46" i="12"/>
  <c r="P24" i="12"/>
  <c r="N25" i="12"/>
  <c r="P31" i="12"/>
  <c r="P16" i="12"/>
  <c r="N17" i="12"/>
  <c r="AH26" i="11"/>
  <c r="AH15" i="11"/>
  <c r="AH27" i="11"/>
  <c r="AH55" i="11"/>
  <c r="AH18" i="11"/>
  <c r="AH76" i="11"/>
  <c r="AH21" i="11"/>
  <c r="AF22" i="11"/>
  <c r="AF13" i="11"/>
  <c r="AH35" i="11"/>
  <c r="AH50" i="11"/>
  <c r="AH13" i="11"/>
  <c r="AH24" i="11"/>
  <c r="AH32" i="11"/>
  <c r="AH33" i="11"/>
  <c r="AH19" i="11"/>
  <c r="AH43" i="11"/>
  <c r="Z16" i="11"/>
  <c r="Z20" i="11"/>
  <c r="Z30" i="11"/>
  <c r="V14" i="11"/>
  <c r="V24" i="11"/>
  <c r="Z24" i="11"/>
  <c r="V84" i="11"/>
  <c r="Z40" i="11"/>
  <c r="V32" i="11"/>
  <c r="V19" i="11"/>
  <c r="V34" i="11"/>
  <c r="V46" i="11"/>
  <c r="Z52" i="11"/>
  <c r="Z60" i="11"/>
  <c r="V17" i="11"/>
  <c r="Z59" i="11"/>
  <c r="H19" i="11"/>
  <c r="L19" i="11" s="1"/>
  <c r="H106" i="12"/>
  <c r="L106" i="12" s="1"/>
  <c r="H113" i="12"/>
  <c r="L113" i="12" s="1"/>
  <c r="H105" i="12"/>
  <c r="L105" i="12" s="1"/>
  <c r="H97" i="12"/>
  <c r="L97" i="12" s="1"/>
  <c r="H89" i="12"/>
  <c r="L89" i="12" s="1"/>
  <c r="H111" i="12"/>
  <c r="L111" i="12" s="1"/>
  <c r="H103" i="12"/>
  <c r="L103" i="12" s="1"/>
  <c r="H95" i="12"/>
  <c r="L95" i="12" s="1"/>
  <c r="H87" i="12"/>
  <c r="L87" i="12" s="1"/>
  <c r="H110" i="12"/>
  <c r="L110" i="12" s="1"/>
  <c r="H109" i="12"/>
  <c r="L109" i="12" s="1"/>
  <c r="H101" i="12"/>
  <c r="L101" i="12" s="1"/>
  <c r="H93" i="12"/>
  <c r="L93" i="12" s="1"/>
  <c r="H85" i="12"/>
  <c r="L85" i="12" s="1"/>
  <c r="H108" i="12"/>
  <c r="L108" i="12" s="1"/>
  <c r="H100" i="12"/>
  <c r="L100" i="12" s="1"/>
  <c r="H92" i="12"/>
  <c r="L92" i="12" s="1"/>
  <c r="H98" i="12"/>
  <c r="L98" i="12" s="1"/>
  <c r="H76" i="12"/>
  <c r="L76" i="12" s="1"/>
  <c r="H68" i="12"/>
  <c r="L68" i="12" s="1"/>
  <c r="H75" i="12"/>
  <c r="L75" i="12" s="1"/>
  <c r="H67" i="12"/>
  <c r="L67" i="12" s="1"/>
  <c r="H112" i="12"/>
  <c r="L112" i="12" s="1"/>
  <c r="H86" i="12"/>
  <c r="L86" i="12" s="1"/>
  <c r="H82" i="12"/>
  <c r="L82" i="12" s="1"/>
  <c r="H74" i="12"/>
  <c r="L74" i="12" s="1"/>
  <c r="H107" i="12"/>
  <c r="L107" i="12" s="1"/>
  <c r="H94" i="12"/>
  <c r="L94" i="12" s="1"/>
  <c r="H80" i="12"/>
  <c r="L80" i="12" s="1"/>
  <c r="H72" i="12"/>
  <c r="L72" i="12" s="1"/>
  <c r="H104" i="12"/>
  <c r="L104" i="12" s="1"/>
  <c r="H64" i="12"/>
  <c r="L64" i="12" s="1"/>
  <c r="H56" i="12"/>
  <c r="L56" i="12" s="1"/>
  <c r="H102" i="12"/>
  <c r="L102" i="12" s="1"/>
  <c r="H84" i="12"/>
  <c r="L84" i="12" s="1"/>
  <c r="H77" i="12"/>
  <c r="L77" i="12" s="1"/>
  <c r="H69" i="12"/>
  <c r="L69" i="12" s="1"/>
  <c r="H63" i="12"/>
  <c r="L63" i="12" s="1"/>
  <c r="H55" i="12"/>
  <c r="L55" i="12" s="1"/>
  <c r="H47" i="12"/>
  <c r="L47" i="12" s="1"/>
  <c r="H99" i="12"/>
  <c r="L99" i="12" s="1"/>
  <c r="H61" i="12"/>
  <c r="L61" i="12" s="1"/>
  <c r="H53" i="12"/>
  <c r="L53" i="12" s="1"/>
  <c r="H91" i="12"/>
  <c r="L91" i="12" s="1"/>
  <c r="H78" i="12"/>
  <c r="L78" i="12" s="1"/>
  <c r="H70" i="12"/>
  <c r="L70" i="12" s="1"/>
  <c r="H66" i="12"/>
  <c r="L66" i="12" s="1"/>
  <c r="H60" i="12"/>
  <c r="L60" i="12" s="1"/>
  <c r="H52" i="12"/>
  <c r="L52" i="12" s="1"/>
  <c r="H83" i="12"/>
  <c r="L83" i="12" s="1"/>
  <c r="H59" i="12"/>
  <c r="L59" i="12" s="1"/>
  <c r="H51" i="12"/>
  <c r="L51" i="12" s="1"/>
  <c r="H57" i="12"/>
  <c r="L57" i="12" s="1"/>
  <c r="H71" i="12"/>
  <c r="L71" i="12" s="1"/>
  <c r="H41" i="12"/>
  <c r="L41" i="12" s="1"/>
  <c r="H33" i="12"/>
  <c r="L33" i="12" s="1"/>
  <c r="H65" i="12"/>
  <c r="L65" i="12" s="1"/>
  <c r="H81" i="12"/>
  <c r="L81" i="12" s="1"/>
  <c r="H58" i="12"/>
  <c r="L58" i="12" s="1"/>
  <c r="H48" i="12"/>
  <c r="L48" i="12" s="1"/>
  <c r="H39" i="12"/>
  <c r="L39" i="12" s="1"/>
  <c r="H31" i="12"/>
  <c r="L31" i="12" s="1"/>
  <c r="H96" i="12"/>
  <c r="L96" i="12" s="1"/>
  <c r="H73" i="12"/>
  <c r="L73" i="12" s="1"/>
  <c r="H54" i="12"/>
  <c r="L54" i="12" s="1"/>
  <c r="H46" i="12"/>
  <c r="L46" i="12" s="1"/>
  <c r="H43" i="12"/>
  <c r="L43" i="12" s="1"/>
  <c r="H38" i="12"/>
  <c r="L38" i="12" s="1"/>
  <c r="H49" i="12"/>
  <c r="L49" i="12" s="1"/>
  <c r="H34" i="12"/>
  <c r="L34" i="12" s="1"/>
  <c r="H27" i="12"/>
  <c r="L27" i="12" s="1"/>
  <c r="H19" i="12"/>
  <c r="L19" i="12" s="1"/>
  <c r="H35" i="12"/>
  <c r="L35" i="12" s="1"/>
  <c r="H30" i="12"/>
  <c r="L30" i="12" s="1"/>
  <c r="H26" i="12"/>
  <c r="L26" i="12" s="1"/>
  <c r="H18" i="12"/>
  <c r="L18" i="12" s="1"/>
  <c r="H28" i="12"/>
  <c r="L28" i="12" s="1"/>
  <c r="H90" i="12"/>
  <c r="L90" i="12" s="1"/>
  <c r="H25" i="12"/>
  <c r="L25" i="12" s="1"/>
  <c r="H17" i="12"/>
  <c r="L17" i="12" s="1"/>
  <c r="H44" i="12"/>
  <c r="L44" i="12" s="1"/>
  <c r="H29" i="12"/>
  <c r="L29" i="12" s="1"/>
  <c r="H24" i="12"/>
  <c r="L24" i="12" s="1"/>
  <c r="H16" i="12"/>
  <c r="L16" i="12" s="1"/>
  <c r="L13" i="12"/>
  <c r="H45" i="12"/>
  <c r="L45" i="12" s="1"/>
  <c r="H42" i="12"/>
  <c r="L42" i="12" s="1"/>
  <c r="H23" i="12"/>
  <c r="L23" i="12" s="1"/>
  <c r="H15" i="12"/>
  <c r="L15" i="12" s="1"/>
  <c r="H50" i="12"/>
  <c r="L50" i="12" s="1"/>
  <c r="H40" i="12"/>
  <c r="L40" i="12" s="1"/>
  <c r="H22" i="12"/>
  <c r="L22" i="12" s="1"/>
  <c r="H14" i="12"/>
  <c r="H88" i="12"/>
  <c r="L88" i="12" s="1"/>
  <c r="H79" i="12"/>
  <c r="L79" i="12" s="1"/>
  <c r="H62" i="12"/>
  <c r="L62" i="12" s="1"/>
  <c r="H37" i="12"/>
  <c r="L37" i="12" s="1"/>
  <c r="H36" i="12"/>
  <c r="L36" i="12" s="1"/>
  <c r="H32" i="12"/>
  <c r="L32" i="12" s="1"/>
  <c r="H21" i="12"/>
  <c r="L21" i="12" s="1"/>
  <c r="H20" i="12"/>
  <c r="L20" i="12" s="1"/>
  <c r="AL106" i="12"/>
  <c r="AL113" i="12"/>
  <c r="AL105" i="12"/>
  <c r="AL97" i="12"/>
  <c r="AL89" i="12"/>
  <c r="AL111" i="12"/>
  <c r="AL103" i="12"/>
  <c r="AL95" i="12"/>
  <c r="AL87" i="12"/>
  <c r="AL110" i="12"/>
  <c r="AL109" i="12"/>
  <c r="AL101" i="12"/>
  <c r="AL93" i="12"/>
  <c r="AL85" i="12"/>
  <c r="AL108" i="12"/>
  <c r="AL100" i="12"/>
  <c r="AL92" i="12"/>
  <c r="AL98" i="12"/>
  <c r="AL76" i="12"/>
  <c r="AL68" i="12"/>
  <c r="AL99" i="12"/>
  <c r="AL91" i="12"/>
  <c r="AL90" i="12"/>
  <c r="AL75" i="12"/>
  <c r="AL67" i="12"/>
  <c r="AL94" i="12"/>
  <c r="AL84" i="12"/>
  <c r="AL74" i="12"/>
  <c r="AL66" i="12"/>
  <c r="AL112" i="12"/>
  <c r="AL80" i="12"/>
  <c r="AL72" i="12"/>
  <c r="AL56" i="12"/>
  <c r="AL82" i="12"/>
  <c r="AL77" i="12"/>
  <c r="AL69" i="12"/>
  <c r="AL63" i="12"/>
  <c r="AL55" i="12"/>
  <c r="AL47" i="12"/>
  <c r="AL107" i="12"/>
  <c r="AL96" i="12"/>
  <c r="AL61" i="12"/>
  <c r="AL53" i="12"/>
  <c r="AL104" i="12"/>
  <c r="AL102" i="12"/>
  <c r="AL79" i="12"/>
  <c r="AL78" i="12"/>
  <c r="AL71" i="12"/>
  <c r="AL70" i="12"/>
  <c r="AL65" i="12"/>
  <c r="AL60" i="12"/>
  <c r="AL52" i="12"/>
  <c r="AL86" i="12"/>
  <c r="AL81" i="12"/>
  <c r="AL73" i="12"/>
  <c r="AL59" i="12"/>
  <c r="AL51" i="12"/>
  <c r="AL83" i="12"/>
  <c r="AL88" i="12"/>
  <c r="AL33" i="12"/>
  <c r="AL58" i="12"/>
  <c r="AL45" i="12"/>
  <c r="AL39" i="12"/>
  <c r="AL31" i="12"/>
  <c r="AL54" i="12"/>
  <c r="AL49" i="12"/>
  <c r="AL42" i="12"/>
  <c r="AL38" i="12"/>
  <c r="AL32" i="12"/>
  <c r="AL27" i="12"/>
  <c r="AL19" i="12"/>
  <c r="AL57" i="12"/>
  <c r="AL43" i="12"/>
  <c r="AL30" i="12"/>
  <c r="AL26" i="12"/>
  <c r="AL18" i="12"/>
  <c r="AL29" i="12"/>
  <c r="AL62" i="12"/>
  <c r="AL50" i="12"/>
  <c r="AL44" i="12"/>
  <c r="AL37" i="12"/>
  <c r="AL28" i="12"/>
  <c r="AL25" i="12"/>
  <c r="AL17" i="12"/>
  <c r="AL64" i="12"/>
  <c r="AL41" i="12"/>
  <c r="AL40" i="12"/>
  <c r="AL24" i="12"/>
  <c r="AL16" i="12"/>
  <c r="AL48" i="12"/>
  <c r="AL36" i="12"/>
  <c r="AL23" i="12"/>
  <c r="AL15" i="12"/>
  <c r="AL46" i="12"/>
  <c r="AL35" i="12"/>
  <c r="AL22" i="12"/>
  <c r="AL14" i="12"/>
  <c r="AL20" i="12"/>
  <c r="AL34" i="12"/>
  <c r="AL21" i="12"/>
  <c r="T108" i="12"/>
  <c r="T100" i="12"/>
  <c r="T107" i="12"/>
  <c r="T99" i="12"/>
  <c r="T91" i="12"/>
  <c r="T83" i="12"/>
  <c r="T113" i="12"/>
  <c r="T105" i="12"/>
  <c r="T97" i="12"/>
  <c r="T89" i="12"/>
  <c r="T112" i="12"/>
  <c r="T104" i="12"/>
  <c r="T111" i="12"/>
  <c r="T103" i="12"/>
  <c r="T95" i="12"/>
  <c r="T87" i="12"/>
  <c r="T110" i="12"/>
  <c r="T102" i="12"/>
  <c r="T94" i="12"/>
  <c r="T85" i="12"/>
  <c r="T78" i="12"/>
  <c r="T70" i="12"/>
  <c r="T77" i="12"/>
  <c r="T69" i="12"/>
  <c r="T88" i="12"/>
  <c r="T84" i="12"/>
  <c r="T76" i="12"/>
  <c r="T68" i="12"/>
  <c r="T101" i="12"/>
  <c r="T74" i="12"/>
  <c r="T92" i="12"/>
  <c r="T86" i="12"/>
  <c r="T58" i="12"/>
  <c r="T50" i="12"/>
  <c r="T98" i="12"/>
  <c r="T57" i="12"/>
  <c r="T49" i="12"/>
  <c r="T81" i="12"/>
  <c r="T80" i="12"/>
  <c r="T79" i="12"/>
  <c r="T75" i="12"/>
  <c r="T73" i="12"/>
  <c r="T72" i="12"/>
  <c r="T71" i="12"/>
  <c r="T67" i="12"/>
  <c r="T64" i="12"/>
  <c r="T63" i="12"/>
  <c r="T55" i="12"/>
  <c r="T106" i="12"/>
  <c r="T82" i="12"/>
  <c r="T62" i="12"/>
  <c r="T54" i="12"/>
  <c r="T46" i="12"/>
  <c r="T109" i="12"/>
  <c r="T90" i="12"/>
  <c r="T65" i="12"/>
  <c r="T61" i="12"/>
  <c r="T53" i="12"/>
  <c r="T52" i="12"/>
  <c r="T35" i="12"/>
  <c r="T96" i="12"/>
  <c r="T66" i="12"/>
  <c r="T41" i="12"/>
  <c r="T33" i="12"/>
  <c r="T59" i="12"/>
  <c r="T40" i="12"/>
  <c r="T48" i="12"/>
  <c r="T44" i="12"/>
  <c r="T43" i="12"/>
  <c r="T32" i="12"/>
  <c r="T21" i="12"/>
  <c r="T45" i="12"/>
  <c r="T20" i="12"/>
  <c r="T93" i="12"/>
  <c r="T37" i="12"/>
  <c r="T30" i="12"/>
  <c r="T28" i="12"/>
  <c r="T27" i="12"/>
  <c r="T19" i="12"/>
  <c r="T42" i="12"/>
  <c r="T56" i="12"/>
  <c r="T39" i="12"/>
  <c r="T36" i="12"/>
  <c r="T26" i="12"/>
  <c r="T18" i="12"/>
  <c r="T34" i="12"/>
  <c r="T25" i="12"/>
  <c r="T17" i="12"/>
  <c r="T29" i="12"/>
  <c r="T51" i="12"/>
  <c r="T31" i="12"/>
  <c r="T24" i="12"/>
  <c r="T16" i="12"/>
  <c r="T22" i="12"/>
  <c r="T60" i="12"/>
  <c r="T47" i="12"/>
  <c r="T38" i="12"/>
  <c r="T23" i="12"/>
  <c r="T15" i="12"/>
  <c r="AP111" i="12"/>
  <c r="AR111" i="12" s="1"/>
  <c r="AP103" i="12"/>
  <c r="AR103" i="12" s="1"/>
  <c r="AP110" i="12"/>
  <c r="AR110" i="12" s="1"/>
  <c r="AP102" i="12"/>
  <c r="AR102" i="12" s="1"/>
  <c r="AP94" i="12"/>
  <c r="AR94" i="12" s="1"/>
  <c r="AP86" i="12"/>
  <c r="AR86" i="12" s="1"/>
  <c r="AP108" i="12"/>
  <c r="AR108" i="12" s="1"/>
  <c r="AP100" i="12"/>
  <c r="AR100" i="12" s="1"/>
  <c r="AP92" i="12"/>
  <c r="AR92" i="12" s="1"/>
  <c r="AP84" i="12"/>
  <c r="AR84" i="12" s="1"/>
  <c r="AP107" i="12"/>
  <c r="AR107" i="12" s="1"/>
  <c r="AP106" i="12"/>
  <c r="AR106" i="12" s="1"/>
  <c r="AP98" i="12"/>
  <c r="AR98" i="12" s="1"/>
  <c r="AP90" i="12"/>
  <c r="AR90" i="12" s="1"/>
  <c r="AP82" i="12"/>
  <c r="AR82" i="12" s="1"/>
  <c r="AP113" i="12"/>
  <c r="AR113" i="12" s="1"/>
  <c r="AP105" i="12"/>
  <c r="AR105" i="12" s="1"/>
  <c r="AP97" i="12"/>
  <c r="AR97" i="12" s="1"/>
  <c r="AP109" i="12"/>
  <c r="AR109" i="12" s="1"/>
  <c r="AP89" i="12"/>
  <c r="AR89" i="12" s="1"/>
  <c r="AP88" i="12"/>
  <c r="AR88" i="12" s="1"/>
  <c r="AP85" i="12"/>
  <c r="AR85" i="12" s="1"/>
  <c r="AP81" i="12"/>
  <c r="AR81" i="12" s="1"/>
  <c r="AP73" i="12"/>
  <c r="AR73" i="12" s="1"/>
  <c r="AP93" i="12"/>
  <c r="AR93" i="12" s="1"/>
  <c r="AP80" i="12"/>
  <c r="AR80" i="12" s="1"/>
  <c r="AP72" i="12"/>
  <c r="AR72" i="12" s="1"/>
  <c r="AP64" i="12"/>
  <c r="AR64" i="12" s="1"/>
  <c r="AP112" i="12"/>
  <c r="AR112" i="12" s="1"/>
  <c r="AP96" i="12"/>
  <c r="AR96" i="12" s="1"/>
  <c r="AP79" i="12"/>
  <c r="AR79" i="12" s="1"/>
  <c r="AP71" i="12"/>
  <c r="AR71" i="12" s="1"/>
  <c r="AP87" i="12"/>
  <c r="AR87" i="12" s="1"/>
  <c r="AP77" i="12"/>
  <c r="AR77" i="12" s="1"/>
  <c r="AP69" i="12"/>
  <c r="AR69" i="12" s="1"/>
  <c r="AP61" i="12"/>
  <c r="AR61" i="12" s="1"/>
  <c r="AP53" i="12"/>
  <c r="AR53" i="12" s="1"/>
  <c r="AP60" i="12"/>
  <c r="AR60" i="12" s="1"/>
  <c r="AP52" i="12"/>
  <c r="AR52" i="12" s="1"/>
  <c r="AP44" i="12"/>
  <c r="AR44" i="12" s="1"/>
  <c r="AP75" i="12"/>
  <c r="AR75" i="12" s="1"/>
  <c r="AP67" i="12"/>
  <c r="AR67" i="12" s="1"/>
  <c r="AP58" i="12"/>
  <c r="AR58" i="12" s="1"/>
  <c r="AP50" i="12"/>
  <c r="AR50" i="12" s="1"/>
  <c r="AP99" i="12"/>
  <c r="AR99" i="12" s="1"/>
  <c r="AP83" i="12"/>
  <c r="AR83" i="12" s="1"/>
  <c r="AP74" i="12"/>
  <c r="AR74" i="12" s="1"/>
  <c r="AP66" i="12"/>
  <c r="AR66" i="12" s="1"/>
  <c r="AP57" i="12"/>
  <c r="AR57" i="12" s="1"/>
  <c r="AP49" i="12"/>
  <c r="AR49" i="12" s="1"/>
  <c r="AP101" i="12"/>
  <c r="AR101" i="12" s="1"/>
  <c r="AP95" i="12"/>
  <c r="AR95" i="12" s="1"/>
  <c r="AP91" i="12"/>
  <c r="AR91" i="12" s="1"/>
  <c r="AP76" i="12"/>
  <c r="AR76" i="12" s="1"/>
  <c r="AP68" i="12"/>
  <c r="AR68" i="12" s="1"/>
  <c r="AP56" i="12"/>
  <c r="AR56" i="12" s="1"/>
  <c r="AP48" i="12"/>
  <c r="AR48" i="12" s="1"/>
  <c r="AP104" i="12"/>
  <c r="AR104" i="12" s="1"/>
  <c r="AP62" i="12"/>
  <c r="AR62" i="12" s="1"/>
  <c r="AP63" i="12"/>
  <c r="AR63" i="12" s="1"/>
  <c r="AP51" i="12"/>
  <c r="AR51" i="12" s="1"/>
  <c r="AP45" i="12"/>
  <c r="AR45" i="12" s="1"/>
  <c r="AP42" i="12"/>
  <c r="AR42" i="12" s="1"/>
  <c r="AP38" i="12"/>
  <c r="AR38" i="12" s="1"/>
  <c r="AP30" i="12"/>
  <c r="AR30" i="12" s="1"/>
  <c r="AP65" i="12"/>
  <c r="AR65" i="12" s="1"/>
  <c r="AP78" i="12"/>
  <c r="AR78" i="12" s="1"/>
  <c r="AP46" i="12"/>
  <c r="AR46" i="12" s="1"/>
  <c r="AP43" i="12"/>
  <c r="AR43" i="12" s="1"/>
  <c r="AP36" i="12"/>
  <c r="AR36" i="12" s="1"/>
  <c r="AP28" i="12"/>
  <c r="AR28" i="12" s="1"/>
  <c r="AP70" i="12"/>
  <c r="AR70" i="12" s="1"/>
  <c r="AP35" i="12"/>
  <c r="AR35" i="12" s="1"/>
  <c r="AP55" i="12"/>
  <c r="AR55" i="12" s="1"/>
  <c r="AP47" i="12"/>
  <c r="AR47" i="12" s="1"/>
  <c r="AP41" i="12"/>
  <c r="AR41" i="12" s="1"/>
  <c r="AP40" i="12"/>
  <c r="AR40" i="12" s="1"/>
  <c r="AP37" i="12"/>
  <c r="AR37" i="12" s="1"/>
  <c r="AP24" i="12"/>
  <c r="AR24" i="12" s="1"/>
  <c r="AP16" i="12"/>
  <c r="AR16" i="12" s="1"/>
  <c r="AR13" i="12"/>
  <c r="AP23" i="12"/>
  <c r="AR23" i="12" s="1"/>
  <c r="AP15" i="12"/>
  <c r="AR15" i="12" s="1"/>
  <c r="AP25" i="12"/>
  <c r="AR25" i="12" s="1"/>
  <c r="AP22" i="12"/>
  <c r="AR22" i="12" s="1"/>
  <c r="AP14" i="12"/>
  <c r="AP54" i="12"/>
  <c r="AR54" i="12" s="1"/>
  <c r="AP34" i="12"/>
  <c r="AR34" i="12" s="1"/>
  <c r="AP21" i="12"/>
  <c r="AR21" i="12" s="1"/>
  <c r="AP39" i="12"/>
  <c r="AR39" i="12" s="1"/>
  <c r="AP33" i="12"/>
  <c r="AR33" i="12" s="1"/>
  <c r="AP31" i="12"/>
  <c r="AR31" i="12" s="1"/>
  <c r="AP20" i="12"/>
  <c r="AR20" i="12" s="1"/>
  <c r="AP59" i="12"/>
  <c r="AR59" i="12" s="1"/>
  <c r="AP32" i="12"/>
  <c r="AR32" i="12" s="1"/>
  <c r="AP29" i="12"/>
  <c r="AR29" i="12" s="1"/>
  <c r="AP27" i="12"/>
  <c r="AR27" i="12" s="1"/>
  <c r="AP19" i="12"/>
  <c r="AR19" i="12" s="1"/>
  <c r="AP26" i="12"/>
  <c r="AR26" i="12" s="1"/>
  <c r="AP18" i="12"/>
  <c r="AR18" i="12" s="1"/>
  <c r="R109" i="12"/>
  <c r="R101" i="12"/>
  <c r="R108" i="12"/>
  <c r="R100" i="12"/>
  <c r="R92" i="12"/>
  <c r="R84" i="12"/>
  <c r="R106" i="12"/>
  <c r="R98" i="12"/>
  <c r="R90" i="12"/>
  <c r="R113" i="12"/>
  <c r="R105" i="12"/>
  <c r="R112" i="12"/>
  <c r="R104" i="12"/>
  <c r="R96" i="12"/>
  <c r="R88" i="12"/>
  <c r="R111" i="12"/>
  <c r="R103" i="12"/>
  <c r="R95" i="12"/>
  <c r="R102" i="12"/>
  <c r="R99" i="12"/>
  <c r="R94" i="12"/>
  <c r="R93" i="12"/>
  <c r="R91" i="12"/>
  <c r="R79" i="12"/>
  <c r="R71" i="12"/>
  <c r="R89" i="12"/>
  <c r="R85" i="12"/>
  <c r="R78" i="12"/>
  <c r="R70" i="12"/>
  <c r="R110" i="12"/>
  <c r="R107" i="12"/>
  <c r="R77" i="12"/>
  <c r="R69" i="12"/>
  <c r="R97" i="12"/>
  <c r="R87" i="12"/>
  <c r="R83" i="12"/>
  <c r="R75" i="12"/>
  <c r="R67" i="12"/>
  <c r="R59" i="12"/>
  <c r="R51" i="12"/>
  <c r="R86" i="12"/>
  <c r="R58" i="12"/>
  <c r="R50" i="12"/>
  <c r="R42" i="12"/>
  <c r="R56" i="12"/>
  <c r="R81" i="12"/>
  <c r="R80" i="12"/>
  <c r="R76" i="12"/>
  <c r="R74" i="12"/>
  <c r="R73" i="12"/>
  <c r="R72" i="12"/>
  <c r="R68" i="12"/>
  <c r="R64" i="12"/>
  <c r="R63" i="12"/>
  <c r="R55" i="12"/>
  <c r="R47" i="12"/>
  <c r="R82" i="12"/>
  <c r="R62" i="12"/>
  <c r="R54" i="12"/>
  <c r="R60" i="12"/>
  <c r="R44" i="12"/>
  <c r="R36" i="12"/>
  <c r="R28" i="12"/>
  <c r="R66" i="12"/>
  <c r="R45" i="12"/>
  <c r="R34" i="12"/>
  <c r="R57" i="12"/>
  <c r="R53" i="12"/>
  <c r="R41" i="12"/>
  <c r="R33" i="12"/>
  <c r="R29" i="12"/>
  <c r="R22" i="12"/>
  <c r="R14" i="12"/>
  <c r="R48" i="12"/>
  <c r="R43" i="12"/>
  <c r="R32" i="12"/>
  <c r="R21" i="12"/>
  <c r="R40" i="12"/>
  <c r="R20" i="12"/>
  <c r="R38" i="12"/>
  <c r="R52" i="12"/>
  <c r="R37" i="12"/>
  <c r="R30" i="12"/>
  <c r="R27" i="12"/>
  <c r="R19" i="12"/>
  <c r="R61" i="12"/>
  <c r="R46" i="12"/>
  <c r="R39" i="12"/>
  <c r="R35" i="12"/>
  <c r="R26" i="12"/>
  <c r="R18" i="12"/>
  <c r="R65" i="12"/>
  <c r="R25" i="12"/>
  <c r="R17" i="12"/>
  <c r="R49" i="12"/>
  <c r="R31" i="12"/>
  <c r="R24" i="12"/>
  <c r="R16" i="12"/>
  <c r="R23" i="12"/>
  <c r="AS16" i="12"/>
  <c r="AS114" i="12" s="1"/>
  <c r="AS19" i="12"/>
  <c r="AH108" i="12"/>
  <c r="AH100" i="12"/>
  <c r="AH107" i="12"/>
  <c r="AH99" i="12"/>
  <c r="AH91" i="12"/>
  <c r="AH83" i="12"/>
  <c r="AH113" i="12"/>
  <c r="AH105" i="12"/>
  <c r="AH97" i="12"/>
  <c r="AH89" i="12"/>
  <c r="AH112" i="12"/>
  <c r="AH104" i="12"/>
  <c r="AH111" i="12"/>
  <c r="AH103" i="12"/>
  <c r="AH95" i="12"/>
  <c r="AH87" i="12"/>
  <c r="AH110" i="12"/>
  <c r="AH102" i="12"/>
  <c r="AH94" i="12"/>
  <c r="AH78" i="12"/>
  <c r="AH70" i="12"/>
  <c r="AH106" i="12"/>
  <c r="AH101" i="12"/>
  <c r="AH98" i="12"/>
  <c r="AH77" i="12"/>
  <c r="AH69" i="12"/>
  <c r="AH109" i="12"/>
  <c r="AH92" i="12"/>
  <c r="AH90" i="12"/>
  <c r="AH76" i="12"/>
  <c r="AH68" i="12"/>
  <c r="AH88" i="12"/>
  <c r="AH84" i="12"/>
  <c r="AH74" i="12"/>
  <c r="AH66" i="12"/>
  <c r="AH58" i="12"/>
  <c r="AH50" i="12"/>
  <c r="AH85" i="12"/>
  <c r="AH57" i="12"/>
  <c r="AH49" i="12"/>
  <c r="AH41" i="12"/>
  <c r="AH93" i="12"/>
  <c r="AH63" i="12"/>
  <c r="AH55" i="12"/>
  <c r="AH96" i="12"/>
  <c r="AH64" i="12"/>
  <c r="AH62" i="12"/>
  <c r="AH54" i="12"/>
  <c r="AH46" i="12"/>
  <c r="AH61" i="12"/>
  <c r="AH53" i="12"/>
  <c r="AH82" i="12"/>
  <c r="AH81" i="12"/>
  <c r="AH67" i="12"/>
  <c r="AH80" i="12"/>
  <c r="AH60" i="12"/>
  <c r="AH48" i="12"/>
  <c r="AH44" i="12"/>
  <c r="AH35" i="12"/>
  <c r="AH72" i="12"/>
  <c r="AH79" i="12"/>
  <c r="AH33" i="12"/>
  <c r="AH71" i="12"/>
  <c r="AH65" i="12"/>
  <c r="AH56" i="12"/>
  <c r="AH51" i="12"/>
  <c r="AH47" i="12"/>
  <c r="AH45" i="12"/>
  <c r="AH40" i="12"/>
  <c r="AH59" i="12"/>
  <c r="AH38" i="12"/>
  <c r="AH21" i="12"/>
  <c r="AH32" i="12"/>
  <c r="AH29" i="12"/>
  <c r="AH20" i="12"/>
  <c r="AH34" i="12"/>
  <c r="AH27" i="12"/>
  <c r="AH19" i="12"/>
  <c r="AH86" i="12"/>
  <c r="AH75" i="12"/>
  <c r="AH22" i="12"/>
  <c r="AH43" i="12"/>
  <c r="AH42" i="12"/>
  <c r="AH30" i="12"/>
  <c r="AH26" i="12"/>
  <c r="AH18" i="12"/>
  <c r="AH31" i="12"/>
  <c r="AH73" i="12"/>
  <c r="AH37" i="12"/>
  <c r="AH28" i="12"/>
  <c r="AH25" i="12"/>
  <c r="AH17" i="12"/>
  <c r="AH24" i="12"/>
  <c r="AH16" i="12"/>
  <c r="AH52" i="12"/>
  <c r="AH39" i="12"/>
  <c r="AH36" i="12"/>
  <c r="AH23" i="12"/>
  <c r="AH15" i="12"/>
  <c r="V13" i="12"/>
  <c r="AJ107" i="12"/>
  <c r="AJ106" i="12"/>
  <c r="AJ98" i="12"/>
  <c r="AJ90" i="12"/>
  <c r="AJ82" i="12"/>
  <c r="AJ112" i="12"/>
  <c r="AJ104" i="12"/>
  <c r="AJ96" i="12"/>
  <c r="AJ88" i="12"/>
  <c r="AJ111" i="12"/>
  <c r="AJ110" i="12"/>
  <c r="AJ102" i="12"/>
  <c r="AJ94" i="12"/>
  <c r="AJ86" i="12"/>
  <c r="AJ109" i="12"/>
  <c r="AJ101" i="12"/>
  <c r="AJ93" i="12"/>
  <c r="AJ103" i="12"/>
  <c r="AJ77" i="12"/>
  <c r="AJ69" i="12"/>
  <c r="AJ113" i="12"/>
  <c r="AJ92" i="12"/>
  <c r="AJ76" i="12"/>
  <c r="AJ68" i="12"/>
  <c r="AJ105" i="12"/>
  <c r="AJ99" i="12"/>
  <c r="AJ91" i="12"/>
  <c r="AJ85" i="12"/>
  <c r="AJ75" i="12"/>
  <c r="AJ67" i="12"/>
  <c r="AJ108" i="12"/>
  <c r="AJ100" i="12"/>
  <c r="AJ81" i="12"/>
  <c r="AJ73" i="12"/>
  <c r="AJ57" i="12"/>
  <c r="AJ49" i="12"/>
  <c r="AJ97" i="12"/>
  <c r="AJ56" i="12"/>
  <c r="AJ48" i="12"/>
  <c r="AJ87" i="12"/>
  <c r="AJ84" i="12"/>
  <c r="AJ64" i="12"/>
  <c r="AJ62" i="12"/>
  <c r="AJ54" i="12"/>
  <c r="AJ61" i="12"/>
  <c r="AJ53" i="12"/>
  <c r="AJ45" i="12"/>
  <c r="AJ89" i="12"/>
  <c r="AJ79" i="12"/>
  <c r="AJ78" i="12"/>
  <c r="AJ71" i="12"/>
  <c r="AJ70" i="12"/>
  <c r="AJ65" i="12"/>
  <c r="AJ60" i="12"/>
  <c r="AJ52" i="12"/>
  <c r="AJ74" i="12"/>
  <c r="AJ72" i="12"/>
  <c r="AJ34" i="12"/>
  <c r="AJ51" i="12"/>
  <c r="AJ47" i="12"/>
  <c r="AJ41" i="12"/>
  <c r="AJ40" i="12"/>
  <c r="AJ32" i="12"/>
  <c r="AJ63" i="12"/>
  <c r="AJ58" i="12"/>
  <c r="AJ39" i="12"/>
  <c r="AJ14" i="12"/>
  <c r="AF16" i="12"/>
  <c r="P17" i="12"/>
  <c r="AD17" i="12"/>
  <c r="N18" i="12"/>
  <c r="AB18" i="12"/>
  <c r="AJ22" i="12"/>
  <c r="AF24" i="12"/>
  <c r="P25" i="12"/>
  <c r="AD25" i="12"/>
  <c r="N26" i="12"/>
  <c r="AB26" i="12"/>
  <c r="AJ31" i="12"/>
  <c r="N33" i="12"/>
  <c r="AS35" i="12"/>
  <c r="AJ35" i="12"/>
  <c r="AB37" i="12"/>
  <c r="N39" i="12"/>
  <c r="AB40" i="12"/>
  <c r="AD45" i="12"/>
  <c r="AJ46" i="12"/>
  <c r="AS50" i="12"/>
  <c r="AB54" i="12"/>
  <c r="N55" i="12"/>
  <c r="AS64" i="12"/>
  <c r="P65" i="12"/>
  <c r="AF74" i="12"/>
  <c r="AF81" i="12"/>
  <c r="AB85" i="12"/>
  <c r="X13" i="12"/>
  <c r="AJ15" i="12"/>
  <c r="AF17" i="12"/>
  <c r="P18" i="12"/>
  <c r="AD18" i="12"/>
  <c r="N19" i="12"/>
  <c r="AB19" i="12"/>
  <c r="AJ23" i="12"/>
  <c r="AF25" i="12"/>
  <c r="P26" i="12"/>
  <c r="AD26" i="12"/>
  <c r="N27" i="12"/>
  <c r="AB27" i="12"/>
  <c r="AD28" i="12"/>
  <c r="AD30" i="12"/>
  <c r="P33" i="12"/>
  <c r="N34" i="12"/>
  <c r="AJ36" i="12"/>
  <c r="AF37" i="12"/>
  <c r="P39" i="12"/>
  <c r="AD40" i="12"/>
  <c r="AB41" i="12"/>
  <c r="AB42" i="12"/>
  <c r="AF45" i="12"/>
  <c r="P46" i="12"/>
  <c r="AF48" i="12"/>
  <c r="P50" i="12"/>
  <c r="AD54" i="12"/>
  <c r="AF73" i="12"/>
  <c r="AJ80" i="12"/>
  <c r="Y114" i="12"/>
  <c r="AM114" i="12"/>
  <c r="AF18" i="12"/>
  <c r="P19" i="12"/>
  <c r="AD19" i="12"/>
  <c r="N20" i="12"/>
  <c r="AB20" i="12"/>
  <c r="AF26" i="12"/>
  <c r="P27" i="12"/>
  <c r="AD27" i="12"/>
  <c r="N28" i="12"/>
  <c r="P30" i="12"/>
  <c r="AF30" i="12"/>
  <c r="AB32" i="12"/>
  <c r="P36" i="12"/>
  <c r="N37" i="12"/>
  <c r="N40" i="12"/>
  <c r="AF40" i="12"/>
  <c r="AS41" i="12"/>
  <c r="AD41" i="12"/>
  <c r="AD42" i="12"/>
  <c r="AB43" i="12"/>
  <c r="AF44" i="12"/>
  <c r="AF60" i="12"/>
  <c r="P62" i="12"/>
  <c r="AD64" i="12"/>
  <c r="AD67" i="12"/>
  <c r="N78" i="12"/>
  <c r="AN13" i="12"/>
  <c r="AJ17" i="12"/>
  <c r="AF19" i="12"/>
  <c r="P20" i="12"/>
  <c r="AD20" i="12"/>
  <c r="N21" i="12"/>
  <c r="AB21" i="12"/>
  <c r="AJ25" i="12"/>
  <c r="AF27" i="12"/>
  <c r="P28" i="12"/>
  <c r="AJ28" i="12"/>
  <c r="AB29" i="12"/>
  <c r="AD32" i="12"/>
  <c r="AJ37" i="12"/>
  <c r="P40" i="12"/>
  <c r="AJ44" i="12"/>
  <c r="AB47" i="12"/>
  <c r="AF49" i="12"/>
  <c r="AJ50" i="12"/>
  <c r="AJ55" i="12"/>
  <c r="AS57" i="12"/>
  <c r="AB63" i="12"/>
  <c r="AF65" i="12"/>
  <c r="P77" i="12"/>
  <c r="N111" i="12"/>
  <c r="N103" i="12"/>
  <c r="N110" i="12"/>
  <c r="N102" i="12"/>
  <c r="N94" i="12"/>
  <c r="N86" i="12"/>
  <c r="N108" i="12"/>
  <c r="N100" i="12"/>
  <c r="N92" i="12"/>
  <c r="N84" i="12"/>
  <c r="N107" i="12"/>
  <c r="N106" i="12"/>
  <c r="N98" i="12"/>
  <c r="N90" i="12"/>
  <c r="N82" i="12"/>
  <c r="N113" i="12"/>
  <c r="N105" i="12"/>
  <c r="N97" i="12"/>
  <c r="N112" i="12"/>
  <c r="N81" i="12"/>
  <c r="N73" i="12"/>
  <c r="N104" i="12"/>
  <c r="N99" i="12"/>
  <c r="N93" i="12"/>
  <c r="N91" i="12"/>
  <c r="N80" i="12"/>
  <c r="N72" i="12"/>
  <c r="N64" i="12"/>
  <c r="N89" i="12"/>
  <c r="N85" i="12"/>
  <c r="N79" i="12"/>
  <c r="N71" i="12"/>
  <c r="N96" i="12"/>
  <c r="N88" i="12"/>
  <c r="N77" i="12"/>
  <c r="N69" i="12"/>
  <c r="N101" i="12"/>
  <c r="N87" i="12"/>
  <c r="N65" i="12"/>
  <c r="N61" i="12"/>
  <c r="N53" i="12"/>
  <c r="N66" i="12"/>
  <c r="N60" i="12"/>
  <c r="N52" i="12"/>
  <c r="N44" i="12"/>
  <c r="N95" i="12"/>
  <c r="N83" i="12"/>
  <c r="N58" i="12"/>
  <c r="N50" i="12"/>
  <c r="N57" i="12"/>
  <c r="N49" i="12"/>
  <c r="N76" i="12"/>
  <c r="N75" i="12"/>
  <c r="N68" i="12"/>
  <c r="N67" i="12"/>
  <c r="N56" i="12"/>
  <c r="N62" i="12"/>
  <c r="N74" i="12"/>
  <c r="N63" i="12"/>
  <c r="N51" i="12"/>
  <c r="N46" i="12"/>
  <c r="N43" i="12"/>
  <c r="N38" i="12"/>
  <c r="N30" i="12"/>
  <c r="N109" i="12"/>
  <c r="N36" i="12"/>
  <c r="N47" i="12"/>
  <c r="N35" i="12"/>
  <c r="AB111" i="12"/>
  <c r="AB103" i="12"/>
  <c r="AB110" i="12"/>
  <c r="AB102" i="12"/>
  <c r="AB94" i="12"/>
  <c r="AB86" i="12"/>
  <c r="AB108" i="12"/>
  <c r="AB100" i="12"/>
  <c r="AB92" i="12"/>
  <c r="AB84" i="12"/>
  <c r="AB107" i="12"/>
  <c r="AB106" i="12"/>
  <c r="AB98" i="12"/>
  <c r="AB90" i="12"/>
  <c r="AB82" i="12"/>
  <c r="AB113" i="12"/>
  <c r="AB105" i="12"/>
  <c r="AB97" i="12"/>
  <c r="AB83" i="12"/>
  <c r="AB81" i="12"/>
  <c r="AB73" i="12"/>
  <c r="AB87" i="12"/>
  <c r="AB80" i="12"/>
  <c r="AB72" i="12"/>
  <c r="AB64" i="12"/>
  <c r="AB101" i="12"/>
  <c r="AB79" i="12"/>
  <c r="AB71" i="12"/>
  <c r="AB99" i="12"/>
  <c r="AB91" i="12"/>
  <c r="AB77" i="12"/>
  <c r="AB69" i="12"/>
  <c r="AB75" i="12"/>
  <c r="AB67" i="12"/>
  <c r="AB61" i="12"/>
  <c r="AB53" i="12"/>
  <c r="AB95" i="12"/>
  <c r="AB88" i="12"/>
  <c r="AB76" i="12"/>
  <c r="AB74" i="12"/>
  <c r="AB68" i="12"/>
  <c r="AB65" i="12"/>
  <c r="AB60" i="12"/>
  <c r="AB52" i="12"/>
  <c r="AB44" i="12"/>
  <c r="AB109" i="12"/>
  <c r="AB58" i="12"/>
  <c r="AB50" i="12"/>
  <c r="AB112" i="12"/>
  <c r="AB93" i="12"/>
  <c r="AB57" i="12"/>
  <c r="AB49" i="12"/>
  <c r="AB104" i="12"/>
  <c r="AB96" i="12"/>
  <c r="AB56" i="12"/>
  <c r="AB48" i="12"/>
  <c r="AB70" i="12"/>
  <c r="AB59" i="12"/>
  <c r="AB55" i="12"/>
  <c r="AB38" i="12"/>
  <c r="AB30" i="12"/>
  <c r="AB89" i="12"/>
  <c r="AB62" i="12"/>
  <c r="AB36" i="12"/>
  <c r="AB28" i="12"/>
  <c r="AB35" i="12"/>
  <c r="N14" i="12"/>
  <c r="AB14" i="12"/>
  <c r="P21" i="12"/>
  <c r="AD21" i="12"/>
  <c r="N22" i="12"/>
  <c r="AB22" i="12"/>
  <c r="AF29" i="12"/>
  <c r="AB31" i="12"/>
  <c r="AF32" i="12"/>
  <c r="AD38" i="12"/>
  <c r="N41" i="12"/>
  <c r="N45" i="12"/>
  <c r="N48" i="12"/>
  <c r="AB51" i="12"/>
  <c r="N59" i="12"/>
  <c r="AF61" i="12"/>
  <c r="N70" i="12"/>
  <c r="AB78" i="12"/>
  <c r="P110" i="12"/>
  <c r="P102" i="12"/>
  <c r="P109" i="12"/>
  <c r="P101" i="12"/>
  <c r="P93" i="12"/>
  <c r="P85" i="12"/>
  <c r="P107" i="12"/>
  <c r="P99" i="12"/>
  <c r="P91" i="12"/>
  <c r="P83" i="12"/>
  <c r="P106" i="12"/>
  <c r="P113" i="12"/>
  <c r="P105" i="12"/>
  <c r="P97" i="12"/>
  <c r="P89" i="12"/>
  <c r="P112" i="12"/>
  <c r="P104" i="12"/>
  <c r="P96" i="12"/>
  <c r="P111" i="12"/>
  <c r="P108" i="12"/>
  <c r="P92" i="12"/>
  <c r="P90" i="12"/>
  <c r="P80" i="12"/>
  <c r="P72" i="12"/>
  <c r="P100" i="12"/>
  <c r="P94" i="12"/>
  <c r="P79" i="12"/>
  <c r="P71" i="12"/>
  <c r="P95" i="12"/>
  <c r="P78" i="12"/>
  <c r="P70" i="12"/>
  <c r="P103" i="12"/>
  <c r="P76" i="12"/>
  <c r="P68" i="12"/>
  <c r="P66" i="12"/>
  <c r="P60" i="12"/>
  <c r="P52" i="12"/>
  <c r="P59" i="12"/>
  <c r="P51" i="12"/>
  <c r="P43" i="12"/>
  <c r="P57" i="12"/>
  <c r="P49" i="12"/>
  <c r="P88" i="12"/>
  <c r="P75" i="12"/>
  <c r="P67" i="12"/>
  <c r="P56" i="12"/>
  <c r="P48" i="12"/>
  <c r="P81" i="12"/>
  <c r="P74" i="12"/>
  <c r="P73" i="12"/>
  <c r="P64" i="12"/>
  <c r="P63" i="12"/>
  <c r="P55" i="12"/>
  <c r="P84" i="12"/>
  <c r="P61" i="12"/>
  <c r="P58" i="12"/>
  <c r="P54" i="12"/>
  <c r="P37" i="12"/>
  <c r="P29" i="12"/>
  <c r="P86" i="12"/>
  <c r="P87" i="12"/>
  <c r="P47" i="12"/>
  <c r="P35" i="12"/>
  <c r="P45" i="12"/>
  <c r="P34" i="12"/>
  <c r="AD110" i="12"/>
  <c r="AD102" i="12"/>
  <c r="AD109" i="12"/>
  <c r="AD101" i="12"/>
  <c r="AD93" i="12"/>
  <c r="AD85" i="12"/>
  <c r="AD107" i="12"/>
  <c r="AD99" i="12"/>
  <c r="AD91" i="12"/>
  <c r="AD83" i="12"/>
  <c r="AD106" i="12"/>
  <c r="AD113" i="12"/>
  <c r="AD105" i="12"/>
  <c r="AD97" i="12"/>
  <c r="AD89" i="12"/>
  <c r="AD112" i="12"/>
  <c r="AD104" i="12"/>
  <c r="AD96" i="12"/>
  <c r="AD87" i="12"/>
  <c r="AD80" i="12"/>
  <c r="AD72" i="12"/>
  <c r="AD103" i="12"/>
  <c r="AD86" i="12"/>
  <c r="AD82" i="12"/>
  <c r="AD79" i="12"/>
  <c r="AD71" i="12"/>
  <c r="AD98" i="12"/>
  <c r="AD78" i="12"/>
  <c r="AD70" i="12"/>
  <c r="AD94" i="12"/>
  <c r="AD76" i="12"/>
  <c r="AD68" i="12"/>
  <c r="AD95" i="12"/>
  <c r="AD88" i="12"/>
  <c r="AD81" i="12"/>
  <c r="AD74" i="12"/>
  <c r="AD73" i="12"/>
  <c r="AD65" i="12"/>
  <c r="AD60" i="12"/>
  <c r="AD52" i="12"/>
  <c r="AD66" i="12"/>
  <c r="AD59" i="12"/>
  <c r="AD51" i="12"/>
  <c r="AD43" i="12"/>
  <c r="AD111" i="12"/>
  <c r="AD108" i="12"/>
  <c r="AD57" i="12"/>
  <c r="AD49" i="12"/>
  <c r="AD84" i="12"/>
  <c r="AD56" i="12"/>
  <c r="AD48" i="12"/>
  <c r="AD100" i="12"/>
  <c r="AD92" i="12"/>
  <c r="AD63" i="12"/>
  <c r="AD55" i="12"/>
  <c r="AD75" i="12"/>
  <c r="AD69" i="12"/>
  <c r="AD61" i="12"/>
  <c r="AD62" i="12"/>
  <c r="AD50" i="12"/>
  <c r="AD46" i="12"/>
  <c r="AD37" i="12"/>
  <c r="AD29" i="12"/>
  <c r="AD90" i="12"/>
  <c r="AD44" i="12"/>
  <c r="AD35" i="12"/>
  <c r="AD34" i="12"/>
  <c r="P14" i="12"/>
  <c r="AD14" i="12"/>
  <c r="AQ114" i="12"/>
  <c r="N15" i="12"/>
  <c r="AB15" i="12"/>
  <c r="AF21" i="12"/>
  <c r="P22" i="12"/>
  <c r="AD22" i="12"/>
  <c r="N23" i="12"/>
  <c r="AB23" i="12"/>
  <c r="N29" i="12"/>
  <c r="AD31" i="12"/>
  <c r="AB33" i="12"/>
  <c r="AB39" i="12"/>
  <c r="P41" i="12"/>
  <c r="N42" i="12"/>
  <c r="P44" i="12"/>
  <c r="P53" i="12"/>
  <c r="N54" i="12"/>
  <c r="AD77" i="12"/>
  <c r="P82" i="12"/>
  <c r="P98" i="12"/>
  <c r="AF109" i="12"/>
  <c r="AF101" i="12"/>
  <c r="AF108" i="12"/>
  <c r="AF100" i="12"/>
  <c r="AF92" i="12"/>
  <c r="AF84" i="12"/>
  <c r="AF106" i="12"/>
  <c r="AF98" i="12"/>
  <c r="AF90" i="12"/>
  <c r="AF113" i="12"/>
  <c r="AF105" i="12"/>
  <c r="AF112" i="12"/>
  <c r="AF104" i="12"/>
  <c r="AF96" i="12"/>
  <c r="AF88" i="12"/>
  <c r="AF111" i="12"/>
  <c r="AF103" i="12"/>
  <c r="AF95" i="12"/>
  <c r="AF97" i="12"/>
  <c r="AF86" i="12"/>
  <c r="AF82" i="12"/>
  <c r="AF79" i="12"/>
  <c r="AF71" i="12"/>
  <c r="AF78" i="12"/>
  <c r="AF70" i="12"/>
  <c r="AF77" i="12"/>
  <c r="AF69" i="12"/>
  <c r="AF102" i="12"/>
  <c r="AF93" i="12"/>
  <c r="AF89" i="12"/>
  <c r="AF85" i="12"/>
  <c r="AF75" i="12"/>
  <c r="AF67" i="12"/>
  <c r="AF83" i="12"/>
  <c r="AF80" i="12"/>
  <c r="AF76" i="12"/>
  <c r="AF72" i="12"/>
  <c r="AF68" i="12"/>
  <c r="AF66" i="12"/>
  <c r="AF59" i="12"/>
  <c r="AF51" i="12"/>
  <c r="AF94" i="12"/>
  <c r="AF58" i="12"/>
  <c r="AF50" i="12"/>
  <c r="AF42" i="12"/>
  <c r="AF110" i="12"/>
  <c r="AF56" i="12"/>
  <c r="AF107" i="12"/>
  <c r="AF87" i="12"/>
  <c r="AF63" i="12"/>
  <c r="AF55" i="12"/>
  <c r="AF47" i="12"/>
  <c r="AF64" i="12"/>
  <c r="AF62" i="12"/>
  <c r="AF54" i="12"/>
  <c r="AF99" i="12"/>
  <c r="AF57" i="12"/>
  <c r="AF53" i="12"/>
  <c r="AF43" i="12"/>
  <c r="AF36" i="12"/>
  <c r="AF28" i="12"/>
  <c r="AF91" i="12"/>
  <c r="AF34" i="12"/>
  <c r="AF41" i="12"/>
  <c r="AF33" i="12"/>
  <c r="AF14" i="12"/>
  <c r="P15" i="12"/>
  <c r="AD15" i="12"/>
  <c r="N16" i="12"/>
  <c r="AB16" i="12"/>
  <c r="AF22" i="12"/>
  <c r="P23" i="12"/>
  <c r="AD23" i="12"/>
  <c r="N24" i="12"/>
  <c r="AB24" i="12"/>
  <c r="N31" i="12"/>
  <c r="AF31" i="12"/>
  <c r="AD33" i="12"/>
  <c r="AB34" i="12"/>
  <c r="P38" i="12"/>
  <c r="AD39" i="12"/>
  <c r="P42" i="12"/>
  <c r="AB46" i="12"/>
  <c r="AF52" i="12"/>
  <c r="AD58" i="12"/>
  <c r="P69" i="12"/>
  <c r="AS98" i="12"/>
  <c r="AS49" i="12"/>
  <c r="AS76" i="12"/>
  <c r="AS82" i="12"/>
  <c r="AS70" i="12"/>
  <c r="AS78" i="12"/>
  <c r="AS87" i="12"/>
  <c r="AS69" i="12"/>
  <c r="AS77" i="12"/>
  <c r="AS89" i="12"/>
  <c r="AS95" i="12"/>
  <c r="AS111" i="12"/>
  <c r="AU14" i="11"/>
  <c r="H23" i="11"/>
  <c r="L23" i="11" s="1"/>
  <c r="T25" i="11"/>
  <c r="AF34" i="11"/>
  <c r="T48" i="11"/>
  <c r="H51" i="11"/>
  <c r="L51" i="11" s="1"/>
  <c r="AN52" i="11"/>
  <c r="R57" i="11"/>
  <c r="R80" i="11"/>
  <c r="V109" i="11"/>
  <c r="V107" i="11"/>
  <c r="V99" i="11"/>
  <c r="V91" i="11"/>
  <c r="V83" i="11"/>
  <c r="V106" i="11"/>
  <c r="V98" i="11"/>
  <c r="V90" i="11"/>
  <c r="V105" i="11"/>
  <c r="V97" i="11"/>
  <c r="V89" i="11"/>
  <c r="V112" i="11"/>
  <c r="V104" i="11"/>
  <c r="V96" i="11"/>
  <c r="V88" i="11"/>
  <c r="V111" i="11"/>
  <c r="V103" i="11"/>
  <c r="V95" i="11"/>
  <c r="V87" i="11"/>
  <c r="V85" i="11"/>
  <c r="V82" i="11"/>
  <c r="V110" i="11"/>
  <c r="V108" i="11"/>
  <c r="V100" i="11"/>
  <c r="V74" i="11"/>
  <c r="V66" i="11"/>
  <c r="V58" i="11"/>
  <c r="V101" i="11"/>
  <c r="V92" i="11"/>
  <c r="V81" i="11"/>
  <c r="V73" i="11"/>
  <c r="V65" i="11"/>
  <c r="V102" i="11"/>
  <c r="V93" i="11"/>
  <c r="V94" i="11"/>
  <c r="V79" i="11"/>
  <c r="V71" i="11"/>
  <c r="V63" i="11"/>
  <c r="V68" i="11"/>
  <c r="V60" i="11"/>
  <c r="V48" i="11"/>
  <c r="V40" i="11"/>
  <c r="V80" i="11"/>
  <c r="V62" i="11"/>
  <c r="V61" i="11"/>
  <c r="V56" i="11"/>
  <c r="V55" i="11"/>
  <c r="V53" i="11"/>
  <c r="V45" i="11"/>
  <c r="V86" i="11"/>
  <c r="V57" i="11"/>
  <c r="V52" i="11"/>
  <c r="V49" i="11"/>
  <c r="V41" i="11"/>
  <c r="V39" i="11"/>
  <c r="V33" i="11"/>
  <c r="V67" i="11"/>
  <c r="V64" i="11"/>
  <c r="V54" i="11"/>
  <c r="V38" i="11"/>
  <c r="V30" i="11"/>
  <c r="V23" i="11"/>
  <c r="V16" i="11"/>
  <c r="V77" i="11"/>
  <c r="V42" i="11"/>
  <c r="V37" i="11"/>
  <c r="V29" i="11"/>
  <c r="V15" i="11"/>
  <c r="V36" i="11"/>
  <c r="V28" i="11"/>
  <c r="V78" i="11"/>
  <c r="V72" i="11"/>
  <c r="V69" i="11"/>
  <c r="V50" i="11"/>
  <c r="V47" i="11"/>
  <c r="V43" i="11"/>
  <c r="V35" i="11"/>
  <c r="V27" i="11"/>
  <c r="V21" i="11"/>
  <c r="V13" i="11"/>
  <c r="AL13" i="11"/>
  <c r="AF14" i="11"/>
  <c r="Z17" i="11"/>
  <c r="V18" i="11"/>
  <c r="AF19" i="11"/>
  <c r="R21" i="11"/>
  <c r="AJ22" i="11"/>
  <c r="AU23" i="11"/>
  <c r="AF23" i="11"/>
  <c r="H24" i="11"/>
  <c r="L24" i="11" s="1"/>
  <c r="V25" i="11"/>
  <c r="R26" i="11"/>
  <c r="AJ26" i="11"/>
  <c r="AF27" i="11"/>
  <c r="AL30" i="11"/>
  <c r="Z32" i="11"/>
  <c r="AJ34" i="11"/>
  <c r="AN41" i="11"/>
  <c r="AL43" i="11"/>
  <c r="V44" i="11"/>
  <c r="AN50" i="11"/>
  <c r="T57" i="11"/>
  <c r="AF61" i="11"/>
  <c r="AL77" i="11"/>
  <c r="R111" i="11"/>
  <c r="R109" i="11"/>
  <c r="R101" i="11"/>
  <c r="R93" i="11"/>
  <c r="R85" i="11"/>
  <c r="R108" i="11"/>
  <c r="R100" i="11"/>
  <c r="R92" i="11"/>
  <c r="R107" i="11"/>
  <c r="R99" i="11"/>
  <c r="R91" i="11"/>
  <c r="R106" i="11"/>
  <c r="R98" i="11"/>
  <c r="R90" i="11"/>
  <c r="R105" i="11"/>
  <c r="R97" i="11"/>
  <c r="R89" i="11"/>
  <c r="R81" i="11"/>
  <c r="R103" i="11"/>
  <c r="R94" i="11"/>
  <c r="R87" i="11"/>
  <c r="R79" i="11"/>
  <c r="R104" i="11"/>
  <c r="R96" i="11"/>
  <c r="R76" i="11"/>
  <c r="R68" i="11"/>
  <c r="R60" i="11"/>
  <c r="R112" i="11"/>
  <c r="R110" i="11"/>
  <c r="R75" i="11"/>
  <c r="R67" i="11"/>
  <c r="R59" i="11"/>
  <c r="R83" i="11"/>
  <c r="R73" i="11"/>
  <c r="R65" i="11"/>
  <c r="R95" i="11"/>
  <c r="R86" i="11"/>
  <c r="R102" i="11"/>
  <c r="R77" i="11"/>
  <c r="R58" i="11"/>
  <c r="R50" i="11"/>
  <c r="R42" i="11"/>
  <c r="R88" i="11"/>
  <c r="R71" i="11"/>
  <c r="R49" i="11"/>
  <c r="R84" i="11"/>
  <c r="R82" i="11"/>
  <c r="R66" i="11"/>
  <c r="R62" i="11"/>
  <c r="R47" i="11"/>
  <c r="R39" i="11"/>
  <c r="R69" i="11"/>
  <c r="R43" i="11"/>
  <c r="R35" i="11"/>
  <c r="R48" i="11"/>
  <c r="R32" i="11"/>
  <c r="R24" i="11"/>
  <c r="R18" i="11"/>
  <c r="R64" i="11"/>
  <c r="R54" i="11"/>
  <c r="R51" i="11"/>
  <c r="R44" i="11"/>
  <c r="R31" i="11"/>
  <c r="R17" i="11"/>
  <c r="R74" i="11"/>
  <c r="R61" i="11"/>
  <c r="R55" i="11"/>
  <c r="R40" i="11"/>
  <c r="R38" i="11"/>
  <c r="R30" i="11"/>
  <c r="R53" i="11"/>
  <c r="R37" i="11"/>
  <c r="R29" i="11"/>
  <c r="R15" i="11"/>
  <c r="AN107" i="11"/>
  <c r="AN105" i="11"/>
  <c r="AN97" i="11"/>
  <c r="AN89" i="11"/>
  <c r="AN81" i="11"/>
  <c r="AN112" i="11"/>
  <c r="AN104" i="11"/>
  <c r="AN96" i="11"/>
  <c r="AN111" i="11"/>
  <c r="AN103" i="11"/>
  <c r="AN95" i="11"/>
  <c r="AN87" i="11"/>
  <c r="AN110" i="11"/>
  <c r="AN102" i="11"/>
  <c r="AN94" i="11"/>
  <c r="AN86" i="11"/>
  <c r="AN109" i="11"/>
  <c r="AN101" i="11"/>
  <c r="AN93" i="11"/>
  <c r="AN85" i="11"/>
  <c r="AN98" i="11"/>
  <c r="AN91" i="11"/>
  <c r="AN83" i="11"/>
  <c r="AN72" i="11"/>
  <c r="AN64" i="11"/>
  <c r="AN56" i="11"/>
  <c r="AN88" i="11"/>
  <c r="AN79" i="11"/>
  <c r="AN71" i="11"/>
  <c r="AN63" i="11"/>
  <c r="AN106" i="11"/>
  <c r="AN100" i="11"/>
  <c r="AN92" i="11"/>
  <c r="AN77" i="11"/>
  <c r="AN69" i="11"/>
  <c r="AN61" i="11"/>
  <c r="AN90" i="11"/>
  <c r="AN73" i="11"/>
  <c r="AN60" i="11"/>
  <c r="AN54" i="11"/>
  <c r="AN46" i="11"/>
  <c r="AN38" i="11"/>
  <c r="AN68" i="11"/>
  <c r="AN53" i="11"/>
  <c r="AN99" i="11"/>
  <c r="AN76" i="11"/>
  <c r="AN70" i="11"/>
  <c r="AN51" i="11"/>
  <c r="AN43" i="11"/>
  <c r="AN74" i="11"/>
  <c r="AN49" i="11"/>
  <c r="AN31" i="11"/>
  <c r="AN82" i="11"/>
  <c r="AN57" i="11"/>
  <c r="AN36" i="11"/>
  <c r="AN28" i="11"/>
  <c r="AN22" i="11"/>
  <c r="AN14" i="11"/>
  <c r="AN66" i="11"/>
  <c r="AN59" i="11"/>
  <c r="AN58" i="11"/>
  <c r="AN42" i="11"/>
  <c r="AN40" i="11"/>
  <c r="AN35" i="11"/>
  <c r="AN27" i="11"/>
  <c r="AN21" i="11"/>
  <c r="AN13" i="11"/>
  <c r="AN108" i="11"/>
  <c r="AN55" i="11"/>
  <c r="AN34" i="11"/>
  <c r="AN80" i="11"/>
  <c r="AN67" i="11"/>
  <c r="AN45" i="11"/>
  <c r="AN33" i="11"/>
  <c r="AN25" i="11"/>
  <c r="AN19" i="11"/>
  <c r="T18" i="11"/>
  <c r="AN18" i="11"/>
  <c r="AL21" i="11"/>
  <c r="AL25" i="11"/>
  <c r="H27" i="11"/>
  <c r="L27" i="11" s="1"/>
  <c r="H31" i="11"/>
  <c r="L31" i="11" s="1"/>
  <c r="AL31" i="11"/>
  <c r="AJ41" i="11"/>
  <c r="AJ50" i="11"/>
  <c r="T56" i="11"/>
  <c r="T69" i="11"/>
  <c r="K113" i="11"/>
  <c r="Z107" i="11"/>
  <c r="Z105" i="11"/>
  <c r="Z97" i="11"/>
  <c r="Z89" i="11"/>
  <c r="Z81" i="11"/>
  <c r="Z112" i="11"/>
  <c r="Z104" i="11"/>
  <c r="Z96" i="11"/>
  <c r="Z111" i="11"/>
  <c r="Z103" i="11"/>
  <c r="Z95" i="11"/>
  <c r="Z87" i="11"/>
  <c r="Z110" i="11"/>
  <c r="Z102" i="11"/>
  <c r="Z94" i="11"/>
  <c r="Z86" i="11"/>
  <c r="Z109" i="11"/>
  <c r="Z101" i="11"/>
  <c r="Z93" i="11"/>
  <c r="Z85" i="11"/>
  <c r="Z88" i="11"/>
  <c r="Z98" i="11"/>
  <c r="Z72" i="11"/>
  <c r="Z64" i="11"/>
  <c r="Z56" i="11"/>
  <c r="Z90" i="11"/>
  <c r="Z79" i="11"/>
  <c r="Z71" i="11"/>
  <c r="Z63" i="11"/>
  <c r="Z99" i="11"/>
  <c r="Z77" i="11"/>
  <c r="Z69" i="11"/>
  <c r="Z61" i="11"/>
  <c r="Z106" i="11"/>
  <c r="Z83" i="11"/>
  <c r="Z91" i="11"/>
  <c r="Z80" i="11"/>
  <c r="Z76" i="11"/>
  <c r="Z67" i="11"/>
  <c r="Z62" i="11"/>
  <c r="Z54" i="11"/>
  <c r="Z46" i="11"/>
  <c r="Z38" i="11"/>
  <c r="Z92" i="11"/>
  <c r="Z84" i="11"/>
  <c r="Z82" i="11"/>
  <c r="Z70" i="11"/>
  <c r="Z66" i="11"/>
  <c r="Z55" i="11"/>
  <c r="Z53" i="11"/>
  <c r="Z74" i="11"/>
  <c r="Z65" i="11"/>
  <c r="Z51" i="11"/>
  <c r="Z43" i="11"/>
  <c r="Z58" i="11"/>
  <c r="Z48" i="11"/>
  <c r="Z31" i="11"/>
  <c r="Z100" i="11"/>
  <c r="Z36" i="11"/>
  <c r="Z28" i="11"/>
  <c r="Z22" i="11"/>
  <c r="Z14" i="11"/>
  <c r="Z68" i="11"/>
  <c r="Z50" i="11"/>
  <c r="Z45" i="11"/>
  <c r="Z35" i="11"/>
  <c r="Z27" i="11"/>
  <c r="Z21" i="11"/>
  <c r="Z13" i="11"/>
  <c r="Z78" i="11"/>
  <c r="Z47" i="11"/>
  <c r="Z34" i="11"/>
  <c r="Z75" i="11"/>
  <c r="Z49" i="11"/>
  <c r="Z41" i="11"/>
  <c r="Z33" i="11"/>
  <c r="Z25" i="11"/>
  <c r="Z19" i="11"/>
  <c r="R13" i="11"/>
  <c r="AJ14" i="11"/>
  <c r="H16" i="11"/>
  <c r="L16" i="11" s="1"/>
  <c r="T21" i="11"/>
  <c r="AL23" i="11"/>
  <c r="AJ24" i="11"/>
  <c r="T26" i="11"/>
  <c r="AN26" i="11"/>
  <c r="AU28" i="11"/>
  <c r="AF28" i="11"/>
  <c r="AN30" i="11"/>
  <c r="AF33" i="11"/>
  <c r="T35" i="11"/>
  <c r="AF36" i="11"/>
  <c r="Z44" i="11"/>
  <c r="V51" i="11"/>
  <c r="Z57" i="11"/>
  <c r="T58" i="11"/>
  <c r="AJ61" i="11"/>
  <c r="R63" i="11"/>
  <c r="AJ69" i="11"/>
  <c r="V70" i="11"/>
  <c r="AL80" i="11"/>
  <c r="AF112" i="11"/>
  <c r="T13" i="11"/>
  <c r="AN15" i="11"/>
  <c r="AF16" i="11"/>
  <c r="H17" i="11"/>
  <c r="L17" i="11" s="1"/>
  <c r="Z18" i="11"/>
  <c r="R19" i="11"/>
  <c r="AJ19" i="11"/>
  <c r="AF20" i="11"/>
  <c r="R22" i="11"/>
  <c r="AN23" i="11"/>
  <c r="AL24" i="11"/>
  <c r="V26" i="11"/>
  <c r="AL27" i="11"/>
  <c r="Z29" i="11"/>
  <c r="H30" i="11"/>
  <c r="L30" i="11" s="1"/>
  <c r="V31" i="11"/>
  <c r="Z37" i="11"/>
  <c r="T39" i="11"/>
  <c r="AF40" i="11"/>
  <c r="AH42" i="11"/>
  <c r="R45" i="11"/>
  <c r="AL46" i="11"/>
  <c r="T47" i="11"/>
  <c r="H50" i="11"/>
  <c r="L50" i="11" s="1"/>
  <c r="R52" i="11"/>
  <c r="AF53" i="11"/>
  <c r="AH62" i="11"/>
  <c r="AJ64" i="11"/>
  <c r="AL69" i="11"/>
  <c r="R72" i="11"/>
  <c r="T73" i="11"/>
  <c r="Z108" i="11"/>
  <c r="AT12" i="11"/>
  <c r="AS113" i="11"/>
  <c r="R14" i="11"/>
  <c r="AL16" i="11"/>
  <c r="AU17" i="11"/>
  <c r="T19" i="11"/>
  <c r="AL19" i="11"/>
  <c r="V22" i="11"/>
  <c r="AR22" i="11"/>
  <c r="R23" i="11"/>
  <c r="T24" i="11"/>
  <c r="AN24" i="11"/>
  <c r="H25" i="11"/>
  <c r="L25" i="11" s="1"/>
  <c r="Z26" i="11"/>
  <c r="R27" i="11"/>
  <c r="AU30" i="11"/>
  <c r="AJ32" i="11"/>
  <c r="H33" i="11"/>
  <c r="L33" i="11" s="1"/>
  <c r="AL33" i="11"/>
  <c r="R34" i="11"/>
  <c r="AU36" i="11"/>
  <c r="H38" i="11"/>
  <c r="L38" i="11" s="1"/>
  <c r="Z39" i="11"/>
  <c r="R41" i="11"/>
  <c r="AN44" i="11"/>
  <c r="AN48" i="11"/>
  <c r="AL53" i="11"/>
  <c r="V59" i="11"/>
  <c r="AN62" i="11"/>
  <c r="Z73" i="11"/>
  <c r="V75" i="11"/>
  <c r="T110" i="11"/>
  <c r="T108" i="11"/>
  <c r="T100" i="11"/>
  <c r="T92" i="11"/>
  <c r="T84" i="11"/>
  <c r="T107" i="11"/>
  <c r="T99" i="11"/>
  <c r="T91" i="11"/>
  <c r="T106" i="11"/>
  <c r="T98" i="11"/>
  <c r="T90" i="11"/>
  <c r="T105" i="11"/>
  <c r="T97" i="11"/>
  <c r="T89" i="11"/>
  <c r="T112" i="11"/>
  <c r="T104" i="11"/>
  <c r="T96" i="11"/>
  <c r="T88" i="11"/>
  <c r="T80" i="11"/>
  <c r="T95" i="11"/>
  <c r="T86" i="11"/>
  <c r="T78" i="11"/>
  <c r="T75" i="11"/>
  <c r="T67" i="11"/>
  <c r="T59" i="11"/>
  <c r="T83" i="11"/>
  <c r="T74" i="11"/>
  <c r="T66" i="11"/>
  <c r="T101" i="11"/>
  <c r="T81" i="11"/>
  <c r="T102" i="11"/>
  <c r="T93" i="11"/>
  <c r="T72" i="11"/>
  <c r="T64" i="11"/>
  <c r="T111" i="11"/>
  <c r="T109" i="11"/>
  <c r="T103" i="11"/>
  <c r="T85" i="11"/>
  <c r="T71" i="11"/>
  <c r="T49" i="11"/>
  <c r="T41" i="11"/>
  <c r="T68" i="11"/>
  <c r="T60" i="11"/>
  <c r="T76" i="11"/>
  <c r="T70" i="11"/>
  <c r="T54" i="11"/>
  <c r="T46" i="11"/>
  <c r="T87" i="11"/>
  <c r="T63" i="11"/>
  <c r="T34" i="11"/>
  <c r="T51" i="11"/>
  <c r="T44" i="11"/>
  <c r="T31" i="11"/>
  <c r="T17" i="11"/>
  <c r="T61" i="11"/>
  <c r="T55" i="11"/>
  <c r="T40" i="11"/>
  <c r="T38" i="11"/>
  <c r="T30" i="11"/>
  <c r="T23" i="11"/>
  <c r="T16" i="11"/>
  <c r="T82" i="11"/>
  <c r="T77" i="11"/>
  <c r="T53" i="11"/>
  <c r="T42" i="11"/>
  <c r="T37" i="11"/>
  <c r="T29" i="11"/>
  <c r="T94" i="11"/>
  <c r="T65" i="11"/>
  <c r="T62" i="11"/>
  <c r="T45" i="11"/>
  <c r="T36" i="11"/>
  <c r="T28" i="11"/>
  <c r="T22" i="11"/>
  <c r="T14" i="11"/>
  <c r="R20" i="11"/>
  <c r="H21" i="11"/>
  <c r="L21" i="11" s="1"/>
  <c r="T27" i="11"/>
  <c r="AN32" i="11"/>
  <c r="AJ49" i="11"/>
  <c r="AL71" i="11"/>
  <c r="AL108" i="11"/>
  <c r="AL106" i="11"/>
  <c r="AL98" i="11"/>
  <c r="AL90" i="11"/>
  <c r="AL82" i="11"/>
  <c r="AL105" i="11"/>
  <c r="AL97" i="11"/>
  <c r="AL112" i="11"/>
  <c r="AL104" i="11"/>
  <c r="AL96" i="11"/>
  <c r="AL88" i="11"/>
  <c r="AL111" i="11"/>
  <c r="AL103" i="11"/>
  <c r="AL95" i="11"/>
  <c r="AL87" i="11"/>
  <c r="AL110" i="11"/>
  <c r="AL102" i="11"/>
  <c r="AL94" i="11"/>
  <c r="AL86" i="11"/>
  <c r="AL93" i="11"/>
  <c r="AL109" i="11"/>
  <c r="AL99" i="11"/>
  <c r="AL84" i="11"/>
  <c r="AL73" i="11"/>
  <c r="AL65" i="11"/>
  <c r="AL57" i="11"/>
  <c r="AL91" i="11"/>
  <c r="AL83" i="11"/>
  <c r="AL72" i="11"/>
  <c r="AL64" i="11"/>
  <c r="AL89" i="11"/>
  <c r="AL81" i="11"/>
  <c r="AL100" i="11"/>
  <c r="AL78" i="11"/>
  <c r="AL70" i="11"/>
  <c r="AL62" i="11"/>
  <c r="AL85" i="11"/>
  <c r="AL101" i="11"/>
  <c r="AL79" i="11"/>
  <c r="AL63" i="11"/>
  <c r="AL58" i="11"/>
  <c r="AL47" i="11"/>
  <c r="AL39" i="11"/>
  <c r="AL60" i="11"/>
  <c r="AL54" i="11"/>
  <c r="AL67" i="11"/>
  <c r="AL56" i="11"/>
  <c r="AL55" i="11"/>
  <c r="AL52" i="11"/>
  <c r="AL44" i="11"/>
  <c r="AL50" i="11"/>
  <c r="AL41" i="11"/>
  <c r="AL32" i="11"/>
  <c r="AL51" i="11"/>
  <c r="AL48" i="11"/>
  <c r="AL37" i="11"/>
  <c r="AL29" i="11"/>
  <c r="AL15" i="11"/>
  <c r="AL38" i="11"/>
  <c r="AL36" i="11"/>
  <c r="AL28" i="11"/>
  <c r="AL22" i="11"/>
  <c r="AL14" i="11"/>
  <c r="AL107" i="11"/>
  <c r="AL92" i="11"/>
  <c r="AL76" i="11"/>
  <c r="AL66" i="11"/>
  <c r="AL59" i="11"/>
  <c r="AL42" i="11"/>
  <c r="AL40" i="11"/>
  <c r="AL35" i="11"/>
  <c r="AL61" i="11"/>
  <c r="AL34" i="11"/>
  <c r="AL26" i="11"/>
  <c r="AL20" i="11"/>
  <c r="H108" i="11"/>
  <c r="L108" i="11" s="1"/>
  <c r="H106" i="11"/>
  <c r="L106" i="11" s="1"/>
  <c r="H98" i="11"/>
  <c r="L98" i="11" s="1"/>
  <c r="H90" i="11"/>
  <c r="L90" i="11" s="1"/>
  <c r="H82" i="11"/>
  <c r="L82" i="11" s="1"/>
  <c r="H105" i="11"/>
  <c r="L105" i="11" s="1"/>
  <c r="H97" i="11"/>
  <c r="L97" i="11" s="1"/>
  <c r="H112" i="11"/>
  <c r="L112" i="11" s="1"/>
  <c r="H104" i="11"/>
  <c r="L104" i="11" s="1"/>
  <c r="H96" i="11"/>
  <c r="L96" i="11" s="1"/>
  <c r="H88" i="11"/>
  <c r="L88" i="11" s="1"/>
  <c r="H111" i="11"/>
  <c r="L111" i="11" s="1"/>
  <c r="H103" i="11"/>
  <c r="L103" i="11" s="1"/>
  <c r="H95" i="11"/>
  <c r="L95" i="11" s="1"/>
  <c r="H87" i="11"/>
  <c r="L87" i="11" s="1"/>
  <c r="H110" i="11"/>
  <c r="L110" i="11" s="1"/>
  <c r="H102" i="11"/>
  <c r="L102" i="11" s="1"/>
  <c r="H94" i="11"/>
  <c r="L94" i="11" s="1"/>
  <c r="H86" i="11"/>
  <c r="L86" i="11" s="1"/>
  <c r="H93" i="11"/>
  <c r="L93" i="11" s="1"/>
  <c r="H91" i="11"/>
  <c r="L91" i="11" s="1"/>
  <c r="H73" i="11"/>
  <c r="L73" i="11" s="1"/>
  <c r="H65" i="11"/>
  <c r="L65" i="11" s="1"/>
  <c r="H57" i="11"/>
  <c r="L57" i="11" s="1"/>
  <c r="H85" i="11"/>
  <c r="L85" i="11" s="1"/>
  <c r="H72" i="11"/>
  <c r="L72" i="11" s="1"/>
  <c r="H64" i="11"/>
  <c r="L64" i="11" s="1"/>
  <c r="H100" i="11"/>
  <c r="L100" i="11" s="1"/>
  <c r="H84" i="11"/>
  <c r="L84" i="11" s="1"/>
  <c r="H92" i="11"/>
  <c r="L92" i="11" s="1"/>
  <c r="H89" i="11"/>
  <c r="L89" i="11" s="1"/>
  <c r="H80" i="11"/>
  <c r="L80" i="11" s="1"/>
  <c r="H78" i="11"/>
  <c r="L78" i="11" s="1"/>
  <c r="H70" i="11"/>
  <c r="L70" i="11" s="1"/>
  <c r="H62" i="11"/>
  <c r="L62" i="11" s="1"/>
  <c r="H83" i="11"/>
  <c r="L83" i="11" s="1"/>
  <c r="H75" i="11"/>
  <c r="L75" i="11" s="1"/>
  <c r="H61" i="11"/>
  <c r="L61" i="11" s="1"/>
  <c r="H47" i="11"/>
  <c r="L47" i="11" s="1"/>
  <c r="H39" i="11"/>
  <c r="L39" i="11" s="1"/>
  <c r="H79" i="11"/>
  <c r="L79" i="11" s="1"/>
  <c r="H74" i="11"/>
  <c r="L74" i="11" s="1"/>
  <c r="H69" i="11"/>
  <c r="L69" i="11" s="1"/>
  <c r="H59" i="11"/>
  <c r="L59" i="11" s="1"/>
  <c r="H55" i="11"/>
  <c r="L55" i="11" s="1"/>
  <c r="H54" i="11"/>
  <c r="L54" i="11" s="1"/>
  <c r="H77" i="11"/>
  <c r="L77" i="11" s="1"/>
  <c r="H63" i="11"/>
  <c r="L63" i="11" s="1"/>
  <c r="H52" i="11"/>
  <c r="L52" i="11" s="1"/>
  <c r="H44" i="11"/>
  <c r="L44" i="11" s="1"/>
  <c r="H109" i="11"/>
  <c r="L109" i="11" s="1"/>
  <c r="H107" i="11"/>
  <c r="L107" i="11" s="1"/>
  <c r="H68" i="11"/>
  <c r="L68" i="11" s="1"/>
  <c r="H32" i="11"/>
  <c r="L32" i="11" s="1"/>
  <c r="H99" i="11"/>
  <c r="L99" i="11" s="1"/>
  <c r="H45" i="11"/>
  <c r="L45" i="11" s="1"/>
  <c r="H37" i="11"/>
  <c r="L37" i="11" s="1"/>
  <c r="H29" i="11"/>
  <c r="L29" i="11" s="1"/>
  <c r="H15" i="11"/>
  <c r="L15" i="11" s="1"/>
  <c r="H101" i="11"/>
  <c r="L101" i="11" s="1"/>
  <c r="H76" i="11"/>
  <c r="L76" i="11" s="1"/>
  <c r="H66" i="11"/>
  <c r="L66" i="11" s="1"/>
  <c r="H49" i="11"/>
  <c r="L49" i="11" s="1"/>
  <c r="H43" i="11"/>
  <c r="L43" i="11" s="1"/>
  <c r="H36" i="11"/>
  <c r="L36" i="11" s="1"/>
  <c r="H28" i="11"/>
  <c r="L28" i="11" s="1"/>
  <c r="H22" i="11"/>
  <c r="L22" i="11" s="1"/>
  <c r="H14" i="11"/>
  <c r="L14" i="11" s="1"/>
  <c r="L12" i="11"/>
  <c r="H60" i="11"/>
  <c r="L60" i="11" s="1"/>
  <c r="H58" i="11"/>
  <c r="L58" i="11" s="1"/>
  <c r="H41" i="11"/>
  <c r="L41" i="11" s="1"/>
  <c r="H35" i="11"/>
  <c r="L35" i="11" s="1"/>
  <c r="H71" i="11"/>
  <c r="L71" i="11" s="1"/>
  <c r="H67" i="11"/>
  <c r="L67" i="11" s="1"/>
  <c r="H56" i="11"/>
  <c r="L56" i="11" s="1"/>
  <c r="H34" i="11"/>
  <c r="L34" i="11" s="1"/>
  <c r="H26" i="11"/>
  <c r="L26" i="11" s="1"/>
  <c r="H20" i="11"/>
  <c r="L20" i="11" s="1"/>
  <c r="AF111" i="11"/>
  <c r="AF109" i="11"/>
  <c r="AF101" i="11"/>
  <c r="AF93" i="11"/>
  <c r="AF85" i="11"/>
  <c r="AF108" i="11"/>
  <c r="AF100" i="11"/>
  <c r="AF92" i="11"/>
  <c r="AF107" i="11"/>
  <c r="AF99" i="11"/>
  <c r="AF91" i="11"/>
  <c r="AF106" i="11"/>
  <c r="AF98" i="11"/>
  <c r="AF90" i="11"/>
  <c r="AF105" i="11"/>
  <c r="AF97" i="11"/>
  <c r="AF89" i="11"/>
  <c r="AF81" i="11"/>
  <c r="AF96" i="11"/>
  <c r="AF79" i="11"/>
  <c r="AF102" i="11"/>
  <c r="AF87" i="11"/>
  <c r="AF76" i="11"/>
  <c r="AF68" i="11"/>
  <c r="AF60" i="11"/>
  <c r="AF103" i="11"/>
  <c r="AF94" i="11"/>
  <c r="AF82" i="11"/>
  <c r="AF80" i="11"/>
  <c r="AF75" i="11"/>
  <c r="AF67" i="11"/>
  <c r="AF59" i="11"/>
  <c r="AF95" i="11"/>
  <c r="AF88" i="11"/>
  <c r="AF86" i="11"/>
  <c r="AF84" i="11"/>
  <c r="AF83" i="11"/>
  <c r="AF73" i="11"/>
  <c r="AF65" i="11"/>
  <c r="AF74" i="11"/>
  <c r="AF69" i="11"/>
  <c r="AF64" i="11"/>
  <c r="AF57" i="11"/>
  <c r="AF50" i="11"/>
  <c r="AF42" i="11"/>
  <c r="AF78" i="11"/>
  <c r="AF58" i="11"/>
  <c r="AF49" i="11"/>
  <c r="AF47" i="11"/>
  <c r="AF39" i="11"/>
  <c r="AF77" i="11"/>
  <c r="AF71" i="11"/>
  <c r="AF55" i="11"/>
  <c r="AF35" i="11"/>
  <c r="AF104" i="11"/>
  <c r="AF72" i="11"/>
  <c r="AF62" i="11"/>
  <c r="AF32" i="11"/>
  <c r="AF24" i="11"/>
  <c r="AF18" i="11"/>
  <c r="AP12" i="11"/>
  <c r="AF52" i="11"/>
  <c r="AF46" i="11"/>
  <c r="AF31" i="11"/>
  <c r="AF17" i="11"/>
  <c r="AF63" i="11"/>
  <c r="AF56" i="11"/>
  <c r="AF48" i="11"/>
  <c r="AF44" i="11"/>
  <c r="AF30" i="11"/>
  <c r="AF110" i="11"/>
  <c r="AF70" i="11"/>
  <c r="AF66" i="11"/>
  <c r="AF51" i="11"/>
  <c r="AF38" i="11"/>
  <c r="AF37" i="11"/>
  <c r="AF29" i="11"/>
  <c r="AF15" i="11"/>
  <c r="AC113" i="11"/>
  <c r="T15" i="11"/>
  <c r="AN16" i="11"/>
  <c r="AJ17" i="11"/>
  <c r="H18" i="11"/>
  <c r="L18" i="11" s="1"/>
  <c r="AJ20" i="11"/>
  <c r="H40" i="11"/>
  <c r="L40" i="11" s="1"/>
  <c r="T43" i="11"/>
  <c r="T50" i="11"/>
  <c r="AN65" i="11"/>
  <c r="N12" i="11"/>
  <c r="AB12" i="11"/>
  <c r="X12" i="11"/>
  <c r="P12" i="11"/>
  <c r="AH110" i="11"/>
  <c r="AH108" i="11"/>
  <c r="AH100" i="11"/>
  <c r="AH92" i="11"/>
  <c r="AH84" i="11"/>
  <c r="AH107" i="11"/>
  <c r="AH99" i="11"/>
  <c r="AH91" i="11"/>
  <c r="AH106" i="11"/>
  <c r="AH98" i="11"/>
  <c r="AH90" i="11"/>
  <c r="AH105" i="11"/>
  <c r="AH97" i="11"/>
  <c r="AH89" i="11"/>
  <c r="AH112" i="11"/>
  <c r="AH104" i="11"/>
  <c r="AH96" i="11"/>
  <c r="AH88" i="11"/>
  <c r="AH80" i="11"/>
  <c r="AH78" i="11"/>
  <c r="AH103" i="11"/>
  <c r="AH94" i="11"/>
  <c r="AH82" i="11"/>
  <c r="AH75" i="11"/>
  <c r="AH67" i="11"/>
  <c r="AH59" i="11"/>
  <c r="AH111" i="11"/>
  <c r="AH109" i="11"/>
  <c r="AH95" i="11"/>
  <c r="AH86" i="11"/>
  <c r="AH85" i="11"/>
  <c r="AH74" i="11"/>
  <c r="AH66" i="11"/>
  <c r="AH58" i="11"/>
  <c r="AH83" i="11"/>
  <c r="AH72" i="11"/>
  <c r="AH64" i="11"/>
  <c r="AH87" i="11"/>
  <c r="AH49" i="11"/>
  <c r="AH41" i="11"/>
  <c r="AH101" i="11"/>
  <c r="AH79" i="11"/>
  <c r="AH77" i="11"/>
  <c r="AH73" i="11"/>
  <c r="AH63" i="11"/>
  <c r="AH71" i="11"/>
  <c r="AH60" i="11"/>
  <c r="AH54" i="11"/>
  <c r="AH46" i="11"/>
  <c r="AH38" i="11"/>
  <c r="AH61" i="11"/>
  <c r="AH53" i="11"/>
  <c r="AH45" i="11"/>
  <c r="AH34" i="11"/>
  <c r="AH102" i="11"/>
  <c r="AH69" i="11"/>
  <c r="AH65" i="11"/>
  <c r="AH52" i="11"/>
  <c r="AH39" i="11"/>
  <c r="AH31" i="11"/>
  <c r="AH17" i="11"/>
  <c r="AH81" i="11"/>
  <c r="AH56" i="11"/>
  <c r="AH48" i="11"/>
  <c r="AH44" i="11"/>
  <c r="AH30" i="11"/>
  <c r="AH23" i="11"/>
  <c r="AH16" i="11"/>
  <c r="AH70" i="11"/>
  <c r="AH57" i="11"/>
  <c r="AH51" i="11"/>
  <c r="AH37" i="11"/>
  <c r="AH29" i="11"/>
  <c r="AH93" i="11"/>
  <c r="AH40" i="11"/>
  <c r="AH36" i="11"/>
  <c r="AH28" i="11"/>
  <c r="AH22" i="11"/>
  <c r="AH14" i="11"/>
  <c r="H13" i="11"/>
  <c r="AU13" i="11"/>
  <c r="Z15" i="11"/>
  <c r="R16" i="11"/>
  <c r="AL17" i="11"/>
  <c r="AJ18" i="11"/>
  <c r="T20" i="11"/>
  <c r="AN20" i="11"/>
  <c r="AF21" i="11"/>
  <c r="Z23" i="11"/>
  <c r="AH25" i="11"/>
  <c r="R28" i="11"/>
  <c r="R33" i="11"/>
  <c r="AJ39" i="11"/>
  <c r="H42" i="11"/>
  <c r="L42" i="11" s="1"/>
  <c r="AF45" i="11"/>
  <c r="AH47" i="11"/>
  <c r="H48" i="11"/>
  <c r="L48" i="11" s="1"/>
  <c r="AL49" i="11"/>
  <c r="H53" i="11"/>
  <c r="L53" i="11" s="1"/>
  <c r="AF54" i="11"/>
  <c r="AH68" i="11"/>
  <c r="AL75" i="11"/>
  <c r="V76" i="11"/>
  <c r="AJ109" i="11"/>
  <c r="AJ107" i="11"/>
  <c r="AJ99" i="11"/>
  <c r="AJ91" i="11"/>
  <c r="AJ83" i="11"/>
  <c r="AJ106" i="11"/>
  <c r="AJ98" i="11"/>
  <c r="AJ90" i="11"/>
  <c r="AJ105" i="11"/>
  <c r="AJ97" i="11"/>
  <c r="AJ89" i="11"/>
  <c r="AJ112" i="11"/>
  <c r="AJ104" i="11"/>
  <c r="AJ96" i="11"/>
  <c r="AJ88" i="11"/>
  <c r="AJ111" i="11"/>
  <c r="AJ103" i="11"/>
  <c r="AJ95" i="11"/>
  <c r="AJ87" i="11"/>
  <c r="AJ110" i="11"/>
  <c r="AJ108" i="11"/>
  <c r="AJ101" i="11"/>
  <c r="AJ92" i="11"/>
  <c r="AJ86" i="11"/>
  <c r="AJ85" i="11"/>
  <c r="AJ80" i="11"/>
  <c r="AJ74" i="11"/>
  <c r="AJ66" i="11"/>
  <c r="AJ58" i="11"/>
  <c r="AJ84" i="11"/>
  <c r="AJ73" i="11"/>
  <c r="AJ65" i="11"/>
  <c r="AJ81" i="11"/>
  <c r="AJ79" i="11"/>
  <c r="AJ71" i="11"/>
  <c r="AJ63" i="11"/>
  <c r="AJ102" i="11"/>
  <c r="AJ94" i="11"/>
  <c r="AJ78" i="11"/>
  <c r="AJ77" i="11"/>
  <c r="AJ48" i="11"/>
  <c r="AJ40" i="11"/>
  <c r="AJ72" i="11"/>
  <c r="AJ100" i="11"/>
  <c r="AJ68" i="11"/>
  <c r="AJ62" i="11"/>
  <c r="AJ53" i="11"/>
  <c r="AJ45" i="11"/>
  <c r="AJ47" i="11"/>
  <c r="AJ43" i="11"/>
  <c r="AJ33" i="11"/>
  <c r="AJ82" i="11"/>
  <c r="AJ75" i="11"/>
  <c r="AJ56" i="11"/>
  <c r="AJ46" i="11"/>
  <c r="AJ44" i="11"/>
  <c r="AJ30" i="11"/>
  <c r="AJ23" i="11"/>
  <c r="AJ16" i="11"/>
  <c r="AJ70" i="11"/>
  <c r="AJ57" i="11"/>
  <c r="AJ51" i="11"/>
  <c r="AJ37" i="11"/>
  <c r="AJ29" i="11"/>
  <c r="AJ15" i="11"/>
  <c r="AJ93" i="11"/>
  <c r="AJ38" i="11"/>
  <c r="AJ36" i="11"/>
  <c r="AJ28" i="11"/>
  <c r="AJ76" i="11"/>
  <c r="AJ60" i="11"/>
  <c r="AJ59" i="11"/>
  <c r="AJ55" i="11"/>
  <c r="AJ54" i="11"/>
  <c r="AJ42" i="11"/>
  <c r="AJ35" i="11"/>
  <c r="AJ27" i="11"/>
  <c r="AJ21" i="11"/>
  <c r="AJ13" i="11"/>
  <c r="AN17" i="11"/>
  <c r="AL18" i="11"/>
  <c r="R25" i="11"/>
  <c r="AJ25" i="11"/>
  <c r="AF26" i="11"/>
  <c r="AN29" i="11"/>
  <c r="AJ31" i="11"/>
  <c r="T32" i="11"/>
  <c r="T33" i="11"/>
  <c r="R36" i="11"/>
  <c r="AN37" i="11"/>
  <c r="AN39" i="11"/>
  <c r="AF41" i="11"/>
  <c r="AF43" i="11"/>
  <c r="AP43" i="11" s="1"/>
  <c r="AL45" i="11"/>
  <c r="R46" i="11"/>
  <c r="AN47" i="11"/>
  <c r="AJ52" i="11"/>
  <c r="R56" i="11"/>
  <c r="AL68" i="11"/>
  <c r="AN75" i="11"/>
  <c r="R78" i="11"/>
  <c r="T79" i="11"/>
  <c r="H81" i="11"/>
  <c r="L81" i="11" s="1"/>
  <c r="AN84" i="11"/>
  <c r="AU46" i="11"/>
  <c r="AU48" i="11"/>
  <c r="AU57" i="11"/>
  <c r="AU60" i="11"/>
  <c r="AU65" i="11"/>
  <c r="AU73" i="11"/>
  <c r="AO113" i="11"/>
  <c r="AU49" i="11"/>
  <c r="AU66" i="11"/>
  <c r="AU91" i="11"/>
  <c r="AU59" i="11"/>
  <c r="AU74" i="11"/>
  <c r="AU96" i="11"/>
  <c r="AU98" i="11"/>
  <c r="AU107" i="11"/>
  <c r="AU104" i="11"/>
  <c r="AU88" i="11"/>
  <c r="G21" i="7"/>
  <c r="Y56" i="5"/>
  <c r="AB10" i="5"/>
  <c r="AA10" i="5"/>
  <c r="Q22" i="5"/>
  <c r="J58" i="5"/>
  <c r="AD5" i="5"/>
  <c r="R5" i="5"/>
  <c r="Q5" i="5"/>
  <c r="Z58" i="5"/>
  <c r="K21" i="5"/>
  <c r="F15" i="5"/>
  <c r="F21" i="5"/>
  <c r="G21" i="5" s="1"/>
  <c r="P23" i="5"/>
  <c r="AE23" i="5" s="1"/>
  <c r="AF23" i="5" s="1"/>
  <c r="Y24" i="5"/>
  <c r="Y25" i="5" s="1"/>
  <c r="AB25" i="5" s="1"/>
  <c r="Y43" i="5"/>
  <c r="AB40" i="5"/>
  <c r="Q23" i="5"/>
  <c r="W24" i="5"/>
  <c r="V24" i="5"/>
  <c r="AA5" i="5"/>
  <c r="O7" i="5"/>
  <c r="AA7" i="5"/>
  <c r="F8" i="5"/>
  <c r="H8" i="5" s="1"/>
  <c r="O8" i="5"/>
  <c r="AA8" i="5"/>
  <c r="F9" i="5"/>
  <c r="O9" i="5"/>
  <c r="AA9" i="5"/>
  <c r="E10" i="5"/>
  <c r="M10" i="5"/>
  <c r="H12" i="5"/>
  <c r="AD14" i="5"/>
  <c r="Z57" i="5"/>
  <c r="AA15" i="5"/>
  <c r="O17" i="5"/>
  <c r="V17" i="5"/>
  <c r="F18" i="5"/>
  <c r="G18" i="5" s="1"/>
  <c r="AD19" i="5"/>
  <c r="AG19" i="5" s="1"/>
  <c r="AB20" i="5"/>
  <c r="AA20" i="5"/>
  <c r="AD21" i="5"/>
  <c r="M22" i="5"/>
  <c r="W30" i="5"/>
  <c r="V30" i="5"/>
  <c r="AD43" i="5"/>
  <c r="I58" i="5"/>
  <c r="K56" i="5"/>
  <c r="AB22" i="5"/>
  <c r="AA22" i="5"/>
  <c r="H52" i="5"/>
  <c r="F52" i="5"/>
  <c r="G52" i="5" s="1"/>
  <c r="AA24" i="5"/>
  <c r="I64" i="5"/>
  <c r="I63" i="5" s="1"/>
  <c r="I62" i="5"/>
  <c r="I61" i="5" s="1"/>
  <c r="D64" i="5"/>
  <c r="D62" i="5"/>
  <c r="T56" i="5"/>
  <c r="Y57" i="5"/>
  <c r="AB57" i="5" s="1"/>
  <c r="K20" i="5"/>
  <c r="AB21" i="5"/>
  <c r="AA21" i="5"/>
  <c r="J36" i="5"/>
  <c r="O32" i="5"/>
  <c r="L32" i="5"/>
  <c r="E64" i="5"/>
  <c r="E62" i="5"/>
  <c r="V10" i="5"/>
  <c r="R12" i="5"/>
  <c r="AD13" i="5"/>
  <c r="M20" i="5"/>
  <c r="M21" i="5"/>
  <c r="G5" i="5"/>
  <c r="AC5" i="5"/>
  <c r="H7" i="5"/>
  <c r="O10" i="5"/>
  <c r="W10" i="5"/>
  <c r="K12" i="5"/>
  <c r="K13" i="5"/>
  <c r="K14" i="5"/>
  <c r="T15" i="5"/>
  <c r="O18" i="5"/>
  <c r="V18" i="5"/>
  <c r="H19" i="5"/>
  <c r="F19" i="5"/>
  <c r="D25" i="5"/>
  <c r="AD41" i="5"/>
  <c r="AG41" i="5" s="1"/>
  <c r="R41" i="5"/>
  <c r="U56" i="5"/>
  <c r="S71" i="5"/>
  <c r="S72" i="5" s="1"/>
  <c r="E24" i="5"/>
  <c r="F17" i="5"/>
  <c r="O37" i="5"/>
  <c r="M37" i="5"/>
  <c r="L37" i="5"/>
  <c r="Q37" i="5" s="1"/>
  <c r="F64" i="5"/>
  <c r="K62" i="5"/>
  <c r="K61" i="5" s="1"/>
  <c r="F62" i="5"/>
  <c r="AB7" i="5"/>
  <c r="N10" i="5"/>
  <c r="J15" i="5"/>
  <c r="AB15" i="5"/>
  <c r="W17" i="5"/>
  <c r="AD20" i="5"/>
  <c r="S25" i="5"/>
  <c r="J38" i="5"/>
  <c r="H5" i="5"/>
  <c r="X56" i="5"/>
  <c r="X59" i="5" s="1"/>
  <c r="X67" i="5" s="1"/>
  <c r="X70" i="5" s="1"/>
  <c r="X25" i="5"/>
  <c r="M17" i="5"/>
  <c r="AB17" i="5"/>
  <c r="K18" i="5"/>
  <c r="H23" i="5"/>
  <c r="F23" i="5"/>
  <c r="G23" i="5" s="1"/>
  <c r="O30" i="5"/>
  <c r="M30" i="5"/>
  <c r="L30" i="5"/>
  <c r="Q30" i="5" s="1"/>
  <c r="P33" i="5"/>
  <c r="P38" i="5" s="1"/>
  <c r="M33" i="5"/>
  <c r="K36" i="5"/>
  <c r="L36" i="5" s="1"/>
  <c r="W37" i="5"/>
  <c r="V37" i="5"/>
  <c r="V38" i="5" s="1"/>
  <c r="AB19" i="5"/>
  <c r="AD22" i="5"/>
  <c r="U38" i="5"/>
  <c r="U36" i="5"/>
  <c r="AE5" i="5"/>
  <c r="AF5" i="5" s="1"/>
  <c r="I56" i="5"/>
  <c r="I59" i="5" s="1"/>
  <c r="I25" i="5"/>
  <c r="N25" i="5" s="1"/>
  <c r="AC25" i="5" s="1"/>
  <c r="N15" i="5"/>
  <c r="H20" i="5"/>
  <c r="F20" i="5"/>
  <c r="G20" i="5" s="1"/>
  <c r="H22" i="5"/>
  <c r="F22" i="5"/>
  <c r="G22" i="5" s="1"/>
  <c r="AC24" i="5"/>
  <c r="N58" i="5"/>
  <c r="AC58" i="5" s="1"/>
  <c r="J25" i="5"/>
  <c r="Z25" i="5"/>
  <c r="T38" i="5"/>
  <c r="W32" i="5"/>
  <c r="AD34" i="5"/>
  <c r="AG34" i="5" s="1"/>
  <c r="O53" i="5"/>
  <c r="K64" i="5"/>
  <c r="K63" i="5" s="1"/>
  <c r="AF41" i="5"/>
  <c r="K52" i="5"/>
  <c r="O52" i="5"/>
  <c r="Y54" i="5"/>
  <c r="AD40" i="5"/>
  <c r="AD47" i="5"/>
  <c r="AG47" i="5" s="1"/>
  <c r="R47" i="5"/>
  <c r="V50" i="5"/>
  <c r="N38" i="5"/>
  <c r="Z32" i="5"/>
  <c r="O33" i="5"/>
  <c r="E53" i="5"/>
  <c r="T53" i="5"/>
  <c r="W53" i="5" s="1"/>
  <c r="W45" i="5"/>
  <c r="V46" i="5"/>
  <c r="V47" i="5"/>
  <c r="U48" i="5"/>
  <c r="V49" i="5"/>
  <c r="O50" i="5"/>
  <c r="M50" i="5"/>
  <c r="Q51" i="5"/>
  <c r="M52" i="5"/>
  <c r="AB52" i="5"/>
  <c r="AA23" i="5"/>
  <c r="AB32" i="5"/>
  <c r="G33" i="5"/>
  <c r="G38" i="5" s="1"/>
  <c r="F36" i="5"/>
  <c r="AA37" i="5"/>
  <c r="AA38" i="5" s="1"/>
  <c r="E38" i="5"/>
  <c r="V45" i="5"/>
  <c r="O49" i="5"/>
  <c r="M49" i="5"/>
  <c r="K50" i="5"/>
  <c r="AB51" i="5"/>
  <c r="AA51" i="5"/>
  <c r="Z53" i="5"/>
  <c r="AA53" i="5" s="1"/>
  <c r="AC32" i="5"/>
  <c r="O42" i="5"/>
  <c r="M42" i="5"/>
  <c r="K42" i="5"/>
  <c r="P46" i="5"/>
  <c r="AE46" i="5" s="1"/>
  <c r="K53" i="5"/>
  <c r="M53" i="5" s="1"/>
  <c r="K49" i="5"/>
  <c r="AD51" i="5"/>
  <c r="AG51" i="5" s="1"/>
  <c r="AA41" i="5"/>
  <c r="O45" i="5"/>
  <c r="M45" i="5"/>
  <c r="L46" i="5"/>
  <c r="Q46" i="5" s="1"/>
  <c r="L47" i="5"/>
  <c r="L48" i="5"/>
  <c r="K40" i="5"/>
  <c r="L41" i="5"/>
  <c r="Q41" i="5" s="1"/>
  <c r="V41" i="5"/>
  <c r="O46" i="5"/>
  <c r="AA46" i="5"/>
  <c r="F47" i="5"/>
  <c r="AA47" i="5"/>
  <c r="F48" i="5"/>
  <c r="G48" i="5" s="1"/>
  <c r="U40" i="5"/>
  <c r="M41" i="5"/>
  <c r="F49" i="5"/>
  <c r="G49" i="5" s="1"/>
  <c r="F50" i="5"/>
  <c r="G50" i="5" s="1"/>
  <c r="W40" i="5"/>
  <c r="AN74" i="12" l="1"/>
  <c r="AN39" i="12"/>
  <c r="T114" i="12"/>
  <c r="AN17" i="12"/>
  <c r="AN16" i="12"/>
  <c r="AN36" i="12"/>
  <c r="AN72" i="12"/>
  <c r="AN100" i="12"/>
  <c r="AN18" i="12"/>
  <c r="AN85" i="12"/>
  <c r="AH114" i="12"/>
  <c r="AN25" i="12"/>
  <c r="AN24" i="12"/>
  <c r="AN68" i="12"/>
  <c r="AN64" i="12"/>
  <c r="AN105" i="12"/>
  <c r="AN92" i="12"/>
  <c r="AN45" i="12"/>
  <c r="AN50" i="12"/>
  <c r="AN62" i="12"/>
  <c r="AN56" i="12"/>
  <c r="AN58" i="12"/>
  <c r="AN76" i="12"/>
  <c r="AN77" i="12"/>
  <c r="AN80" i="12"/>
  <c r="AN82" i="12"/>
  <c r="AN108" i="12"/>
  <c r="AN66" i="12"/>
  <c r="Z13" i="12"/>
  <c r="AP41" i="11"/>
  <c r="AP54" i="11"/>
  <c r="AH113" i="11"/>
  <c r="AP46" i="11"/>
  <c r="AP90" i="11"/>
  <c r="AP26" i="11"/>
  <c r="AP25" i="11"/>
  <c r="AP15" i="11"/>
  <c r="AP35" i="11"/>
  <c r="AP78" i="11"/>
  <c r="AP73" i="11"/>
  <c r="AP13" i="11"/>
  <c r="AP19" i="11"/>
  <c r="AP22" i="11"/>
  <c r="AP66" i="11"/>
  <c r="AP47" i="11"/>
  <c r="AP69" i="11"/>
  <c r="AP60" i="11"/>
  <c r="AP107" i="11"/>
  <c r="AP111" i="11"/>
  <c r="AN34" i="12"/>
  <c r="AN33" i="12"/>
  <c r="AN15" i="12"/>
  <c r="AN89" i="12"/>
  <c r="AN96" i="12"/>
  <c r="AN109" i="12"/>
  <c r="AN88" i="12"/>
  <c r="AN91" i="12"/>
  <c r="AN87" i="12"/>
  <c r="AN90" i="12"/>
  <c r="AN86" i="12"/>
  <c r="AN20" i="12"/>
  <c r="AN27" i="12"/>
  <c r="AN40" i="12"/>
  <c r="AL114" i="12"/>
  <c r="AN41" i="12"/>
  <c r="AN30" i="12"/>
  <c r="AN104" i="12"/>
  <c r="AN44" i="12"/>
  <c r="AN95" i="12"/>
  <c r="AN99" i="12"/>
  <c r="AN73" i="12"/>
  <c r="AN98" i="12"/>
  <c r="AN94" i="12"/>
  <c r="AN47" i="12"/>
  <c r="AN43" i="12"/>
  <c r="AN32" i="12"/>
  <c r="AP114" i="12"/>
  <c r="AR14" i="12"/>
  <c r="AR114" i="12" s="1"/>
  <c r="H114" i="12"/>
  <c r="L114" i="12" s="1"/>
  <c r="L14" i="12"/>
  <c r="AT13" i="12"/>
  <c r="AN78" i="12"/>
  <c r="AB114" i="12"/>
  <c r="AN14" i="12"/>
  <c r="AN38" i="12"/>
  <c r="AN49" i="12"/>
  <c r="AN52" i="12"/>
  <c r="AN53" i="12"/>
  <c r="AN71" i="12"/>
  <c r="AN81" i="12"/>
  <c r="AN106" i="12"/>
  <c r="AN102" i="12"/>
  <c r="AN37" i="12"/>
  <c r="AJ114" i="12"/>
  <c r="R114" i="12"/>
  <c r="AN23" i="12"/>
  <c r="AD114" i="12"/>
  <c r="N114" i="12"/>
  <c r="AN55" i="12"/>
  <c r="AN57" i="12"/>
  <c r="AN60" i="12"/>
  <c r="AN61" i="12"/>
  <c r="AN79" i="12"/>
  <c r="AN83" i="12"/>
  <c r="AN107" i="12"/>
  <c r="AN110" i="12"/>
  <c r="AN21" i="12"/>
  <c r="AN26" i="12"/>
  <c r="AN46" i="12"/>
  <c r="P114" i="12"/>
  <c r="AN31" i="12"/>
  <c r="AN35" i="12"/>
  <c r="AN59" i="12"/>
  <c r="AN93" i="12"/>
  <c r="AN65" i="12"/>
  <c r="AN67" i="12"/>
  <c r="AN101" i="12"/>
  <c r="AN97" i="12"/>
  <c r="AN84" i="12"/>
  <c r="AN103" i="12"/>
  <c r="AN63" i="12"/>
  <c r="AN54" i="12"/>
  <c r="AF114" i="12"/>
  <c r="AN28" i="12"/>
  <c r="AN70" i="12"/>
  <c r="AN112" i="12"/>
  <c r="AN75" i="12"/>
  <c r="AN111" i="12"/>
  <c r="X106" i="12"/>
  <c r="X113" i="12"/>
  <c r="X105" i="12"/>
  <c r="X97" i="12"/>
  <c r="X89" i="12"/>
  <c r="X111" i="12"/>
  <c r="X103" i="12"/>
  <c r="X95" i="12"/>
  <c r="X87" i="12"/>
  <c r="X110" i="12"/>
  <c r="X109" i="12"/>
  <c r="X101" i="12"/>
  <c r="X93" i="12"/>
  <c r="X85" i="12"/>
  <c r="X108" i="12"/>
  <c r="X100" i="12"/>
  <c r="X92" i="12"/>
  <c r="X104" i="12"/>
  <c r="X84" i="12"/>
  <c r="X76" i="12"/>
  <c r="X68" i="12"/>
  <c r="X107" i="12"/>
  <c r="X88" i="12"/>
  <c r="X75" i="12"/>
  <c r="X67" i="12"/>
  <c r="X96" i="12"/>
  <c r="X83" i="12"/>
  <c r="X74" i="12"/>
  <c r="X66" i="12"/>
  <c r="X98" i="12"/>
  <c r="X86" i="12"/>
  <c r="X82" i="12"/>
  <c r="X80" i="12"/>
  <c r="X72" i="12"/>
  <c r="X99" i="12"/>
  <c r="X78" i="12"/>
  <c r="X70" i="12"/>
  <c r="X56" i="12"/>
  <c r="X91" i="12"/>
  <c r="X79" i="12"/>
  <c r="X71" i="12"/>
  <c r="X64" i="12"/>
  <c r="X63" i="12"/>
  <c r="X55" i="12"/>
  <c r="X47" i="12"/>
  <c r="X65" i="12"/>
  <c r="X61" i="12"/>
  <c r="X53" i="12"/>
  <c r="X94" i="12"/>
  <c r="X90" i="12"/>
  <c r="X60" i="12"/>
  <c r="X52" i="12"/>
  <c r="X77" i="12"/>
  <c r="X69" i="12"/>
  <c r="X59" i="12"/>
  <c r="X51" i="12"/>
  <c r="X81" i="12"/>
  <c r="X45" i="12"/>
  <c r="X41" i="12"/>
  <c r="X33" i="12"/>
  <c r="X73" i="12"/>
  <c r="X57" i="12"/>
  <c r="X50" i="12"/>
  <c r="X42" i="12"/>
  <c r="X39" i="12"/>
  <c r="X31" i="12"/>
  <c r="X62" i="12"/>
  <c r="X38" i="12"/>
  <c r="X54" i="12"/>
  <c r="X37" i="12"/>
  <c r="X30" i="12"/>
  <c r="X28" i="12"/>
  <c r="X27" i="12"/>
  <c r="X19" i="12"/>
  <c r="X112" i="12"/>
  <c r="X40" i="12"/>
  <c r="X36" i="12"/>
  <c r="X26" i="12"/>
  <c r="X18" i="12"/>
  <c r="X32" i="12"/>
  <c r="X58" i="12"/>
  <c r="X46" i="12"/>
  <c r="X35" i="12"/>
  <c r="X25" i="12"/>
  <c r="X17" i="12"/>
  <c r="X48" i="12"/>
  <c r="X102" i="12"/>
  <c r="X34" i="12"/>
  <c r="X24" i="12"/>
  <c r="X16" i="12"/>
  <c r="X23" i="12"/>
  <c r="X15" i="12"/>
  <c r="X49" i="12"/>
  <c r="X29" i="12"/>
  <c r="X22" i="12"/>
  <c r="X14" i="12"/>
  <c r="X44" i="12"/>
  <c r="X43" i="12"/>
  <c r="X21" i="12"/>
  <c r="X20" i="12"/>
  <c r="V107" i="12"/>
  <c r="V106" i="12"/>
  <c r="V98" i="12"/>
  <c r="V90" i="12"/>
  <c r="Z90" i="12" s="1"/>
  <c r="AT90" i="12" s="1"/>
  <c r="V82" i="12"/>
  <c r="Z82" i="12" s="1"/>
  <c r="V112" i="12"/>
  <c r="V104" i="12"/>
  <c r="Z104" i="12" s="1"/>
  <c r="AT104" i="12" s="1"/>
  <c r="V96" i="12"/>
  <c r="V88" i="12"/>
  <c r="V111" i="12"/>
  <c r="Z111" i="12" s="1"/>
  <c r="V110" i="12"/>
  <c r="Z110" i="12" s="1"/>
  <c r="V102" i="12"/>
  <c r="V94" i="12"/>
  <c r="Z94" i="12" s="1"/>
  <c r="AT94" i="12" s="1"/>
  <c r="V86" i="12"/>
  <c r="Z86" i="12" s="1"/>
  <c r="AT86" i="12" s="1"/>
  <c r="V109" i="12"/>
  <c r="Z109" i="12" s="1"/>
  <c r="V101" i="12"/>
  <c r="Z101" i="12" s="1"/>
  <c r="AT101" i="12" s="1"/>
  <c r="V93" i="12"/>
  <c r="Z93" i="12" s="1"/>
  <c r="V100" i="12"/>
  <c r="V89" i="12"/>
  <c r="V77" i="12"/>
  <c r="Z77" i="12" s="1"/>
  <c r="AT77" i="12" s="1"/>
  <c r="V69" i="12"/>
  <c r="V95" i="12"/>
  <c r="V84" i="12"/>
  <c r="Z84" i="12" s="1"/>
  <c r="V76" i="12"/>
  <c r="V68" i="12"/>
  <c r="Z68" i="12" s="1"/>
  <c r="AT68" i="12" s="1"/>
  <c r="V75" i="12"/>
  <c r="V67" i="12"/>
  <c r="V113" i="12"/>
  <c r="Z113" i="12" s="1"/>
  <c r="V81" i="12"/>
  <c r="V73" i="12"/>
  <c r="Z73" i="12" s="1"/>
  <c r="AT73" i="12" s="1"/>
  <c r="V57" i="12"/>
  <c r="V49" i="12"/>
  <c r="Z49" i="12" s="1"/>
  <c r="AT49" i="12" s="1"/>
  <c r="V99" i="12"/>
  <c r="Z99" i="12" s="1"/>
  <c r="AT99" i="12" s="1"/>
  <c r="V78" i="12"/>
  <c r="Z78" i="12" s="1"/>
  <c r="V70" i="12"/>
  <c r="Z70" i="12" s="1"/>
  <c r="AT70" i="12" s="1"/>
  <c r="AV70" i="12" s="1"/>
  <c r="V56" i="12"/>
  <c r="Z56" i="12" s="1"/>
  <c r="AT56" i="12" s="1"/>
  <c r="V48" i="12"/>
  <c r="V97" i="12"/>
  <c r="Z97" i="12" s="1"/>
  <c r="AT97" i="12" s="1"/>
  <c r="V74" i="12"/>
  <c r="Z74" i="12" s="1"/>
  <c r="AT74" i="12" s="1"/>
  <c r="V62" i="12"/>
  <c r="Z62" i="12" s="1"/>
  <c r="AT62" i="12" s="1"/>
  <c r="V54" i="12"/>
  <c r="Z54" i="12" s="1"/>
  <c r="V105" i="12"/>
  <c r="Z105" i="12" s="1"/>
  <c r="V85" i="12"/>
  <c r="V65" i="12"/>
  <c r="V61" i="12"/>
  <c r="V53" i="12"/>
  <c r="V45" i="12"/>
  <c r="Z45" i="12" s="1"/>
  <c r="V108" i="12"/>
  <c r="Z108" i="12" s="1"/>
  <c r="AT108" i="12" s="1"/>
  <c r="V66" i="12"/>
  <c r="Z66" i="12" s="1"/>
  <c r="AT66" i="12" s="1"/>
  <c r="V60" i="12"/>
  <c r="Z60" i="12" s="1"/>
  <c r="AT60" i="12" s="1"/>
  <c r="V52" i="12"/>
  <c r="V79" i="12"/>
  <c r="Z79" i="12" s="1"/>
  <c r="V83" i="12"/>
  <c r="Z83" i="12" s="1"/>
  <c r="V47" i="12"/>
  <c r="Z47" i="12" s="1"/>
  <c r="AT47" i="12" s="1"/>
  <c r="V34" i="12"/>
  <c r="V87" i="12"/>
  <c r="V80" i="12"/>
  <c r="V64" i="12"/>
  <c r="Z64" i="12" s="1"/>
  <c r="V59" i="12"/>
  <c r="Z59" i="12" s="1"/>
  <c r="AT59" i="12" s="1"/>
  <c r="V40" i="12"/>
  <c r="Z40" i="12" s="1"/>
  <c r="V32" i="12"/>
  <c r="Z32" i="12" s="1"/>
  <c r="AT32" i="12" s="1"/>
  <c r="V91" i="12"/>
  <c r="Z91" i="12" s="1"/>
  <c r="AT91" i="12" s="1"/>
  <c r="V72" i="12"/>
  <c r="Z72" i="12" s="1"/>
  <c r="AT72" i="12" s="1"/>
  <c r="V55" i="12"/>
  <c r="Z55" i="12" s="1"/>
  <c r="V50" i="12"/>
  <c r="Z50" i="12" s="1"/>
  <c r="AT50" i="12" s="1"/>
  <c r="V42" i="12"/>
  <c r="V39" i="12"/>
  <c r="V41" i="12"/>
  <c r="Z41" i="12" s="1"/>
  <c r="AT41" i="12" s="1"/>
  <c r="V20" i="12"/>
  <c r="Z20" i="12" s="1"/>
  <c r="AT20" i="12" s="1"/>
  <c r="V37" i="12"/>
  <c r="V30" i="12"/>
  <c r="Z30" i="12" s="1"/>
  <c r="V28" i="12"/>
  <c r="V27" i="12"/>
  <c r="V19" i="12"/>
  <c r="Z19" i="12" s="1"/>
  <c r="V36" i="12"/>
  <c r="Z36" i="12" s="1"/>
  <c r="AT36" i="12" s="1"/>
  <c r="V26" i="12"/>
  <c r="Z26" i="12" s="1"/>
  <c r="AT26" i="12" s="1"/>
  <c r="AV26" i="12" s="1"/>
  <c r="V18" i="12"/>
  <c r="V43" i="12"/>
  <c r="Z43" i="12" s="1"/>
  <c r="AT43" i="12" s="1"/>
  <c r="V58" i="12"/>
  <c r="V46" i="12"/>
  <c r="Z46" i="12" s="1"/>
  <c r="AT46" i="12" s="1"/>
  <c r="V35" i="12"/>
  <c r="Z35" i="12" s="1"/>
  <c r="V25" i="12"/>
  <c r="Z25" i="12" s="1"/>
  <c r="AT25" i="12" s="1"/>
  <c r="AV25" i="12" s="1"/>
  <c r="V17" i="12"/>
  <c r="Z17" i="12" s="1"/>
  <c r="AT17" i="12" s="1"/>
  <c r="V21" i="12"/>
  <c r="Z21" i="12" s="1"/>
  <c r="AT21" i="12" s="1"/>
  <c r="V51" i="12"/>
  <c r="Z51" i="12" s="1"/>
  <c r="V33" i="12"/>
  <c r="Z33" i="12" s="1"/>
  <c r="AT33" i="12" s="1"/>
  <c r="V31" i="12"/>
  <c r="Z31" i="12" s="1"/>
  <c r="V24" i="12"/>
  <c r="V16" i="12"/>
  <c r="Z16" i="12" s="1"/>
  <c r="AT16" i="12" s="1"/>
  <c r="V44" i="12"/>
  <c r="V103" i="12"/>
  <c r="Z103" i="12" s="1"/>
  <c r="V92" i="12"/>
  <c r="V71" i="12"/>
  <c r="Z71" i="12" s="1"/>
  <c r="AT71" i="12" s="1"/>
  <c r="V63" i="12"/>
  <c r="Z63" i="12" s="1"/>
  <c r="AT63" i="12" s="1"/>
  <c r="V38" i="12"/>
  <c r="Z38" i="12" s="1"/>
  <c r="AT38" i="12" s="1"/>
  <c r="V23" i="12"/>
  <c r="Z23" i="12" s="1"/>
  <c r="V15" i="12"/>
  <c r="Z15" i="12" s="1"/>
  <c r="AT15" i="12" s="1"/>
  <c r="V29" i="12"/>
  <c r="Z29" i="12" s="1"/>
  <c r="V22" i="12"/>
  <c r="Z22" i="12" s="1"/>
  <c r="V14" i="12"/>
  <c r="Z14" i="12" s="1"/>
  <c r="AN51" i="12"/>
  <c r="AN22" i="12"/>
  <c r="AN48" i="12"/>
  <c r="AN69" i="12"/>
  <c r="AN113" i="12"/>
  <c r="Z76" i="12"/>
  <c r="AT76" i="12" s="1"/>
  <c r="Z52" i="12"/>
  <c r="Z81" i="12"/>
  <c r="AN29" i="12"/>
  <c r="AN42" i="12"/>
  <c r="AN19" i="12"/>
  <c r="AU113" i="11"/>
  <c r="AP14" i="11"/>
  <c r="AP29" i="11"/>
  <c r="AP44" i="11"/>
  <c r="AP55" i="11"/>
  <c r="AP42" i="11"/>
  <c r="AP83" i="11"/>
  <c r="AP80" i="11"/>
  <c r="AP102" i="11"/>
  <c r="AP98" i="11"/>
  <c r="AP85" i="11"/>
  <c r="AR113" i="11"/>
  <c r="AT22" i="11"/>
  <c r="AT113" i="11" s="1"/>
  <c r="T113" i="11"/>
  <c r="R113" i="11"/>
  <c r="AP23" i="11"/>
  <c r="AL113" i="11"/>
  <c r="AP30" i="11"/>
  <c r="AP108" i="11"/>
  <c r="AP21" i="11"/>
  <c r="H113" i="11"/>
  <c r="L13" i="11"/>
  <c r="P112" i="11"/>
  <c r="P104" i="11"/>
  <c r="P110" i="11"/>
  <c r="P102" i="11"/>
  <c r="P94" i="11"/>
  <c r="P86" i="11"/>
  <c r="P109" i="11"/>
  <c r="P101" i="11"/>
  <c r="P93" i="11"/>
  <c r="P108" i="11"/>
  <c r="P100" i="11"/>
  <c r="P92" i="11"/>
  <c r="P107" i="11"/>
  <c r="P99" i="11"/>
  <c r="P91" i="11"/>
  <c r="P106" i="11"/>
  <c r="P98" i="11"/>
  <c r="P90" i="11"/>
  <c r="P82" i="11"/>
  <c r="P111" i="11"/>
  <c r="P84" i="11"/>
  <c r="P80" i="11"/>
  <c r="P77" i="11"/>
  <c r="P69" i="11"/>
  <c r="P61" i="11"/>
  <c r="P96" i="11"/>
  <c r="P76" i="11"/>
  <c r="P68" i="11"/>
  <c r="P60" i="11"/>
  <c r="P83" i="11"/>
  <c r="P81" i="11"/>
  <c r="P74" i="11"/>
  <c r="P66" i="11"/>
  <c r="P97" i="11"/>
  <c r="P72" i="11"/>
  <c r="P63" i="11"/>
  <c r="P57" i="11"/>
  <c r="P51" i="11"/>
  <c r="P43" i="11"/>
  <c r="P89" i="11"/>
  <c r="P85" i="11"/>
  <c r="P58" i="11"/>
  <c r="P50" i="11"/>
  <c r="P87" i="11"/>
  <c r="P67" i="11"/>
  <c r="P48" i="11"/>
  <c r="P40" i="11"/>
  <c r="P78" i="11"/>
  <c r="P75" i="11"/>
  <c r="P47" i="11"/>
  <c r="P45" i="11"/>
  <c r="P36" i="11"/>
  <c r="P103" i="11"/>
  <c r="P79" i="11"/>
  <c r="P73" i="11"/>
  <c r="P70" i="11"/>
  <c r="P59" i="11"/>
  <c r="P56" i="11"/>
  <c r="P52" i="11"/>
  <c r="P46" i="11"/>
  <c r="P33" i="11"/>
  <c r="P25" i="11"/>
  <c r="P19" i="11"/>
  <c r="P105" i="11"/>
  <c r="P71" i="11"/>
  <c r="P32" i="11"/>
  <c r="P24" i="11"/>
  <c r="P18" i="11"/>
  <c r="P64" i="11"/>
  <c r="P54" i="11"/>
  <c r="P44" i="11"/>
  <c r="P31" i="11"/>
  <c r="P95" i="11"/>
  <c r="P55" i="11"/>
  <c r="P42" i="11"/>
  <c r="P38" i="11"/>
  <c r="P30" i="11"/>
  <c r="P23" i="11"/>
  <c r="P16" i="11"/>
  <c r="P17" i="11"/>
  <c r="P28" i="11"/>
  <c r="P20" i="11"/>
  <c r="P15" i="11"/>
  <c r="P88" i="11"/>
  <c r="P65" i="11"/>
  <c r="P41" i="11"/>
  <c r="P34" i="11"/>
  <c r="P27" i="11"/>
  <c r="P14" i="11"/>
  <c r="P49" i="11"/>
  <c r="P39" i="11"/>
  <c r="P37" i="11"/>
  <c r="P29" i="11"/>
  <c r="P22" i="11"/>
  <c r="P26" i="11"/>
  <c r="P62" i="11"/>
  <c r="P35" i="11"/>
  <c r="P13" i="11"/>
  <c r="P53" i="11"/>
  <c r="P21" i="11"/>
  <c r="AP37" i="11"/>
  <c r="AP48" i="11"/>
  <c r="AP18" i="11"/>
  <c r="AP71" i="11"/>
  <c r="AP50" i="11"/>
  <c r="AP84" i="11"/>
  <c r="AP82" i="11"/>
  <c r="AP79" i="11"/>
  <c r="AP106" i="11"/>
  <c r="AP93" i="11"/>
  <c r="AP20" i="11"/>
  <c r="AP112" i="11"/>
  <c r="V113" i="11"/>
  <c r="AP87" i="11"/>
  <c r="AF113" i="11"/>
  <c r="AP45" i="11"/>
  <c r="AP56" i="11"/>
  <c r="AP77" i="11"/>
  <c r="AP86" i="11"/>
  <c r="AP94" i="11"/>
  <c r="AP96" i="11"/>
  <c r="AP91" i="11"/>
  <c r="AP101" i="11"/>
  <c r="Z113" i="11"/>
  <c r="AP61" i="11"/>
  <c r="AP52" i="11"/>
  <c r="AP75" i="11"/>
  <c r="AP53" i="11"/>
  <c r="AP28" i="11"/>
  <c r="X108" i="11"/>
  <c r="X106" i="11"/>
  <c r="X98" i="11"/>
  <c r="X90" i="11"/>
  <c r="X82" i="11"/>
  <c r="X105" i="11"/>
  <c r="X97" i="11"/>
  <c r="X112" i="11"/>
  <c r="X104" i="11"/>
  <c r="X96" i="11"/>
  <c r="X88" i="11"/>
  <c r="X111" i="11"/>
  <c r="X103" i="11"/>
  <c r="X95" i="11"/>
  <c r="X87" i="11"/>
  <c r="X110" i="11"/>
  <c r="X102" i="11"/>
  <c r="X94" i="11"/>
  <c r="X86" i="11"/>
  <c r="X91" i="11"/>
  <c r="X84" i="11"/>
  <c r="X80" i="11"/>
  <c r="X101" i="11"/>
  <c r="X92" i="11"/>
  <c r="X83" i="11"/>
  <c r="X81" i="11"/>
  <c r="X73" i="11"/>
  <c r="X65" i="11"/>
  <c r="X57" i="11"/>
  <c r="X107" i="11"/>
  <c r="X93" i="11"/>
  <c r="X72" i="11"/>
  <c r="X64" i="11"/>
  <c r="X109" i="11"/>
  <c r="X78" i="11"/>
  <c r="X70" i="11"/>
  <c r="X62" i="11"/>
  <c r="X100" i="11"/>
  <c r="X99" i="11"/>
  <c r="X89" i="11"/>
  <c r="X47" i="11"/>
  <c r="X39" i="11"/>
  <c r="X76" i="11"/>
  <c r="X67" i="11"/>
  <c r="X54" i="11"/>
  <c r="X75" i="11"/>
  <c r="X69" i="11"/>
  <c r="X59" i="11"/>
  <c r="X52" i="11"/>
  <c r="X44" i="11"/>
  <c r="X66" i="11"/>
  <c r="X56" i="11"/>
  <c r="X46" i="11"/>
  <c r="X32" i="11"/>
  <c r="X77" i="11"/>
  <c r="X71" i="11"/>
  <c r="X61" i="11"/>
  <c r="X55" i="11"/>
  <c r="X42" i="11"/>
  <c r="X40" i="11"/>
  <c r="X37" i="11"/>
  <c r="X29" i="11"/>
  <c r="X15" i="11"/>
  <c r="X74" i="11"/>
  <c r="X53" i="11"/>
  <c r="X36" i="11"/>
  <c r="X28" i="11"/>
  <c r="X22" i="11"/>
  <c r="X14" i="11"/>
  <c r="X68" i="11"/>
  <c r="X50" i="11"/>
  <c r="X45" i="11"/>
  <c r="X43" i="11"/>
  <c r="X35" i="11"/>
  <c r="X34" i="11"/>
  <c r="X26" i="11"/>
  <c r="X20" i="11"/>
  <c r="X60" i="11"/>
  <c r="X38" i="11"/>
  <c r="X16" i="11"/>
  <c r="X30" i="11"/>
  <c r="X27" i="11"/>
  <c r="X24" i="11"/>
  <c r="X19" i="11"/>
  <c r="X85" i="11"/>
  <c r="X41" i="11"/>
  <c r="X23" i="11"/>
  <c r="X31" i="11"/>
  <c r="X13" i="11"/>
  <c r="X63" i="11"/>
  <c r="X58" i="11"/>
  <c r="X51" i="11"/>
  <c r="X49" i="11"/>
  <c r="X21" i="11"/>
  <c r="X25" i="11"/>
  <c r="X18" i="11"/>
  <c r="X79" i="11"/>
  <c r="X17" i="11"/>
  <c r="X48" i="11"/>
  <c r="X33" i="11"/>
  <c r="AP38" i="11"/>
  <c r="AP24" i="11"/>
  <c r="AP57" i="11"/>
  <c r="AJ113" i="11"/>
  <c r="AB106" i="11"/>
  <c r="AB112" i="11"/>
  <c r="AB104" i="11"/>
  <c r="AB96" i="11"/>
  <c r="AB88" i="11"/>
  <c r="AB80" i="11"/>
  <c r="AB111" i="11"/>
  <c r="AB103" i="11"/>
  <c r="AB95" i="11"/>
  <c r="AB110" i="11"/>
  <c r="AB102" i="11"/>
  <c r="AB94" i="11"/>
  <c r="AB86" i="11"/>
  <c r="AB109" i="11"/>
  <c r="AB101" i="11"/>
  <c r="AB93" i="11"/>
  <c r="AB85" i="11"/>
  <c r="AB108" i="11"/>
  <c r="AB100" i="11"/>
  <c r="AB92" i="11"/>
  <c r="AB84" i="11"/>
  <c r="AB105" i="11"/>
  <c r="AB89" i="11"/>
  <c r="AB107" i="11"/>
  <c r="AB90" i="11"/>
  <c r="AB79" i="11"/>
  <c r="AB71" i="11"/>
  <c r="AB63" i="11"/>
  <c r="AB55" i="11"/>
  <c r="AB78" i="11"/>
  <c r="AB70" i="11"/>
  <c r="AB62" i="11"/>
  <c r="AB99" i="11"/>
  <c r="AB97" i="11"/>
  <c r="AB91" i="11"/>
  <c r="AB87" i="11"/>
  <c r="AB82" i="11"/>
  <c r="AB76" i="11"/>
  <c r="AB68" i="11"/>
  <c r="AB98" i="11"/>
  <c r="AB66" i="11"/>
  <c r="AB53" i="11"/>
  <c r="AB45" i="11"/>
  <c r="AB75" i="11"/>
  <c r="AB61" i="11"/>
  <c r="AB59" i="11"/>
  <c r="AB56" i="11"/>
  <c r="AB52" i="11"/>
  <c r="AB64" i="11"/>
  <c r="AB57" i="11"/>
  <c r="AB50" i="11"/>
  <c r="AB42" i="11"/>
  <c r="AB73" i="11"/>
  <c r="AB60" i="11"/>
  <c r="AB51" i="11"/>
  <c r="AB44" i="11"/>
  <c r="AB30" i="11"/>
  <c r="AB83" i="11"/>
  <c r="AB74" i="11"/>
  <c r="AB35" i="11"/>
  <c r="AB27" i="11"/>
  <c r="AB21" i="11"/>
  <c r="AB13" i="11"/>
  <c r="AB47" i="11"/>
  <c r="AB43" i="11"/>
  <c r="AB34" i="11"/>
  <c r="AB26" i="11"/>
  <c r="AB20" i="11"/>
  <c r="AB72" i="11"/>
  <c r="AB69" i="11"/>
  <c r="AB65" i="11"/>
  <c r="AB49" i="11"/>
  <c r="AB41" i="11"/>
  <c r="AB33" i="11"/>
  <c r="AB81" i="11"/>
  <c r="AB39" i="11"/>
  <c r="AB32" i="11"/>
  <c r="AB24" i="11"/>
  <c r="AB18" i="11"/>
  <c r="AB77" i="11"/>
  <c r="AB28" i="11"/>
  <c r="AB23" i="11"/>
  <c r="AB19" i="11"/>
  <c r="AB15" i="11"/>
  <c r="AB14" i="11"/>
  <c r="AB31" i="11"/>
  <c r="AB22" i="11"/>
  <c r="AB67" i="11"/>
  <c r="AB58" i="11"/>
  <c r="AB54" i="11"/>
  <c r="AB37" i="11"/>
  <c r="AB29" i="11"/>
  <c r="AB25" i="11"/>
  <c r="AB48" i="11"/>
  <c r="AB17" i="11"/>
  <c r="AB36" i="11"/>
  <c r="AB46" i="11"/>
  <c r="AB40" i="11"/>
  <c r="AB16" i="11"/>
  <c r="AB38" i="11"/>
  <c r="AP51" i="11"/>
  <c r="AP63" i="11"/>
  <c r="AP32" i="11"/>
  <c r="AP39" i="11"/>
  <c r="AP64" i="11"/>
  <c r="AP88" i="11"/>
  <c r="AP103" i="11"/>
  <c r="AP81" i="11"/>
  <c r="AP99" i="11"/>
  <c r="AP109" i="11"/>
  <c r="AP36" i="11"/>
  <c r="AP27" i="11"/>
  <c r="N105" i="11"/>
  <c r="N111" i="11"/>
  <c r="N103" i="11"/>
  <c r="N95" i="11"/>
  <c r="N87" i="11"/>
  <c r="N110" i="11"/>
  <c r="N102" i="11"/>
  <c r="N94" i="11"/>
  <c r="N109" i="11"/>
  <c r="N101" i="11"/>
  <c r="N93" i="11"/>
  <c r="N85" i="11"/>
  <c r="N108" i="11"/>
  <c r="N100" i="11"/>
  <c r="N92" i="11"/>
  <c r="N84" i="11"/>
  <c r="N107" i="11"/>
  <c r="N99" i="11"/>
  <c r="N91" i="11"/>
  <c r="AD91" i="11" s="1"/>
  <c r="AV91" i="11" s="1"/>
  <c r="N83" i="11"/>
  <c r="N106" i="11"/>
  <c r="N97" i="11"/>
  <c r="N89" i="11"/>
  <c r="N88" i="11"/>
  <c r="N82" i="11"/>
  <c r="N78" i="11"/>
  <c r="N70" i="11"/>
  <c r="N62" i="11"/>
  <c r="N104" i="11"/>
  <c r="N98" i="11"/>
  <c r="N80" i="11"/>
  <c r="N77" i="11"/>
  <c r="N69" i="11"/>
  <c r="N61" i="11"/>
  <c r="N112" i="11"/>
  <c r="N96" i="11"/>
  <c r="N90" i="11"/>
  <c r="N75" i="11"/>
  <c r="N67" i="11"/>
  <c r="N73" i="11"/>
  <c r="N52" i="11"/>
  <c r="N44" i="11"/>
  <c r="N72" i="11"/>
  <c r="N63" i="11"/>
  <c r="N57" i="11"/>
  <c r="N51" i="11"/>
  <c r="AD51" i="11" s="1"/>
  <c r="N71" i="11"/>
  <c r="N49" i="11"/>
  <c r="N41" i="11"/>
  <c r="N65" i="11"/>
  <c r="N53" i="11"/>
  <c r="N50" i="11"/>
  <c r="N37" i="11"/>
  <c r="N29" i="11"/>
  <c r="AD29" i="11" s="1"/>
  <c r="AV29" i="11" s="1"/>
  <c r="AX29" i="11" s="1"/>
  <c r="N60" i="11"/>
  <c r="N58" i="11"/>
  <c r="N39" i="11"/>
  <c r="N34" i="11"/>
  <c r="N26" i="11"/>
  <c r="N20" i="11"/>
  <c r="N79" i="11"/>
  <c r="N59" i="11"/>
  <c r="N56" i="11"/>
  <c r="N48" i="11"/>
  <c r="N46" i="11"/>
  <c r="N33" i="11"/>
  <c r="N25" i="11"/>
  <c r="AD25" i="11" s="1"/>
  <c r="N19" i="11"/>
  <c r="N32" i="11"/>
  <c r="N74" i="11"/>
  <c r="N68" i="11"/>
  <c r="N64" i="11"/>
  <c r="N54" i="11"/>
  <c r="N40" i="11"/>
  <c r="N31" i="11"/>
  <c r="N17" i="11"/>
  <c r="N21" i="11"/>
  <c r="N18" i="11"/>
  <c r="N38" i="11"/>
  <c r="N36" i="11"/>
  <c r="N16" i="11"/>
  <c r="N86" i="11"/>
  <c r="N76" i="11"/>
  <c r="N55" i="11"/>
  <c r="N30" i="11"/>
  <c r="N66" i="11"/>
  <c r="N43" i="11"/>
  <c r="N28" i="11"/>
  <c r="AD12" i="11"/>
  <c r="AV12" i="11" s="1"/>
  <c r="N24" i="11"/>
  <c r="N23" i="11"/>
  <c r="N15" i="11"/>
  <c r="AD15" i="11" s="1"/>
  <c r="AV15" i="11" s="1"/>
  <c r="N47" i="11"/>
  <c r="N45" i="11"/>
  <c r="N27" i="11"/>
  <c r="N14" i="11"/>
  <c r="AD14" i="11" s="1"/>
  <c r="N42" i="11"/>
  <c r="N81" i="11"/>
  <c r="N22" i="11"/>
  <c r="AD22" i="11" s="1"/>
  <c r="AV22" i="11" s="1"/>
  <c r="N35" i="11"/>
  <c r="N13" i="11"/>
  <c r="AP17" i="11"/>
  <c r="AP62" i="11"/>
  <c r="AP95" i="11"/>
  <c r="AP89" i="11"/>
  <c r="AN113" i="11"/>
  <c r="AV51" i="11"/>
  <c r="AP70" i="11"/>
  <c r="AP72" i="11"/>
  <c r="AP74" i="11"/>
  <c r="AP68" i="11"/>
  <c r="AP33" i="11"/>
  <c r="AP31" i="11"/>
  <c r="AP49" i="11"/>
  <c r="AP59" i="11"/>
  <c r="AP97" i="11"/>
  <c r="AP92" i="11"/>
  <c r="AP110" i="11"/>
  <c r="AP104" i="11"/>
  <c r="AP58" i="11"/>
  <c r="AP65" i="11"/>
  <c r="AP67" i="11"/>
  <c r="AP76" i="11"/>
  <c r="AP105" i="11"/>
  <c r="AP100" i="11"/>
  <c r="AP40" i="11"/>
  <c r="AP16" i="11"/>
  <c r="AP34" i="11"/>
  <c r="AD46" i="5"/>
  <c r="AG46" i="5" s="1"/>
  <c r="R46" i="5"/>
  <c r="O64" i="5"/>
  <c r="E63" i="5"/>
  <c r="L42" i="5"/>
  <c r="Q42" i="5" s="1"/>
  <c r="P42" i="5"/>
  <c r="AE42" i="5" s="1"/>
  <c r="U53" i="5"/>
  <c r="V48" i="5"/>
  <c r="Z36" i="5"/>
  <c r="Z33" i="5"/>
  <c r="AB33" i="5" s="1"/>
  <c r="AE32" i="5"/>
  <c r="Z38" i="5"/>
  <c r="X72" i="5"/>
  <c r="X71" i="5"/>
  <c r="J57" i="5"/>
  <c r="O15" i="5"/>
  <c r="R37" i="5"/>
  <c r="AD37" i="5"/>
  <c r="T57" i="5"/>
  <c r="W57" i="5" s="1"/>
  <c r="V15" i="5"/>
  <c r="W15" i="5"/>
  <c r="Q32" i="5"/>
  <c r="L38" i="5"/>
  <c r="N62" i="5"/>
  <c r="D61" i="5"/>
  <c r="D65" i="5" s="1"/>
  <c r="D67" i="5" s="1"/>
  <c r="H18" i="5"/>
  <c r="E25" i="5"/>
  <c r="E56" i="5"/>
  <c r="AD7" i="5"/>
  <c r="R7" i="5"/>
  <c r="H21" i="5"/>
  <c r="AG5" i="5"/>
  <c r="AC15" i="5"/>
  <c r="N57" i="5"/>
  <c r="AC57" i="5" s="1"/>
  <c r="R45" i="5"/>
  <c r="AD45" i="5"/>
  <c r="W56" i="5"/>
  <c r="AD49" i="5"/>
  <c r="AG49" i="5" s="1"/>
  <c r="R49" i="5"/>
  <c r="N54" i="5"/>
  <c r="AC54" i="5" s="1"/>
  <c r="AC38" i="5"/>
  <c r="R52" i="5"/>
  <c r="AD52" i="5"/>
  <c r="AG52" i="5" s="1"/>
  <c r="AD53" i="5"/>
  <c r="AD30" i="5"/>
  <c r="R30" i="5"/>
  <c r="N56" i="5"/>
  <c r="AC10" i="5"/>
  <c r="F24" i="5"/>
  <c r="G17" i="5"/>
  <c r="Q17" i="5" s="1"/>
  <c r="L14" i="5"/>
  <c r="Q14" i="5" s="1"/>
  <c r="P14" i="5"/>
  <c r="O38" i="5"/>
  <c r="AD32" i="5"/>
  <c r="R32" i="5"/>
  <c r="D63" i="5"/>
  <c r="N64" i="5"/>
  <c r="P22" i="5"/>
  <c r="AB43" i="5"/>
  <c r="AA43" i="5"/>
  <c r="P17" i="5"/>
  <c r="AE17" i="5" s="1"/>
  <c r="AF17" i="5" s="1"/>
  <c r="AD33" i="5"/>
  <c r="R33" i="5"/>
  <c r="V40" i="5"/>
  <c r="U43" i="5"/>
  <c r="L40" i="5"/>
  <c r="Q40" i="5" s="1"/>
  <c r="K43" i="5"/>
  <c r="P40" i="5"/>
  <c r="AD42" i="5"/>
  <c r="AG42" i="5" s="1"/>
  <c r="R42" i="5"/>
  <c r="P52" i="5"/>
  <c r="AE52" i="5" s="1"/>
  <c r="L52" i="5"/>
  <c r="Q52" i="5" s="1"/>
  <c r="J62" i="5"/>
  <c r="J61" i="5" s="1"/>
  <c r="E58" i="5"/>
  <c r="H24" i="5"/>
  <c r="T25" i="5"/>
  <c r="P13" i="5"/>
  <c r="L13" i="5"/>
  <c r="Q13" i="5" s="1"/>
  <c r="I65" i="5"/>
  <c r="I67" i="5" s="1"/>
  <c r="AD17" i="5"/>
  <c r="AD9" i="5"/>
  <c r="AF51" i="5"/>
  <c r="AF34" i="5"/>
  <c r="F57" i="5"/>
  <c r="H57" i="5" s="1"/>
  <c r="H15" i="5"/>
  <c r="G15" i="5"/>
  <c r="G57" i="5" s="1"/>
  <c r="AD50" i="5"/>
  <c r="AG50" i="5" s="1"/>
  <c r="R50" i="5"/>
  <c r="O62" i="5"/>
  <c r="E61" i="5"/>
  <c r="E65" i="5" s="1"/>
  <c r="AD18" i="5"/>
  <c r="Q48" i="5"/>
  <c r="L49" i="5"/>
  <c r="Q49" i="5" s="1"/>
  <c r="P49" i="5"/>
  <c r="AE49" i="5" s="1"/>
  <c r="E54" i="5"/>
  <c r="H38" i="5"/>
  <c r="Q33" i="5"/>
  <c r="J64" i="5"/>
  <c r="J63" i="5" s="1"/>
  <c r="J54" i="5"/>
  <c r="M38" i="5"/>
  <c r="P62" i="5"/>
  <c r="F61" i="5"/>
  <c r="F65" i="5" s="1"/>
  <c r="H17" i="5"/>
  <c r="L12" i="5"/>
  <c r="Q12" i="5" s="1"/>
  <c r="K15" i="5"/>
  <c r="P12" i="5"/>
  <c r="AE12" i="5" s="1"/>
  <c r="AF12" i="5" s="1"/>
  <c r="P9" i="5"/>
  <c r="AE9" i="5" s="1"/>
  <c r="AF9" i="5" s="1"/>
  <c r="G9" i="5"/>
  <c r="Q9" i="5" s="1"/>
  <c r="H9" i="5"/>
  <c r="L53" i="5"/>
  <c r="AA25" i="5"/>
  <c r="P36" i="5"/>
  <c r="AE33" i="5"/>
  <c r="AF33" i="5" s="1"/>
  <c r="V56" i="5"/>
  <c r="P8" i="5"/>
  <c r="AE8" i="5" s="1"/>
  <c r="AF8" i="5" s="1"/>
  <c r="F10" i="5"/>
  <c r="G8" i="5"/>
  <c r="Q8" i="5" s="1"/>
  <c r="L50" i="5"/>
  <c r="Q50" i="5" s="1"/>
  <c r="P50" i="5"/>
  <c r="AE50" i="5" s="1"/>
  <c r="P48" i="5"/>
  <c r="AE48" i="5" s="1"/>
  <c r="L18" i="5"/>
  <c r="Q18" i="5" s="1"/>
  <c r="P18" i="5"/>
  <c r="AE18" i="5" s="1"/>
  <c r="AF18" i="5" s="1"/>
  <c r="M18" i="5"/>
  <c r="K24" i="5"/>
  <c r="K65" i="5"/>
  <c r="G19" i="5"/>
  <c r="Q19" i="5" s="1"/>
  <c r="P19" i="5"/>
  <c r="AE19" i="5" s="1"/>
  <c r="AF19" i="5" s="1"/>
  <c r="AA57" i="5"/>
  <c r="J56" i="5"/>
  <c r="O24" i="5"/>
  <c r="AF46" i="5"/>
  <c r="O25" i="5"/>
  <c r="G47" i="5"/>
  <c r="Q47" i="5" s="1"/>
  <c r="F53" i="5"/>
  <c r="P47" i="5"/>
  <c r="AE47" i="5" s="1"/>
  <c r="AF47" i="5" s="1"/>
  <c r="H53" i="5"/>
  <c r="AB53" i="5"/>
  <c r="W38" i="5"/>
  <c r="T54" i="5"/>
  <c r="W54" i="5" s="1"/>
  <c r="U54" i="5"/>
  <c r="P64" i="5"/>
  <c r="F63" i="5"/>
  <c r="AD10" i="5"/>
  <c r="P20" i="5"/>
  <c r="L20" i="5"/>
  <c r="Q20" i="5" s="1"/>
  <c r="AD8" i="5"/>
  <c r="R8" i="5"/>
  <c r="T58" i="5"/>
  <c r="W58" i="5" s="1"/>
  <c r="AB24" i="5"/>
  <c r="Y58" i="5"/>
  <c r="AB58" i="5" s="1"/>
  <c r="P21" i="5"/>
  <c r="L21" i="5"/>
  <c r="Q21" i="5" s="1"/>
  <c r="M14" i="5"/>
  <c r="M13" i="5"/>
  <c r="Y59" i="5"/>
  <c r="AT103" i="12" l="1"/>
  <c r="AT105" i="12"/>
  <c r="AT111" i="12"/>
  <c r="AT35" i="12"/>
  <c r="AT23" i="12"/>
  <c r="AT51" i="12"/>
  <c r="AT83" i="12"/>
  <c r="Z75" i="12"/>
  <c r="Z106" i="12"/>
  <c r="AT106" i="12" s="1"/>
  <c r="Z37" i="12"/>
  <c r="AT37" i="12" s="1"/>
  <c r="Z53" i="12"/>
  <c r="AT53" i="12" s="1"/>
  <c r="Z95" i="12"/>
  <c r="AT95" i="12" s="1"/>
  <c r="Z92" i="12"/>
  <c r="AT92" i="12" s="1"/>
  <c r="Z39" i="12"/>
  <c r="AT39" i="12" s="1"/>
  <c r="Z85" i="12"/>
  <c r="AT85" i="12" s="1"/>
  <c r="Z67" i="12"/>
  <c r="AT67" i="12" s="1"/>
  <c r="Z98" i="12"/>
  <c r="AT98" i="12" s="1"/>
  <c r="Z44" i="12"/>
  <c r="AT44" i="12" s="1"/>
  <c r="Z27" i="12"/>
  <c r="AT27" i="12" s="1"/>
  <c r="AV27" i="12" s="1"/>
  <c r="Z80" i="12"/>
  <c r="AT80" i="12" s="1"/>
  <c r="Z88" i="12"/>
  <c r="AT88" i="12" s="1"/>
  <c r="Z107" i="12"/>
  <c r="AT107" i="12" s="1"/>
  <c r="Z42" i="12"/>
  <c r="Z100" i="12"/>
  <c r="AT100" i="12" s="1"/>
  <c r="Z24" i="12"/>
  <c r="AT24" i="12" s="1"/>
  <c r="Z28" i="12"/>
  <c r="AT28" i="12" s="1"/>
  <c r="Z87" i="12"/>
  <c r="Z96" i="12"/>
  <c r="AT96" i="12" s="1"/>
  <c r="Z58" i="12"/>
  <c r="AT58" i="12" s="1"/>
  <c r="Z34" i="12"/>
  <c r="AT34" i="12" s="1"/>
  <c r="Z57" i="12"/>
  <c r="AT57" i="12" s="1"/>
  <c r="AT22" i="12"/>
  <c r="AT110" i="12"/>
  <c r="AT55" i="12"/>
  <c r="AT52" i="12"/>
  <c r="AT79" i="12"/>
  <c r="AT113" i="12"/>
  <c r="AT29" i="12"/>
  <c r="AV29" i="12" s="1"/>
  <c r="AT19" i="12"/>
  <c r="AT42" i="12"/>
  <c r="AT64" i="12"/>
  <c r="AT78" i="12"/>
  <c r="AT75" i="12"/>
  <c r="AT54" i="12"/>
  <c r="AT93" i="12"/>
  <c r="AT87" i="12"/>
  <c r="AT40" i="12"/>
  <c r="AT31" i="12"/>
  <c r="AT30" i="12"/>
  <c r="AT45" i="12"/>
  <c r="AT84" i="12"/>
  <c r="AT109" i="12"/>
  <c r="AT81" i="12"/>
  <c r="AT82" i="12"/>
  <c r="Z112" i="12"/>
  <c r="AT112" i="12" s="1"/>
  <c r="Z102" i="12"/>
  <c r="AT102" i="12" s="1"/>
  <c r="Z18" i="12"/>
  <c r="AT18" i="12" s="1"/>
  <c r="Z61" i="12"/>
  <c r="AT61" i="12" s="1"/>
  <c r="Z48" i="12"/>
  <c r="AT48" i="12" s="1"/>
  <c r="AV48" i="12" s="1"/>
  <c r="Z69" i="12"/>
  <c r="AT69" i="12" s="1"/>
  <c r="Z65" i="12"/>
  <c r="AT65" i="12" s="1"/>
  <c r="Z89" i="12"/>
  <c r="AT89" i="12" s="1"/>
  <c r="AD100" i="11"/>
  <c r="AV100" i="11" s="1"/>
  <c r="AD50" i="11"/>
  <c r="AV50" i="11" s="1"/>
  <c r="AV25" i="11"/>
  <c r="AX25" i="11" s="1"/>
  <c r="AD75" i="11"/>
  <c r="AV75" i="11" s="1"/>
  <c r="AD45" i="11"/>
  <c r="AD32" i="11"/>
  <c r="AV32" i="11" s="1"/>
  <c r="AD66" i="11"/>
  <c r="AV66" i="11" s="1"/>
  <c r="AD20" i="11"/>
  <c r="AV20" i="11" s="1"/>
  <c r="AD59" i="11"/>
  <c r="AV59" i="11" s="1"/>
  <c r="AD98" i="11"/>
  <c r="AV98" i="11" s="1"/>
  <c r="AD47" i="11"/>
  <c r="AV47" i="11" s="1"/>
  <c r="AD30" i="11"/>
  <c r="AD104" i="11"/>
  <c r="AV104" i="11" s="1"/>
  <c r="AD74" i="11"/>
  <c r="AV74" i="11" s="1"/>
  <c r="AD70" i="11"/>
  <c r="AV70" i="11" s="1"/>
  <c r="AX70" i="11" s="1"/>
  <c r="AD31" i="11"/>
  <c r="AV31" i="11" s="1"/>
  <c r="AD72" i="11"/>
  <c r="AV72" i="11" s="1"/>
  <c r="AP113" i="11"/>
  <c r="AV14" i="11"/>
  <c r="AV45" i="11"/>
  <c r="AV30" i="11"/>
  <c r="AD38" i="11"/>
  <c r="AV38" i="11" s="1"/>
  <c r="AD18" i="11"/>
  <c r="AV18" i="11" s="1"/>
  <c r="AD97" i="11"/>
  <c r="AV97" i="11" s="1"/>
  <c r="AD110" i="11"/>
  <c r="AV110" i="11" s="1"/>
  <c r="AD21" i="11"/>
  <c r="AV21" i="11" s="1"/>
  <c r="AD79" i="11"/>
  <c r="AV79" i="11" s="1"/>
  <c r="AD37" i="11"/>
  <c r="AV37" i="11" s="1"/>
  <c r="AD57" i="11"/>
  <c r="AV57" i="11" s="1"/>
  <c r="AD106" i="11"/>
  <c r="AV106" i="11" s="1"/>
  <c r="AD108" i="11"/>
  <c r="AV108" i="11" s="1"/>
  <c r="AD87" i="11"/>
  <c r="AV87" i="11" s="1"/>
  <c r="AD83" i="11"/>
  <c r="AV83" i="11" s="1"/>
  <c r="AD112" i="11"/>
  <c r="AV112" i="11" s="1"/>
  <c r="AD23" i="11"/>
  <c r="AV23" i="11" s="1"/>
  <c r="AD53" i="11"/>
  <c r="AV53" i="11" s="1"/>
  <c r="AN114" i="12"/>
  <c r="AT14" i="12"/>
  <c r="V114" i="12"/>
  <c r="X114" i="12"/>
  <c r="AD90" i="11"/>
  <c r="AV90" i="11" s="1"/>
  <c r="AD103" i="11"/>
  <c r="AV103" i="11" s="1"/>
  <c r="AD81" i="11"/>
  <c r="AV81" i="11" s="1"/>
  <c r="AD24" i="11"/>
  <c r="AV24" i="11" s="1"/>
  <c r="AD86" i="11"/>
  <c r="AV86" i="11" s="1"/>
  <c r="AD40" i="11"/>
  <c r="AV40" i="11" s="1"/>
  <c r="AD33" i="11"/>
  <c r="AV33" i="11" s="1"/>
  <c r="AD34" i="11"/>
  <c r="AV34" i="11" s="1"/>
  <c r="AD65" i="11"/>
  <c r="AV65" i="11" s="1"/>
  <c r="AD44" i="11"/>
  <c r="AV44" i="11" s="1"/>
  <c r="AD61" i="11"/>
  <c r="AV61" i="11" s="1"/>
  <c r="AD78" i="11"/>
  <c r="AV78" i="11" s="1"/>
  <c r="AD99" i="11"/>
  <c r="AV99" i="11" s="1"/>
  <c r="AD101" i="11"/>
  <c r="AV101" i="11" s="1"/>
  <c r="AD111" i="11"/>
  <c r="AV111" i="11" s="1"/>
  <c r="AD93" i="11"/>
  <c r="AV93" i="11" s="1"/>
  <c r="AD42" i="11"/>
  <c r="AV42" i="11" s="1"/>
  <c r="AD16" i="11"/>
  <c r="AV16" i="11" s="1"/>
  <c r="AD54" i="11"/>
  <c r="AV54" i="11" s="1"/>
  <c r="AD46" i="11"/>
  <c r="AV46" i="11" s="1"/>
  <c r="AD39" i="11"/>
  <c r="AV39" i="11" s="1"/>
  <c r="AD41" i="11"/>
  <c r="AV41" i="11" s="1"/>
  <c r="AD52" i="11"/>
  <c r="AV52" i="11" s="1"/>
  <c r="AD69" i="11"/>
  <c r="AV69" i="11" s="1"/>
  <c r="AD82" i="11"/>
  <c r="AV82" i="11" s="1"/>
  <c r="AD107" i="11"/>
  <c r="AV107" i="11" s="1"/>
  <c r="AD109" i="11"/>
  <c r="AV109" i="11" s="1"/>
  <c r="AD105" i="11"/>
  <c r="AV105" i="11" s="1"/>
  <c r="AD76" i="11"/>
  <c r="AV76" i="11" s="1"/>
  <c r="AD26" i="11"/>
  <c r="AV26" i="11" s="1"/>
  <c r="AX26" i="11" s="1"/>
  <c r="AD36" i="11"/>
  <c r="AV36" i="11" s="1"/>
  <c r="AD48" i="11"/>
  <c r="AV48" i="11" s="1"/>
  <c r="AX48" i="11" s="1"/>
  <c r="AD49" i="11"/>
  <c r="AV49" i="11" s="1"/>
  <c r="AD77" i="11"/>
  <c r="AV77" i="11" s="1"/>
  <c r="AD84" i="11"/>
  <c r="AV84" i="11" s="1"/>
  <c r="P113" i="11"/>
  <c r="N113" i="11"/>
  <c r="AD13" i="11"/>
  <c r="AV13" i="11" s="1"/>
  <c r="AD28" i="11"/>
  <c r="AV28" i="11" s="1"/>
  <c r="AD64" i="11"/>
  <c r="AV64" i="11" s="1"/>
  <c r="AD58" i="11"/>
  <c r="AV58" i="11" s="1"/>
  <c r="AD73" i="11"/>
  <c r="AV73" i="11" s="1"/>
  <c r="AD88" i="11"/>
  <c r="AV88" i="11" s="1"/>
  <c r="AD94" i="11"/>
  <c r="AV94" i="11" s="1"/>
  <c r="AD27" i="11"/>
  <c r="AV27" i="11" s="1"/>
  <c r="AX27" i="11" s="1"/>
  <c r="AD43" i="11"/>
  <c r="AV43" i="11" s="1"/>
  <c r="AD68" i="11"/>
  <c r="AV68" i="11" s="1"/>
  <c r="AD56" i="11"/>
  <c r="AV56" i="11" s="1"/>
  <c r="AD60" i="11"/>
  <c r="AV60" i="11" s="1"/>
  <c r="AD71" i="11"/>
  <c r="AV71" i="11" s="1"/>
  <c r="AD67" i="11"/>
  <c r="AV67" i="11" s="1"/>
  <c r="AD80" i="11"/>
  <c r="AV80" i="11" s="1"/>
  <c r="AD89" i="11"/>
  <c r="AV89" i="11" s="1"/>
  <c r="AD92" i="11"/>
  <c r="AV92" i="11" s="1"/>
  <c r="AD102" i="11"/>
  <c r="AV102" i="11" s="1"/>
  <c r="L113" i="11"/>
  <c r="AD35" i="11"/>
  <c r="AV35" i="11" s="1"/>
  <c r="AD55" i="11"/>
  <c r="AV55" i="11" s="1"/>
  <c r="AD17" i="11"/>
  <c r="AV17" i="11" s="1"/>
  <c r="AD19" i="11"/>
  <c r="AV19" i="11" s="1"/>
  <c r="AD63" i="11"/>
  <c r="AV63" i="11" s="1"/>
  <c r="AD96" i="11"/>
  <c r="AV96" i="11" s="1"/>
  <c r="AD62" i="11"/>
  <c r="AV62" i="11" s="1"/>
  <c r="AD85" i="11"/>
  <c r="AV85" i="11" s="1"/>
  <c r="AD95" i="11"/>
  <c r="AV95" i="11" s="1"/>
  <c r="AB113" i="11"/>
  <c r="X113" i="11"/>
  <c r="I69" i="5"/>
  <c r="I70" i="5" s="1"/>
  <c r="O54" i="5"/>
  <c r="AD38" i="5"/>
  <c r="R38" i="5"/>
  <c r="AG30" i="5"/>
  <c r="AF30" i="5"/>
  <c r="O56" i="5"/>
  <c r="AE40" i="5"/>
  <c r="R40" i="5"/>
  <c r="AC62" i="5"/>
  <c r="N61" i="5"/>
  <c r="O57" i="5"/>
  <c r="AD15" i="5"/>
  <c r="R15" i="5"/>
  <c r="AE36" i="5"/>
  <c r="AF32" i="5"/>
  <c r="K57" i="5"/>
  <c r="L15" i="5"/>
  <c r="P15" i="5"/>
  <c r="K25" i="5"/>
  <c r="Z54" i="5"/>
  <c r="Z56" i="5"/>
  <c r="AB38" i="5"/>
  <c r="O63" i="5"/>
  <c r="AD63" i="5" s="1"/>
  <c r="AD64" i="5"/>
  <c r="AG8" i="5"/>
  <c r="J59" i="5"/>
  <c r="M56" i="5"/>
  <c r="R9" i="5"/>
  <c r="L43" i="5"/>
  <c r="Q43" i="5" s="1"/>
  <c r="P43" i="5"/>
  <c r="K54" i="5"/>
  <c r="M43" i="5"/>
  <c r="L56" i="5"/>
  <c r="M15" i="5"/>
  <c r="D70" i="5"/>
  <c r="D69" i="5"/>
  <c r="O61" i="5"/>
  <c r="AD62" i="5"/>
  <c r="AE64" i="5"/>
  <c r="P63" i="5"/>
  <c r="AE63" i="5" s="1"/>
  <c r="AF48" i="5"/>
  <c r="AG48" i="5"/>
  <c r="F67" i="5"/>
  <c r="AF49" i="5"/>
  <c r="AG9" i="5"/>
  <c r="AE22" i="5"/>
  <c r="R22" i="5"/>
  <c r="AG45" i="5"/>
  <c r="AF45" i="5"/>
  <c r="AG7" i="5"/>
  <c r="AF7" i="5"/>
  <c r="Q38" i="5"/>
  <c r="M57" i="5"/>
  <c r="AE14" i="5"/>
  <c r="R14" i="5"/>
  <c r="G53" i="5"/>
  <c r="G54" i="5" s="1"/>
  <c r="F54" i="5"/>
  <c r="H54" i="5" s="1"/>
  <c r="AE62" i="5"/>
  <c r="P61" i="5"/>
  <c r="R17" i="5"/>
  <c r="J65" i="5"/>
  <c r="V43" i="5"/>
  <c r="U57" i="5"/>
  <c r="AC64" i="5"/>
  <c r="N63" i="5"/>
  <c r="AC63" i="5" s="1"/>
  <c r="G24" i="5"/>
  <c r="G58" i="5" s="1"/>
  <c r="F58" i="5"/>
  <c r="H58" i="5" s="1"/>
  <c r="E59" i="5"/>
  <c r="AA58" i="5"/>
  <c r="F25" i="5"/>
  <c r="G25" i="5" s="1"/>
  <c r="F56" i="5"/>
  <c r="F59" i="5" s="1"/>
  <c r="G10" i="5"/>
  <c r="P10" i="5"/>
  <c r="W25" i="5"/>
  <c r="V25" i="5"/>
  <c r="AE21" i="5"/>
  <c r="R21" i="5"/>
  <c r="V54" i="5"/>
  <c r="AF50" i="5"/>
  <c r="AG17" i="5"/>
  <c r="H10" i="5"/>
  <c r="V53" i="5"/>
  <c r="U58" i="5"/>
  <c r="V58" i="5" s="1"/>
  <c r="T59" i="5"/>
  <c r="AE20" i="5"/>
  <c r="R20" i="5"/>
  <c r="AD25" i="5"/>
  <c r="M54" i="5"/>
  <c r="AG18" i="5"/>
  <c r="AF52" i="5"/>
  <c r="N59" i="5"/>
  <c r="AC56" i="5"/>
  <c r="H25" i="5"/>
  <c r="AF42" i="5"/>
  <c r="AE38" i="5"/>
  <c r="AF38" i="5" s="1"/>
  <c r="Q53" i="5"/>
  <c r="AE13" i="5"/>
  <c r="R13" i="5"/>
  <c r="Y67" i="5"/>
  <c r="Y70" i="5" s="1"/>
  <c r="O58" i="5"/>
  <c r="AD24" i="5"/>
  <c r="K58" i="5"/>
  <c r="M58" i="5" s="1"/>
  <c r="L24" i="5"/>
  <c r="P24" i="5"/>
  <c r="M24" i="5"/>
  <c r="P53" i="5"/>
  <c r="R18" i="5"/>
  <c r="AG33" i="5"/>
  <c r="AG32" i="5"/>
  <c r="AG37" i="5"/>
  <c r="AF37" i="5"/>
  <c r="AV114" i="12" l="1"/>
  <c r="AT114" i="12"/>
  <c r="Z114" i="12"/>
  <c r="AX113" i="11"/>
  <c r="AX114" i="11" s="1"/>
  <c r="AD113" i="11"/>
  <c r="AV113" i="11"/>
  <c r="I71" i="5"/>
  <c r="I72" i="5" s="1"/>
  <c r="F69" i="5"/>
  <c r="F70" i="5" s="1"/>
  <c r="AD58" i="5"/>
  <c r="AA56" i="5"/>
  <c r="Z59" i="5"/>
  <c r="AB56" i="5"/>
  <c r="G56" i="5"/>
  <c r="G59" i="5" s="1"/>
  <c r="Q10" i="5"/>
  <c r="Q56" i="5" s="1"/>
  <c r="AA54" i="5"/>
  <c r="AB54" i="5"/>
  <c r="D71" i="5"/>
  <c r="D72" i="5" s="1"/>
  <c r="Y71" i="5"/>
  <c r="AC59" i="5"/>
  <c r="AC67" i="5" s="1"/>
  <c r="N67" i="5"/>
  <c r="AF20" i="5"/>
  <c r="AG20" i="5"/>
  <c r="V57" i="5"/>
  <c r="U59" i="5"/>
  <c r="L54" i="5"/>
  <c r="P25" i="5"/>
  <c r="L25" i="5"/>
  <c r="Q25" i="5" s="1"/>
  <c r="M25" i="5"/>
  <c r="AD57" i="5"/>
  <c r="AG57" i="5" s="1"/>
  <c r="AE53" i="5"/>
  <c r="R53" i="5"/>
  <c r="AE24" i="5"/>
  <c r="AF24" i="5" s="1"/>
  <c r="P58" i="5"/>
  <c r="AE58" i="5" s="1"/>
  <c r="AF58" i="5" s="1"/>
  <c r="W59" i="5"/>
  <c r="T67" i="5"/>
  <c r="T70" i="5" s="1"/>
  <c r="AF21" i="5"/>
  <c r="AG21" i="5"/>
  <c r="AF14" i="5"/>
  <c r="AG14" i="5"/>
  <c r="AF22" i="5"/>
  <c r="AG22" i="5"/>
  <c r="J67" i="5"/>
  <c r="P57" i="5"/>
  <c r="AE57" i="5" s="1"/>
  <c r="AE15" i="5"/>
  <c r="AF15" i="5" s="1"/>
  <c r="N65" i="5"/>
  <c r="AC61" i="5"/>
  <c r="AC65" i="5" s="1"/>
  <c r="AG38" i="5"/>
  <c r="L58" i="5"/>
  <c r="Q24" i="5"/>
  <c r="Q58" i="5" s="1"/>
  <c r="AF13" i="5"/>
  <c r="AG13" i="5"/>
  <c r="E67" i="5"/>
  <c r="H59" i="5"/>
  <c r="L57" i="5"/>
  <c r="L59" i="5" s="1"/>
  <c r="Q15" i="5"/>
  <c r="Q57" i="5" s="1"/>
  <c r="AD54" i="5"/>
  <c r="O59" i="5"/>
  <c r="AD56" i="5"/>
  <c r="H56" i="5"/>
  <c r="Q54" i="5"/>
  <c r="O65" i="5"/>
  <c r="AD61" i="5"/>
  <c r="AD65" i="5" s="1"/>
  <c r="K59" i="5"/>
  <c r="K67" i="5" s="1"/>
  <c r="R24" i="5"/>
  <c r="P56" i="5"/>
  <c r="AE10" i="5"/>
  <c r="R10" i="5"/>
  <c r="AE61" i="5"/>
  <c r="P65" i="5"/>
  <c r="AE43" i="5"/>
  <c r="R43" i="5"/>
  <c r="P54" i="5"/>
  <c r="AE54" i="5" s="1"/>
  <c r="AF54" i="5" s="1"/>
  <c r="AF40" i="5"/>
  <c r="AG40" i="5"/>
  <c r="BC115" i="12" l="1"/>
  <c r="AY114" i="11"/>
  <c r="L69" i="5"/>
  <c r="L70" i="5" s="1"/>
  <c r="F71" i="5"/>
  <c r="F72" i="5" s="1"/>
  <c r="AG58" i="5"/>
  <c r="AF43" i="5"/>
  <c r="AG43" i="5"/>
  <c r="AG54" i="5"/>
  <c r="AE25" i="5"/>
  <c r="R25" i="5"/>
  <c r="R58" i="5"/>
  <c r="N69" i="5"/>
  <c r="AC69" i="5" s="1"/>
  <c r="Q59" i="5"/>
  <c r="J70" i="5"/>
  <c r="J69" i="5"/>
  <c r="K69" i="5"/>
  <c r="K70" i="5" s="1"/>
  <c r="U67" i="5"/>
  <c r="V59" i="5"/>
  <c r="Y72" i="5"/>
  <c r="G69" i="5"/>
  <c r="G70" i="5"/>
  <c r="M59" i="5"/>
  <c r="AF53" i="5"/>
  <c r="AG53" i="5"/>
  <c r="AG24" i="5"/>
  <c r="AD59" i="5"/>
  <c r="O67" i="5"/>
  <c r="AG56" i="5"/>
  <c r="E69" i="5"/>
  <c r="H69" i="5" s="1"/>
  <c r="AA59" i="5"/>
  <c r="Z67" i="5"/>
  <c r="AB59" i="5"/>
  <c r="T71" i="5"/>
  <c r="W71" i="5" s="1"/>
  <c r="W70" i="5"/>
  <c r="T72" i="5"/>
  <c r="W72" i="5" s="1"/>
  <c r="R54" i="5"/>
  <c r="AE65" i="5"/>
  <c r="AF10" i="5"/>
  <c r="AG10" i="5"/>
  <c r="AE56" i="5"/>
  <c r="AF56" i="5" s="1"/>
  <c r="P59" i="5"/>
  <c r="AE59" i="5" s="1"/>
  <c r="AF59" i="5" s="1"/>
  <c r="R56" i="5"/>
  <c r="AF57" i="5"/>
  <c r="R57" i="5"/>
  <c r="AG15" i="5"/>
  <c r="K71" i="5" l="1"/>
  <c r="K72" i="5"/>
  <c r="L71" i="5"/>
  <c r="L72" i="5"/>
  <c r="R59" i="5"/>
  <c r="Q69" i="5"/>
  <c r="Q70" i="5" s="1"/>
  <c r="O69" i="5"/>
  <c r="N70" i="5"/>
  <c r="M70" i="5"/>
  <c r="J71" i="5"/>
  <c r="M71" i="5" s="1"/>
  <c r="Z70" i="5"/>
  <c r="AA67" i="5"/>
  <c r="U70" i="5"/>
  <c r="V67" i="5"/>
  <c r="AG59" i="5"/>
  <c r="AD67" i="5"/>
  <c r="P67" i="5"/>
  <c r="G71" i="5"/>
  <c r="G72" i="5"/>
  <c r="AE67" i="5"/>
  <c r="E70" i="5"/>
  <c r="M69" i="5"/>
  <c r="AF25" i="5"/>
  <c r="AG25" i="5"/>
  <c r="Q71" i="5" l="1"/>
  <c r="Q72" i="5" s="1"/>
  <c r="J72" i="5"/>
  <c r="M72" i="5" s="1"/>
  <c r="AD69" i="5"/>
  <c r="P69" i="5"/>
  <c r="AE69" i="5" s="1"/>
  <c r="AF69" i="5" s="1"/>
  <c r="AC70" i="5"/>
  <c r="N71" i="5"/>
  <c r="AC71" i="5" s="1"/>
  <c r="AA70" i="5"/>
  <c r="Z71" i="5"/>
  <c r="AB70" i="5"/>
  <c r="E71" i="5"/>
  <c r="H71" i="5" s="1"/>
  <c r="E72" i="5"/>
  <c r="H72" i="5" s="1"/>
  <c r="H70" i="5"/>
  <c r="U71" i="5"/>
  <c r="V71" i="5" s="1"/>
  <c r="U72" i="5"/>
  <c r="V72" i="5" s="1"/>
  <c r="V70" i="5"/>
  <c r="O70" i="5"/>
  <c r="P70" i="5" l="1"/>
  <c r="R69" i="5"/>
  <c r="AA71" i="5"/>
  <c r="AB71" i="5"/>
  <c r="O71" i="5"/>
  <c r="O72" i="5"/>
  <c r="R70" i="5"/>
  <c r="AD70" i="5"/>
  <c r="Z72" i="5"/>
  <c r="N72" i="5"/>
  <c r="AC72" i="5" s="1"/>
  <c r="AG69" i="5"/>
  <c r="AD71" i="5" l="1"/>
  <c r="AD72" i="5"/>
  <c r="AA72" i="5"/>
  <c r="AB72" i="5"/>
  <c r="P72" i="5"/>
  <c r="AE72" i="5" s="1"/>
  <c r="AF72" i="5" s="1"/>
  <c r="P71" i="5"/>
  <c r="AE71" i="5" s="1"/>
  <c r="AF71" i="5" s="1"/>
  <c r="AE70" i="5"/>
  <c r="AF70" i="5" s="1"/>
  <c r="R72" i="5" l="1"/>
  <c r="AG72" i="5"/>
  <c r="R71" i="5"/>
  <c r="AG71" i="5"/>
  <c r="AG70" i="5"/>
  <c r="AS114" i="4" l="1"/>
  <c r="AM114" i="4"/>
  <c r="AI114" i="4"/>
  <c r="AG114" i="4"/>
  <c r="AE114" i="4"/>
  <c r="AC114" i="4"/>
  <c r="AA114" i="4"/>
  <c r="W114" i="4"/>
  <c r="U114" i="4"/>
  <c r="S114" i="4"/>
  <c r="Q114" i="4"/>
  <c r="O114" i="4"/>
  <c r="M114" i="4"/>
  <c r="I114" i="4"/>
  <c r="G114" i="4"/>
  <c r="AT113" i="4"/>
  <c r="AO113" i="4"/>
  <c r="AK113" i="4"/>
  <c r="AQ113" i="4" s="1"/>
  <c r="Y113" i="4"/>
  <c r="K113" i="4"/>
  <c r="AT112" i="4"/>
  <c r="AO112" i="4"/>
  <c r="AK112" i="4"/>
  <c r="Y112" i="4"/>
  <c r="K112" i="4"/>
  <c r="AT111" i="4"/>
  <c r="AO111" i="4"/>
  <c r="AK111" i="4"/>
  <c r="AQ111" i="4" s="1"/>
  <c r="Y111" i="4"/>
  <c r="K111" i="4"/>
  <c r="AT110" i="4"/>
  <c r="AO110" i="4"/>
  <c r="AK110" i="4"/>
  <c r="Y110" i="4"/>
  <c r="AQ110" i="4" s="1"/>
  <c r="K110" i="4"/>
  <c r="AT109" i="4"/>
  <c r="AO109" i="4"/>
  <c r="AK109" i="4"/>
  <c r="Y109" i="4"/>
  <c r="K109" i="4"/>
  <c r="AQ109" i="4" s="1"/>
  <c r="AT108" i="4"/>
  <c r="AO108" i="4"/>
  <c r="AK108" i="4"/>
  <c r="Y108" i="4"/>
  <c r="K108" i="4"/>
  <c r="AT107" i="4"/>
  <c r="AO107" i="4"/>
  <c r="AK107" i="4"/>
  <c r="Y107" i="4"/>
  <c r="K107" i="4"/>
  <c r="AQ107" i="4" s="1"/>
  <c r="AT106" i="4"/>
  <c r="AO106" i="4"/>
  <c r="AK106" i="4"/>
  <c r="Y106" i="4"/>
  <c r="AQ106" i="4" s="1"/>
  <c r="K106" i="4"/>
  <c r="AT105" i="4"/>
  <c r="AO105" i="4"/>
  <c r="AK105" i="4"/>
  <c r="Y105" i="4"/>
  <c r="K105" i="4"/>
  <c r="AT104" i="4"/>
  <c r="AO104" i="4"/>
  <c r="AK104" i="4"/>
  <c r="Y104" i="4"/>
  <c r="K104" i="4"/>
  <c r="AT103" i="4"/>
  <c r="AO103" i="4"/>
  <c r="AK103" i="4"/>
  <c r="AQ103" i="4" s="1"/>
  <c r="Y103" i="4"/>
  <c r="K103" i="4"/>
  <c r="AT102" i="4"/>
  <c r="AQ102" i="4"/>
  <c r="AO102" i="4"/>
  <c r="AK102" i="4"/>
  <c r="Y102" i="4"/>
  <c r="K102" i="4"/>
  <c r="AT101" i="4"/>
  <c r="AO101" i="4"/>
  <c r="AK101" i="4"/>
  <c r="Y101" i="4"/>
  <c r="K101" i="4"/>
  <c r="AT100" i="4"/>
  <c r="AQ100" i="4"/>
  <c r="AO100" i="4"/>
  <c r="AK100" i="4"/>
  <c r="Y100" i="4"/>
  <c r="K100" i="4"/>
  <c r="AT99" i="4"/>
  <c r="AO99" i="4"/>
  <c r="AK99" i="4"/>
  <c r="Y99" i="4"/>
  <c r="K99" i="4"/>
  <c r="AT98" i="4"/>
  <c r="AO98" i="4"/>
  <c r="AK98" i="4"/>
  <c r="Y98" i="4"/>
  <c r="K98" i="4"/>
  <c r="AQ98" i="4" s="1"/>
  <c r="AT97" i="4"/>
  <c r="AO97" i="4"/>
  <c r="AK97" i="4"/>
  <c r="AQ97" i="4" s="1"/>
  <c r="Y97" i="4"/>
  <c r="K97" i="4"/>
  <c r="AT96" i="4"/>
  <c r="AO96" i="4"/>
  <c r="AK96" i="4"/>
  <c r="Y96" i="4"/>
  <c r="K96" i="4"/>
  <c r="AT95" i="4"/>
  <c r="AO95" i="4"/>
  <c r="AK95" i="4"/>
  <c r="AQ95" i="4" s="1"/>
  <c r="Y95" i="4"/>
  <c r="K95" i="4"/>
  <c r="AT94" i="4"/>
  <c r="AO94" i="4"/>
  <c r="AK94" i="4"/>
  <c r="AQ94" i="4" s="1"/>
  <c r="Y94" i="4"/>
  <c r="K94" i="4"/>
  <c r="AT93" i="4"/>
  <c r="AO93" i="4"/>
  <c r="AK93" i="4"/>
  <c r="Y93" i="4"/>
  <c r="K93" i="4"/>
  <c r="AT92" i="4"/>
  <c r="AQ92" i="4"/>
  <c r="AO92" i="4"/>
  <c r="AK92" i="4"/>
  <c r="Y92" i="4"/>
  <c r="K92" i="4"/>
  <c r="AT91" i="4"/>
  <c r="AO91" i="4"/>
  <c r="AK91" i="4"/>
  <c r="Y91" i="4"/>
  <c r="K91" i="4"/>
  <c r="AQ91" i="4" s="1"/>
  <c r="AT90" i="4"/>
  <c r="AO90" i="4"/>
  <c r="AK90" i="4"/>
  <c r="Y90" i="4"/>
  <c r="AQ90" i="4" s="1"/>
  <c r="K90" i="4"/>
  <c r="AT89" i="4"/>
  <c r="AQ89" i="4"/>
  <c r="AO89" i="4"/>
  <c r="AK89" i="4"/>
  <c r="Y89" i="4"/>
  <c r="K89" i="4"/>
  <c r="AT88" i="4"/>
  <c r="AO88" i="4"/>
  <c r="AK88" i="4"/>
  <c r="Y88" i="4"/>
  <c r="K88" i="4"/>
  <c r="AT87" i="4"/>
  <c r="AO87" i="4"/>
  <c r="AK87" i="4"/>
  <c r="AQ87" i="4" s="1"/>
  <c r="Y87" i="4"/>
  <c r="K87" i="4"/>
  <c r="AT86" i="4"/>
  <c r="AO86" i="4"/>
  <c r="AQ86" i="4" s="1"/>
  <c r="AK86" i="4"/>
  <c r="Y86" i="4"/>
  <c r="K86" i="4"/>
  <c r="AT85" i="4"/>
  <c r="AO85" i="4"/>
  <c r="AK85" i="4"/>
  <c r="Y85" i="4"/>
  <c r="K85" i="4"/>
  <c r="AT84" i="4"/>
  <c r="AQ84" i="4"/>
  <c r="AO84" i="4"/>
  <c r="AK84" i="4"/>
  <c r="Y84" i="4"/>
  <c r="K84" i="4"/>
  <c r="AT83" i="4"/>
  <c r="AO83" i="4"/>
  <c r="AK83" i="4"/>
  <c r="Y83" i="4"/>
  <c r="K83" i="4"/>
  <c r="AT82" i="4"/>
  <c r="AO82" i="4"/>
  <c r="AK82" i="4"/>
  <c r="Y82" i="4"/>
  <c r="K82" i="4"/>
  <c r="AT81" i="4"/>
  <c r="AO81" i="4"/>
  <c r="AK81" i="4"/>
  <c r="Y81" i="4"/>
  <c r="K81" i="4"/>
  <c r="AQ81" i="4" s="1"/>
  <c r="AT80" i="4"/>
  <c r="AO80" i="4"/>
  <c r="AK80" i="4"/>
  <c r="AQ80" i="4" s="1"/>
  <c r="Y80" i="4"/>
  <c r="K80" i="4"/>
  <c r="AT79" i="4"/>
  <c r="AO79" i="4"/>
  <c r="AK79" i="4"/>
  <c r="Y79" i="4"/>
  <c r="K79" i="4"/>
  <c r="AT78" i="4"/>
  <c r="AO78" i="4"/>
  <c r="AK78" i="4"/>
  <c r="Y78" i="4"/>
  <c r="K78" i="4"/>
  <c r="AT77" i="4"/>
  <c r="AO77" i="4"/>
  <c r="AQ77" i="4" s="1"/>
  <c r="AK77" i="4"/>
  <c r="Y77" i="4"/>
  <c r="K77" i="4"/>
  <c r="AT76" i="4"/>
  <c r="AO76" i="4"/>
  <c r="AK76" i="4"/>
  <c r="Y76" i="4"/>
  <c r="K76" i="4"/>
  <c r="AT75" i="4"/>
  <c r="AQ75" i="4"/>
  <c r="AO75" i="4"/>
  <c r="AK75" i="4"/>
  <c r="Y75" i="4"/>
  <c r="K75" i="4"/>
  <c r="AT74" i="4"/>
  <c r="AO74" i="4"/>
  <c r="AK74" i="4"/>
  <c r="AQ74" i="4" s="1"/>
  <c r="Y74" i="4"/>
  <c r="K74" i="4"/>
  <c r="AT73" i="4"/>
  <c r="AO73" i="4"/>
  <c r="AK73" i="4"/>
  <c r="Y73" i="4"/>
  <c r="K73" i="4"/>
  <c r="AQ73" i="4" s="1"/>
  <c r="AT72" i="4"/>
  <c r="AO72" i="4"/>
  <c r="AK72" i="4"/>
  <c r="Y72" i="4"/>
  <c r="K72" i="4"/>
  <c r="AQ71" i="4"/>
  <c r="AO71" i="4"/>
  <c r="AK71" i="4"/>
  <c r="Y71" i="4"/>
  <c r="K71" i="4"/>
  <c r="AT70" i="4"/>
  <c r="AO70" i="4"/>
  <c r="AK70" i="4"/>
  <c r="Y70" i="4"/>
  <c r="K70" i="4"/>
  <c r="AT69" i="4"/>
  <c r="AO69" i="4"/>
  <c r="AQ69" i="4" s="1"/>
  <c r="AK69" i="4"/>
  <c r="Y69" i="4"/>
  <c r="K69" i="4"/>
  <c r="AT68" i="4"/>
  <c r="AQ68" i="4"/>
  <c r="AO68" i="4"/>
  <c r="AK68" i="4"/>
  <c r="Y68" i="4"/>
  <c r="K68" i="4"/>
  <c r="AT67" i="4"/>
  <c r="AQ67" i="4"/>
  <c r="AO67" i="4"/>
  <c r="AK67" i="4"/>
  <c r="Y67" i="4"/>
  <c r="K67" i="4"/>
  <c r="AT66" i="4"/>
  <c r="AQ66" i="4"/>
  <c r="AO66" i="4"/>
  <c r="AK66" i="4"/>
  <c r="Y66" i="4"/>
  <c r="K66" i="4"/>
  <c r="AT65" i="4"/>
  <c r="AO65" i="4"/>
  <c r="AK65" i="4"/>
  <c r="Y65" i="4"/>
  <c r="K65" i="4"/>
  <c r="AT64" i="4"/>
  <c r="AO64" i="4"/>
  <c r="AK64" i="4"/>
  <c r="Y64" i="4"/>
  <c r="K64" i="4"/>
  <c r="AQ64" i="4" s="1"/>
  <c r="AT63" i="4"/>
  <c r="AO63" i="4"/>
  <c r="AK63" i="4"/>
  <c r="Y63" i="4"/>
  <c r="K63" i="4"/>
  <c r="AT62" i="4"/>
  <c r="AQ62" i="4"/>
  <c r="AO62" i="4"/>
  <c r="AK62" i="4"/>
  <c r="Y62" i="4"/>
  <c r="K62" i="4"/>
  <c r="AT61" i="4"/>
  <c r="AO61" i="4"/>
  <c r="AQ61" i="4" s="1"/>
  <c r="AK61" i="4"/>
  <c r="Y61" i="4"/>
  <c r="K61" i="4"/>
  <c r="AT60" i="4"/>
  <c r="AQ60" i="4"/>
  <c r="AO60" i="4"/>
  <c r="AK60" i="4"/>
  <c r="Y60" i="4"/>
  <c r="K60" i="4"/>
  <c r="AT59" i="4"/>
  <c r="AO59" i="4"/>
  <c r="AK59" i="4"/>
  <c r="Y59" i="4"/>
  <c r="K59" i="4"/>
  <c r="AQ59" i="4" s="1"/>
  <c r="AT58" i="4"/>
  <c r="AQ58" i="4"/>
  <c r="AO58" i="4"/>
  <c r="AK58" i="4"/>
  <c r="Y58" i="4"/>
  <c r="K58" i="4"/>
  <c r="AT57" i="4"/>
  <c r="AO57" i="4"/>
  <c r="AK57" i="4"/>
  <c r="Y57" i="4"/>
  <c r="K57" i="4"/>
  <c r="AQ57" i="4" s="1"/>
  <c r="AT56" i="4"/>
  <c r="AO56" i="4"/>
  <c r="AK56" i="4"/>
  <c r="Y56" i="4"/>
  <c r="K56" i="4"/>
  <c r="AT55" i="4"/>
  <c r="AO55" i="4"/>
  <c r="AK55" i="4"/>
  <c r="Y55" i="4"/>
  <c r="AQ55" i="4" s="1"/>
  <c r="K55" i="4"/>
  <c r="AT54" i="4"/>
  <c r="AO54" i="4"/>
  <c r="AK54" i="4"/>
  <c r="Y54" i="4"/>
  <c r="K54" i="4"/>
  <c r="AQ54" i="4" s="1"/>
  <c r="AT53" i="4"/>
  <c r="AO53" i="4"/>
  <c r="AK53" i="4"/>
  <c r="AQ53" i="4" s="1"/>
  <c r="Y53" i="4"/>
  <c r="K53" i="4"/>
  <c r="AT52" i="4"/>
  <c r="AO52" i="4"/>
  <c r="AK52" i="4"/>
  <c r="Y52" i="4"/>
  <c r="K52" i="4"/>
  <c r="AT51" i="4"/>
  <c r="AO51" i="4"/>
  <c r="AK51" i="4"/>
  <c r="Y51" i="4"/>
  <c r="AQ51" i="4" s="1"/>
  <c r="K51" i="4"/>
  <c r="AT50" i="4"/>
  <c r="AO50" i="4"/>
  <c r="AK50" i="4"/>
  <c r="Y50" i="4"/>
  <c r="K50" i="4"/>
  <c r="AO49" i="4"/>
  <c r="AK49" i="4"/>
  <c r="Y49" i="4"/>
  <c r="K49" i="4"/>
  <c r="AT48" i="4"/>
  <c r="AQ48" i="4"/>
  <c r="AO48" i="4"/>
  <c r="AK48" i="4"/>
  <c r="Y48" i="4"/>
  <c r="K48" i="4"/>
  <c r="AT47" i="4"/>
  <c r="AO47" i="4"/>
  <c r="AK47" i="4"/>
  <c r="Y47" i="4"/>
  <c r="K47" i="4"/>
  <c r="AT46" i="4"/>
  <c r="AO46" i="4"/>
  <c r="AK46" i="4"/>
  <c r="AQ46" i="4" s="1"/>
  <c r="Y46" i="4"/>
  <c r="K46" i="4"/>
  <c r="AT45" i="4"/>
  <c r="AO45" i="4"/>
  <c r="AK45" i="4"/>
  <c r="Y45" i="4"/>
  <c r="K45" i="4"/>
  <c r="AT44" i="4"/>
  <c r="AO44" i="4"/>
  <c r="AK44" i="4"/>
  <c r="Y44" i="4"/>
  <c r="K44" i="4"/>
  <c r="AQ44" i="4" s="1"/>
  <c r="AT43" i="4"/>
  <c r="AQ43" i="4"/>
  <c r="AO43" i="4"/>
  <c r="AK43" i="4"/>
  <c r="Y43" i="4"/>
  <c r="K43" i="4"/>
  <c r="AT42" i="4"/>
  <c r="AO42" i="4"/>
  <c r="AK42" i="4"/>
  <c r="Y42" i="4"/>
  <c r="K42" i="4"/>
  <c r="AT41" i="4"/>
  <c r="AQ41" i="4"/>
  <c r="AO41" i="4"/>
  <c r="AK41" i="4"/>
  <c r="Y41" i="4"/>
  <c r="K41" i="4"/>
  <c r="AT40" i="4"/>
  <c r="AQ40" i="4"/>
  <c r="AO40" i="4"/>
  <c r="AK40" i="4"/>
  <c r="Y40" i="4"/>
  <c r="K40" i="4"/>
  <c r="AT39" i="4"/>
  <c r="AO39" i="4"/>
  <c r="AK39" i="4"/>
  <c r="Y39" i="4"/>
  <c r="K39" i="4"/>
  <c r="AT38" i="4"/>
  <c r="AO38" i="4"/>
  <c r="AK38" i="4"/>
  <c r="AQ38" i="4" s="1"/>
  <c r="Y38" i="4"/>
  <c r="K38" i="4"/>
  <c r="AT37" i="4"/>
  <c r="AO37" i="4"/>
  <c r="AK37" i="4"/>
  <c r="Y37" i="4"/>
  <c r="K37" i="4"/>
  <c r="AT36" i="4"/>
  <c r="AO36" i="4"/>
  <c r="AK36" i="4"/>
  <c r="Y36" i="4"/>
  <c r="K36" i="4"/>
  <c r="AQ36" i="4" s="1"/>
  <c r="AT35" i="4"/>
  <c r="AQ35" i="4"/>
  <c r="AO35" i="4"/>
  <c r="AK35" i="4"/>
  <c r="Y35" i="4"/>
  <c r="K35" i="4"/>
  <c r="AT34" i="4"/>
  <c r="AO34" i="4"/>
  <c r="AK34" i="4"/>
  <c r="Y34" i="4"/>
  <c r="K34" i="4"/>
  <c r="AT33" i="4"/>
  <c r="AQ33" i="4"/>
  <c r="AO33" i="4"/>
  <c r="AK33" i="4"/>
  <c r="Y33" i="4"/>
  <c r="K33" i="4"/>
  <c r="AT32" i="4"/>
  <c r="AO32" i="4"/>
  <c r="AK32" i="4"/>
  <c r="Y32" i="4"/>
  <c r="K32" i="4"/>
  <c r="AT31" i="4"/>
  <c r="AO31" i="4"/>
  <c r="AK31" i="4"/>
  <c r="Y31" i="4"/>
  <c r="K31" i="4"/>
  <c r="AO30" i="4"/>
  <c r="AK30" i="4"/>
  <c r="Y30" i="4"/>
  <c r="K30" i="4"/>
  <c r="AT29" i="4"/>
  <c r="AQ29" i="4"/>
  <c r="AO29" i="4"/>
  <c r="AK29" i="4"/>
  <c r="Y29" i="4"/>
  <c r="K29" i="4"/>
  <c r="AO28" i="4"/>
  <c r="AK28" i="4"/>
  <c r="Y28" i="4"/>
  <c r="V28" i="4"/>
  <c r="K28" i="4"/>
  <c r="AQ28" i="4" s="1"/>
  <c r="AO27" i="4"/>
  <c r="AK27" i="4"/>
  <c r="Y27" i="4"/>
  <c r="K27" i="4"/>
  <c r="AO26" i="4"/>
  <c r="AK26" i="4"/>
  <c r="Y26" i="4"/>
  <c r="K26" i="4"/>
  <c r="AT25" i="4"/>
  <c r="AO25" i="4"/>
  <c r="AK25" i="4"/>
  <c r="Y25" i="4"/>
  <c r="K25" i="4"/>
  <c r="AQ25" i="4" s="1"/>
  <c r="AT24" i="4"/>
  <c r="AO24" i="4"/>
  <c r="AQ24" i="4" s="1"/>
  <c r="AK24" i="4"/>
  <c r="Y24" i="4"/>
  <c r="K24" i="4"/>
  <c r="AT23" i="4"/>
  <c r="AQ23" i="4"/>
  <c r="AO23" i="4"/>
  <c r="AK23" i="4"/>
  <c r="Y23" i="4"/>
  <c r="K23" i="4"/>
  <c r="AT22" i="4"/>
  <c r="AQ22" i="4"/>
  <c r="AO22" i="4"/>
  <c r="AK22" i="4"/>
  <c r="Y22" i="4"/>
  <c r="K22" i="4"/>
  <c r="AT21" i="4"/>
  <c r="AO21" i="4"/>
  <c r="AK21" i="4"/>
  <c r="AQ21" i="4" s="1"/>
  <c r="Y21" i="4"/>
  <c r="K21" i="4"/>
  <c r="AT20" i="4"/>
  <c r="AO20" i="4"/>
  <c r="AK20" i="4"/>
  <c r="Y20" i="4"/>
  <c r="K20" i="4"/>
  <c r="J20" i="4"/>
  <c r="AT19" i="4"/>
  <c r="AO19" i="4"/>
  <c r="AK19" i="4"/>
  <c r="Y19" i="4"/>
  <c r="K19" i="4"/>
  <c r="AT18" i="4"/>
  <c r="AO18" i="4"/>
  <c r="AK18" i="4"/>
  <c r="Y18" i="4"/>
  <c r="V18" i="4"/>
  <c r="K18" i="4"/>
  <c r="AT17" i="4"/>
  <c r="AO17" i="4"/>
  <c r="AK17" i="4"/>
  <c r="Y17" i="4"/>
  <c r="K17" i="4"/>
  <c r="AQ17" i="4" s="1"/>
  <c r="AT16" i="4"/>
  <c r="AO16" i="4"/>
  <c r="AK16" i="4"/>
  <c r="Y16" i="4"/>
  <c r="K16" i="4"/>
  <c r="AT15" i="4"/>
  <c r="AO15" i="4"/>
  <c r="AN15" i="4"/>
  <c r="AP15" i="4" s="1"/>
  <c r="AK15" i="4"/>
  <c r="Y15" i="4"/>
  <c r="K15" i="4"/>
  <c r="AT14" i="4"/>
  <c r="AO14" i="4"/>
  <c r="AK14" i="4"/>
  <c r="Y14" i="4"/>
  <c r="Y114" i="4" s="1"/>
  <c r="K14" i="4"/>
  <c r="AO13" i="4"/>
  <c r="AN13" i="4"/>
  <c r="AK13" i="4"/>
  <c r="Y13" i="4"/>
  <c r="L13" i="4"/>
  <c r="K13" i="4"/>
  <c r="J13" i="4"/>
  <c r="V7" i="4"/>
  <c r="Y7" i="4" s="1"/>
  <c r="R7" i="4"/>
  <c r="M7" i="4"/>
  <c r="O6" i="4"/>
  <c r="O5" i="4"/>
  <c r="O4" i="4"/>
  <c r="V13" i="4" s="1"/>
  <c r="O3" i="4"/>
  <c r="H13" i="4" s="1"/>
  <c r="AU113" i="3"/>
  <c r="AO113" i="3"/>
  <c r="AK113" i="3"/>
  <c r="AI113" i="3"/>
  <c r="AG113" i="3"/>
  <c r="AE113" i="3"/>
  <c r="AA113" i="3"/>
  <c r="Y113" i="3"/>
  <c r="W113" i="3"/>
  <c r="U113" i="3"/>
  <c r="S113" i="3"/>
  <c r="Q113" i="3"/>
  <c r="O113" i="3"/>
  <c r="M113" i="3"/>
  <c r="I113" i="3"/>
  <c r="G113" i="3"/>
  <c r="AV112" i="3"/>
  <c r="AS112" i="3"/>
  <c r="AR112" i="3"/>
  <c r="AQ112" i="3"/>
  <c r="AM112" i="3"/>
  <c r="AC112" i="3"/>
  <c r="K112" i="3"/>
  <c r="AV111" i="3"/>
  <c r="AR111" i="3"/>
  <c r="AQ111" i="3"/>
  <c r="AM111" i="3"/>
  <c r="AC111" i="3"/>
  <c r="T111" i="3"/>
  <c r="K111" i="3"/>
  <c r="AS111" i="3" s="1"/>
  <c r="AV110" i="3"/>
  <c r="AR110" i="3"/>
  <c r="AQ110" i="3"/>
  <c r="AM110" i="3"/>
  <c r="AC110" i="3"/>
  <c r="K110" i="3"/>
  <c r="AS110" i="3" s="1"/>
  <c r="AV109" i="3"/>
  <c r="AR109" i="3"/>
  <c r="AQ109" i="3"/>
  <c r="AM109" i="3"/>
  <c r="AC109" i="3"/>
  <c r="Z109" i="3"/>
  <c r="K109" i="3"/>
  <c r="AV108" i="3"/>
  <c r="AR108" i="3"/>
  <c r="AQ108" i="3"/>
  <c r="AM108" i="3"/>
  <c r="AC108" i="3"/>
  <c r="K108" i="3"/>
  <c r="AV107" i="3"/>
  <c r="AR107" i="3"/>
  <c r="AQ107" i="3"/>
  <c r="AM107" i="3"/>
  <c r="AC107" i="3"/>
  <c r="AS107" i="3" s="1"/>
  <c r="K107" i="3"/>
  <c r="AV106" i="3"/>
  <c r="AR106" i="3"/>
  <c r="AQ106" i="3"/>
  <c r="AM106" i="3"/>
  <c r="AC106" i="3"/>
  <c r="K106" i="3"/>
  <c r="AS106" i="3" s="1"/>
  <c r="AV105" i="3"/>
  <c r="AS105" i="3"/>
  <c r="AR105" i="3"/>
  <c r="AQ105" i="3"/>
  <c r="AM105" i="3"/>
  <c r="AC105" i="3"/>
  <c r="K105" i="3"/>
  <c r="AV104" i="3"/>
  <c r="AS104" i="3"/>
  <c r="AR104" i="3"/>
  <c r="AQ104" i="3"/>
  <c r="AM104" i="3"/>
  <c r="AC104" i="3"/>
  <c r="K104" i="3"/>
  <c r="AV103" i="3"/>
  <c r="AR103" i="3"/>
  <c r="AQ103" i="3"/>
  <c r="AM103" i="3"/>
  <c r="AJ103" i="3"/>
  <c r="AC103" i="3"/>
  <c r="K103" i="3"/>
  <c r="AV102" i="3"/>
  <c r="AR102" i="3"/>
  <c r="AQ102" i="3"/>
  <c r="AM102" i="3"/>
  <c r="AC102" i="3"/>
  <c r="K102" i="3"/>
  <c r="AS102" i="3" s="1"/>
  <c r="AV101" i="3"/>
  <c r="AR101" i="3"/>
  <c r="AQ101" i="3"/>
  <c r="AM101" i="3"/>
  <c r="AC101" i="3"/>
  <c r="K101" i="3"/>
  <c r="AV100" i="3"/>
  <c r="AR100" i="3"/>
  <c r="AQ100" i="3"/>
  <c r="AM100" i="3"/>
  <c r="AC100" i="3"/>
  <c r="T100" i="3"/>
  <c r="K100" i="3"/>
  <c r="AV99" i="3"/>
  <c r="AR99" i="3"/>
  <c r="AQ99" i="3"/>
  <c r="AM99" i="3"/>
  <c r="AC99" i="3"/>
  <c r="K99" i="3"/>
  <c r="AV98" i="3"/>
  <c r="AR98" i="3"/>
  <c r="AQ98" i="3"/>
  <c r="AM98" i="3"/>
  <c r="AC98" i="3"/>
  <c r="K98" i="3"/>
  <c r="AS98" i="3" s="1"/>
  <c r="AV97" i="3"/>
  <c r="AR97" i="3"/>
  <c r="AQ97" i="3"/>
  <c r="AM97" i="3"/>
  <c r="AC97" i="3"/>
  <c r="AS97" i="3" s="1"/>
  <c r="V97" i="3"/>
  <c r="K97" i="3"/>
  <c r="AV96" i="3"/>
  <c r="AS96" i="3"/>
  <c r="AR96" i="3"/>
  <c r="AQ96" i="3"/>
  <c r="AM96" i="3"/>
  <c r="AH96" i="3"/>
  <c r="AF96" i="3"/>
  <c r="AC96" i="3"/>
  <c r="K96" i="3"/>
  <c r="AV95" i="3"/>
  <c r="AR95" i="3"/>
  <c r="AQ95" i="3"/>
  <c r="AM95" i="3"/>
  <c r="AC95" i="3"/>
  <c r="V95" i="3"/>
  <c r="K95" i="3"/>
  <c r="AS95" i="3" s="1"/>
  <c r="AV94" i="3"/>
  <c r="AR94" i="3"/>
  <c r="AQ94" i="3"/>
  <c r="AM94" i="3"/>
  <c r="AJ94" i="3"/>
  <c r="AH94" i="3"/>
  <c r="AC94" i="3"/>
  <c r="K94" i="3"/>
  <c r="AS94" i="3" s="1"/>
  <c r="AV93" i="3"/>
  <c r="AS93" i="3"/>
  <c r="AR93" i="3"/>
  <c r="AQ93" i="3"/>
  <c r="AM93" i="3"/>
  <c r="AC93" i="3"/>
  <c r="K93" i="3"/>
  <c r="AV92" i="3"/>
  <c r="AR92" i="3"/>
  <c r="AQ92" i="3"/>
  <c r="AM92" i="3"/>
  <c r="AC92" i="3"/>
  <c r="V92" i="3"/>
  <c r="K92" i="3"/>
  <c r="AS92" i="3" s="1"/>
  <c r="AV91" i="3"/>
  <c r="AR91" i="3"/>
  <c r="AQ91" i="3"/>
  <c r="AM91" i="3"/>
  <c r="AC91" i="3"/>
  <c r="K91" i="3"/>
  <c r="AV90" i="3"/>
  <c r="AR90" i="3"/>
  <c r="AQ90" i="3"/>
  <c r="AM90" i="3"/>
  <c r="AC90" i="3"/>
  <c r="K90" i="3"/>
  <c r="AS90" i="3" s="1"/>
  <c r="AV89" i="3"/>
  <c r="AR89" i="3"/>
  <c r="AQ89" i="3"/>
  <c r="AM89" i="3"/>
  <c r="AC89" i="3"/>
  <c r="K89" i="3"/>
  <c r="AV88" i="3"/>
  <c r="AR88" i="3"/>
  <c r="AQ88" i="3"/>
  <c r="AM88" i="3"/>
  <c r="AC88" i="3"/>
  <c r="AS88" i="3" s="1"/>
  <c r="K88" i="3"/>
  <c r="AV87" i="3"/>
  <c r="AS87" i="3"/>
  <c r="AR87" i="3"/>
  <c r="AQ87" i="3"/>
  <c r="AM87" i="3"/>
  <c r="AC87" i="3"/>
  <c r="K87" i="3"/>
  <c r="AV86" i="3"/>
  <c r="AS86" i="3"/>
  <c r="AR86" i="3"/>
  <c r="AQ86" i="3"/>
  <c r="AM86" i="3"/>
  <c r="AH86" i="3"/>
  <c r="AC86" i="3"/>
  <c r="K86" i="3"/>
  <c r="AV85" i="3"/>
  <c r="AS85" i="3"/>
  <c r="AR85" i="3"/>
  <c r="AQ85" i="3"/>
  <c r="AM85" i="3"/>
  <c r="AH85" i="3"/>
  <c r="AC85" i="3"/>
  <c r="K85" i="3"/>
  <c r="AV84" i="3"/>
  <c r="AR84" i="3"/>
  <c r="AQ84" i="3"/>
  <c r="AM84" i="3"/>
  <c r="AC84" i="3"/>
  <c r="K84" i="3"/>
  <c r="AS84" i="3" s="1"/>
  <c r="AV83" i="3"/>
  <c r="AR83" i="3"/>
  <c r="AQ83" i="3"/>
  <c r="AM83" i="3"/>
  <c r="AC83" i="3"/>
  <c r="V83" i="3"/>
  <c r="K83" i="3"/>
  <c r="AS83" i="3" s="1"/>
  <c r="AV82" i="3"/>
  <c r="AR82" i="3"/>
  <c r="AQ82" i="3"/>
  <c r="AM82" i="3"/>
  <c r="AC82" i="3"/>
  <c r="K82" i="3"/>
  <c r="AV81" i="3"/>
  <c r="AR81" i="3"/>
  <c r="AQ81" i="3"/>
  <c r="AM81" i="3"/>
  <c r="AC81" i="3"/>
  <c r="Z81" i="3"/>
  <c r="K81" i="3"/>
  <c r="AV80" i="3"/>
  <c r="AR80" i="3"/>
  <c r="AQ80" i="3"/>
  <c r="AM80" i="3"/>
  <c r="AC80" i="3"/>
  <c r="AS80" i="3" s="1"/>
  <c r="K80" i="3"/>
  <c r="AV79" i="3"/>
  <c r="AS79" i="3"/>
  <c r="AR79" i="3"/>
  <c r="AQ79" i="3"/>
  <c r="AM79" i="3"/>
  <c r="AC79" i="3"/>
  <c r="P79" i="3"/>
  <c r="K79" i="3"/>
  <c r="AV78" i="3"/>
  <c r="AS78" i="3"/>
  <c r="AR78" i="3"/>
  <c r="AQ78" i="3"/>
  <c r="AM78" i="3"/>
  <c r="AC78" i="3"/>
  <c r="T78" i="3"/>
  <c r="R78" i="3"/>
  <c r="K78" i="3"/>
  <c r="AV77" i="3"/>
  <c r="AR77" i="3"/>
  <c r="AQ77" i="3"/>
  <c r="AM77" i="3"/>
  <c r="AC77" i="3"/>
  <c r="V77" i="3"/>
  <c r="T77" i="3"/>
  <c r="K77" i="3"/>
  <c r="AS77" i="3" s="1"/>
  <c r="AV76" i="3"/>
  <c r="AR76" i="3"/>
  <c r="AQ76" i="3"/>
  <c r="AM76" i="3"/>
  <c r="AC76" i="3"/>
  <c r="V76" i="3"/>
  <c r="K76" i="3"/>
  <c r="AS76" i="3" s="1"/>
  <c r="AV75" i="3"/>
  <c r="AR75" i="3"/>
  <c r="AQ75" i="3"/>
  <c r="AM75" i="3"/>
  <c r="AC75" i="3"/>
  <c r="V75" i="3"/>
  <c r="K75" i="3"/>
  <c r="AS75" i="3" s="1"/>
  <c r="AV74" i="3"/>
  <c r="AR74" i="3"/>
  <c r="AQ74" i="3"/>
  <c r="AM74" i="3"/>
  <c r="AC74" i="3"/>
  <c r="K74" i="3"/>
  <c r="AV73" i="3"/>
  <c r="AR73" i="3"/>
  <c r="AQ73" i="3"/>
  <c r="AM73" i="3"/>
  <c r="AC73" i="3"/>
  <c r="K73" i="3"/>
  <c r="AS73" i="3" s="1"/>
  <c r="AV72" i="3"/>
  <c r="AR72" i="3"/>
  <c r="AQ72" i="3"/>
  <c r="AM72" i="3"/>
  <c r="AH72" i="3"/>
  <c r="AC72" i="3"/>
  <c r="AS72" i="3" s="1"/>
  <c r="K72" i="3"/>
  <c r="AV71" i="3"/>
  <c r="AR71" i="3"/>
  <c r="AQ71" i="3"/>
  <c r="AM71" i="3"/>
  <c r="AC71" i="3"/>
  <c r="AS71" i="3" s="1"/>
  <c r="K71" i="3"/>
  <c r="AS70" i="3"/>
  <c r="AR70" i="3"/>
  <c r="AQ70" i="3"/>
  <c r="AM70" i="3"/>
  <c r="AC70" i="3"/>
  <c r="K70" i="3"/>
  <c r="AV69" i="3"/>
  <c r="AR69" i="3"/>
  <c r="AQ69" i="3"/>
  <c r="AM69" i="3"/>
  <c r="AC69" i="3"/>
  <c r="K69" i="3"/>
  <c r="AS69" i="3" s="1"/>
  <c r="AV68" i="3"/>
  <c r="AR68" i="3"/>
  <c r="AQ68" i="3"/>
  <c r="AM68" i="3"/>
  <c r="AH68" i="3"/>
  <c r="AC68" i="3"/>
  <c r="K68" i="3"/>
  <c r="AS68" i="3" s="1"/>
  <c r="AV67" i="3"/>
  <c r="AR67" i="3"/>
  <c r="AQ67" i="3"/>
  <c r="AM67" i="3"/>
  <c r="AC67" i="3"/>
  <c r="Z67" i="3"/>
  <c r="K67" i="3"/>
  <c r="AV66" i="3"/>
  <c r="AR66" i="3"/>
  <c r="AQ66" i="3"/>
  <c r="AM66" i="3"/>
  <c r="AC66" i="3"/>
  <c r="AB66" i="3"/>
  <c r="Z66" i="3"/>
  <c r="K66" i="3"/>
  <c r="AS66" i="3" s="1"/>
  <c r="AV65" i="3"/>
  <c r="AS65" i="3"/>
  <c r="AR65" i="3"/>
  <c r="AQ65" i="3"/>
  <c r="AM65" i="3"/>
  <c r="AC65" i="3"/>
  <c r="Z65" i="3"/>
  <c r="K65" i="3"/>
  <c r="AV64" i="3"/>
  <c r="AR64" i="3"/>
  <c r="AQ64" i="3"/>
  <c r="AM64" i="3"/>
  <c r="AC64" i="3"/>
  <c r="AS64" i="3" s="1"/>
  <c r="K64" i="3"/>
  <c r="AV63" i="3"/>
  <c r="AR63" i="3"/>
  <c r="AQ63" i="3"/>
  <c r="AM63" i="3"/>
  <c r="AJ63" i="3"/>
  <c r="AC63" i="3"/>
  <c r="AS63" i="3" s="1"/>
  <c r="K63" i="3"/>
  <c r="AV62" i="3"/>
  <c r="AS62" i="3"/>
  <c r="AR62" i="3"/>
  <c r="AQ62" i="3"/>
  <c r="AM62" i="3"/>
  <c r="AC62" i="3"/>
  <c r="K62" i="3"/>
  <c r="AV61" i="3"/>
  <c r="AR61" i="3"/>
  <c r="AQ61" i="3"/>
  <c r="AM61" i="3"/>
  <c r="AS61" i="3" s="1"/>
  <c r="AC61" i="3"/>
  <c r="T61" i="3"/>
  <c r="K61" i="3"/>
  <c r="AV60" i="3"/>
  <c r="AR60" i="3"/>
  <c r="AQ60" i="3"/>
  <c r="AM60" i="3"/>
  <c r="AC60" i="3"/>
  <c r="V60" i="3"/>
  <c r="T60" i="3"/>
  <c r="K60" i="3"/>
  <c r="AS60" i="3" s="1"/>
  <c r="AV59" i="3"/>
  <c r="AR59" i="3"/>
  <c r="AQ59" i="3"/>
  <c r="AM59" i="3"/>
  <c r="AC59" i="3"/>
  <c r="K59" i="3"/>
  <c r="AS59" i="3" s="1"/>
  <c r="AV58" i="3"/>
  <c r="AR58" i="3"/>
  <c r="AQ58" i="3"/>
  <c r="AM58" i="3"/>
  <c r="AC58" i="3"/>
  <c r="K58" i="3"/>
  <c r="AS58" i="3" s="1"/>
  <c r="AV57" i="3"/>
  <c r="AR57" i="3"/>
  <c r="AQ57" i="3"/>
  <c r="AM57" i="3"/>
  <c r="AC57" i="3"/>
  <c r="K57" i="3"/>
  <c r="AS57" i="3" s="1"/>
  <c r="AV56" i="3"/>
  <c r="AR56" i="3"/>
  <c r="AQ56" i="3"/>
  <c r="AM56" i="3"/>
  <c r="AC56" i="3"/>
  <c r="AS56" i="3" s="1"/>
  <c r="K56" i="3"/>
  <c r="AV55" i="3"/>
  <c r="AS55" i="3"/>
  <c r="AR55" i="3"/>
  <c r="AQ55" i="3"/>
  <c r="AM55" i="3"/>
  <c r="AC55" i="3"/>
  <c r="V55" i="3"/>
  <c r="K55" i="3"/>
  <c r="AV54" i="3"/>
  <c r="AS54" i="3"/>
  <c r="AR54" i="3"/>
  <c r="AQ54" i="3"/>
  <c r="AM54" i="3"/>
  <c r="AC54" i="3"/>
  <c r="K54" i="3"/>
  <c r="AV53" i="3"/>
  <c r="AR53" i="3"/>
  <c r="AQ53" i="3"/>
  <c r="AM53" i="3"/>
  <c r="AC53" i="3"/>
  <c r="K53" i="3"/>
  <c r="AS53" i="3" s="1"/>
  <c r="AV52" i="3"/>
  <c r="AR52" i="3"/>
  <c r="AQ52" i="3"/>
  <c r="AM52" i="3"/>
  <c r="AH52" i="3"/>
  <c r="AC52" i="3"/>
  <c r="K52" i="3"/>
  <c r="AS52" i="3" s="1"/>
  <c r="AV51" i="3"/>
  <c r="AR51" i="3"/>
  <c r="AQ51" i="3"/>
  <c r="AM51" i="3"/>
  <c r="AC51" i="3"/>
  <c r="Z51" i="3"/>
  <c r="K51" i="3"/>
  <c r="AV50" i="3"/>
  <c r="AR50" i="3"/>
  <c r="AQ50" i="3"/>
  <c r="AM50" i="3"/>
  <c r="AC50" i="3"/>
  <c r="AB50" i="3"/>
  <c r="Z50" i="3"/>
  <c r="K50" i="3"/>
  <c r="AV49" i="3"/>
  <c r="AS49" i="3"/>
  <c r="AR49" i="3"/>
  <c r="AQ49" i="3"/>
  <c r="AM49" i="3"/>
  <c r="AC49" i="3"/>
  <c r="Z49" i="3"/>
  <c r="R49" i="3"/>
  <c r="K49" i="3"/>
  <c r="AR48" i="3"/>
  <c r="AQ48" i="3"/>
  <c r="AM48" i="3"/>
  <c r="AC48" i="3"/>
  <c r="AS48" i="3" s="1"/>
  <c r="K48" i="3"/>
  <c r="AV47" i="3"/>
  <c r="AR47" i="3"/>
  <c r="AQ47" i="3"/>
  <c r="AM47" i="3"/>
  <c r="AJ47" i="3"/>
  <c r="AF47" i="3"/>
  <c r="AC47" i="3"/>
  <c r="AS47" i="3" s="1"/>
  <c r="K47" i="3"/>
  <c r="AV46" i="3"/>
  <c r="AS46" i="3"/>
  <c r="AR46" i="3"/>
  <c r="AQ46" i="3"/>
  <c r="AM46" i="3"/>
  <c r="AH46" i="3"/>
  <c r="AC46" i="3"/>
  <c r="K46" i="3"/>
  <c r="AV45" i="3"/>
  <c r="AR45" i="3"/>
  <c r="AQ45" i="3"/>
  <c r="AM45" i="3"/>
  <c r="AJ45" i="3"/>
  <c r="AC45" i="3"/>
  <c r="T45" i="3"/>
  <c r="R45" i="3"/>
  <c r="K45" i="3"/>
  <c r="AS45" i="3" s="1"/>
  <c r="AV44" i="3"/>
  <c r="AR44" i="3"/>
  <c r="AQ44" i="3"/>
  <c r="AM44" i="3"/>
  <c r="AC44" i="3"/>
  <c r="V44" i="3"/>
  <c r="K44" i="3"/>
  <c r="AV43" i="3"/>
  <c r="AR43" i="3"/>
  <c r="AQ43" i="3"/>
  <c r="AM43" i="3"/>
  <c r="AC43" i="3"/>
  <c r="Z43" i="3"/>
  <c r="X43" i="3"/>
  <c r="K43" i="3"/>
  <c r="AV42" i="3"/>
  <c r="AS42" i="3"/>
  <c r="AR42" i="3"/>
  <c r="AQ42" i="3"/>
  <c r="AM42" i="3"/>
  <c r="AC42" i="3"/>
  <c r="Z42" i="3"/>
  <c r="K42" i="3"/>
  <c r="AV41" i="3"/>
  <c r="AR41" i="3"/>
  <c r="AQ41" i="3"/>
  <c r="AM41" i="3"/>
  <c r="AH41" i="3"/>
  <c r="AC41" i="3"/>
  <c r="AS41" i="3" s="1"/>
  <c r="K41" i="3"/>
  <c r="AV40" i="3"/>
  <c r="AR40" i="3"/>
  <c r="AQ40" i="3"/>
  <c r="AM40" i="3"/>
  <c r="AH40" i="3"/>
  <c r="AC40" i="3"/>
  <c r="AS40" i="3" s="1"/>
  <c r="V40" i="3"/>
  <c r="T40" i="3"/>
  <c r="K40" i="3"/>
  <c r="AV39" i="3"/>
  <c r="AR39" i="3"/>
  <c r="AQ39" i="3"/>
  <c r="AM39" i="3"/>
  <c r="AH39" i="3"/>
  <c r="AC39" i="3"/>
  <c r="AS39" i="3" s="1"/>
  <c r="K39" i="3"/>
  <c r="AV38" i="3"/>
  <c r="AS38" i="3"/>
  <c r="AR38" i="3"/>
  <c r="AQ38" i="3"/>
  <c r="AM38" i="3"/>
  <c r="AC38" i="3"/>
  <c r="Z38" i="3"/>
  <c r="T38" i="3"/>
  <c r="K38" i="3"/>
  <c r="AV37" i="3"/>
  <c r="AR37" i="3"/>
  <c r="AQ37" i="3"/>
  <c r="AM37" i="3"/>
  <c r="AS37" i="3" s="1"/>
  <c r="AH37" i="3"/>
  <c r="AC37" i="3"/>
  <c r="Z37" i="3"/>
  <c r="T37" i="3"/>
  <c r="K37" i="3"/>
  <c r="AV36" i="3"/>
  <c r="AR36" i="3"/>
  <c r="AQ36" i="3"/>
  <c r="AM36" i="3"/>
  <c r="AH36" i="3"/>
  <c r="AC36" i="3"/>
  <c r="AS36" i="3" s="1"/>
  <c r="AB36" i="3"/>
  <c r="K36" i="3"/>
  <c r="AV35" i="3"/>
  <c r="AR35" i="3"/>
  <c r="AQ35" i="3"/>
  <c r="AM35" i="3"/>
  <c r="AH35" i="3"/>
  <c r="AC35" i="3"/>
  <c r="Z35" i="3"/>
  <c r="T35" i="3"/>
  <c r="K35" i="3"/>
  <c r="AS35" i="3" s="1"/>
  <c r="AV34" i="3"/>
  <c r="AS34" i="3"/>
  <c r="AR34" i="3"/>
  <c r="AQ34" i="3"/>
  <c r="AM34" i="3"/>
  <c r="AC34" i="3"/>
  <c r="P34" i="3"/>
  <c r="K34" i="3"/>
  <c r="AV33" i="3"/>
  <c r="AS33" i="3"/>
  <c r="AR33" i="3"/>
  <c r="AQ33" i="3"/>
  <c r="AM33" i="3"/>
  <c r="AH33" i="3"/>
  <c r="AF33" i="3"/>
  <c r="AC33" i="3"/>
  <c r="T33" i="3"/>
  <c r="R33" i="3"/>
  <c r="K33" i="3"/>
  <c r="AV32" i="3"/>
  <c r="AR32" i="3"/>
  <c r="AQ32" i="3"/>
  <c r="AM32" i="3"/>
  <c r="AJ32" i="3"/>
  <c r="AH32" i="3"/>
  <c r="AC32" i="3"/>
  <c r="Z32" i="3"/>
  <c r="V32" i="3"/>
  <c r="T32" i="3"/>
  <c r="K32" i="3"/>
  <c r="AS32" i="3" s="1"/>
  <c r="AV31" i="3"/>
  <c r="AS31" i="3"/>
  <c r="AR31" i="3"/>
  <c r="AQ31" i="3"/>
  <c r="AM31" i="3"/>
  <c r="AJ31" i="3"/>
  <c r="AC31" i="3"/>
  <c r="V31" i="3"/>
  <c r="K31" i="3"/>
  <c r="AV30" i="3"/>
  <c r="AR30" i="3"/>
  <c r="AQ30" i="3"/>
  <c r="AM30" i="3"/>
  <c r="AH30" i="3"/>
  <c r="AC30" i="3"/>
  <c r="Z30" i="3"/>
  <c r="X30" i="3"/>
  <c r="T30" i="3"/>
  <c r="K30" i="3"/>
  <c r="AS30" i="3" s="1"/>
  <c r="AR29" i="3"/>
  <c r="AQ29" i="3"/>
  <c r="AM29" i="3"/>
  <c r="AC29" i="3"/>
  <c r="AB29" i="3"/>
  <c r="Z29" i="3"/>
  <c r="K29" i="3"/>
  <c r="AV28" i="3"/>
  <c r="AR28" i="3"/>
  <c r="AQ28" i="3"/>
  <c r="AM28" i="3"/>
  <c r="AC28" i="3"/>
  <c r="AS28" i="3" s="1"/>
  <c r="AB28" i="3"/>
  <c r="K28" i="3"/>
  <c r="AR27" i="3"/>
  <c r="AQ27" i="3"/>
  <c r="AM27" i="3"/>
  <c r="AH27" i="3"/>
  <c r="AC27" i="3"/>
  <c r="Z27" i="3"/>
  <c r="T27" i="3"/>
  <c r="K27" i="3"/>
  <c r="AS26" i="3"/>
  <c r="AR26" i="3"/>
  <c r="AQ26" i="3"/>
  <c r="AM26" i="3"/>
  <c r="AC26" i="3"/>
  <c r="K26" i="3"/>
  <c r="AS25" i="3"/>
  <c r="AR25" i="3"/>
  <c r="AQ25" i="3"/>
  <c r="AM25" i="3"/>
  <c r="AH25" i="3"/>
  <c r="AC25" i="3"/>
  <c r="T25" i="3"/>
  <c r="R25" i="3"/>
  <c r="K25" i="3"/>
  <c r="AV24" i="3"/>
  <c r="AR24" i="3"/>
  <c r="AQ24" i="3"/>
  <c r="AM24" i="3"/>
  <c r="AJ24" i="3"/>
  <c r="AH24" i="3"/>
  <c r="AC24" i="3"/>
  <c r="Z24" i="3"/>
  <c r="V24" i="3"/>
  <c r="T24" i="3"/>
  <c r="K24" i="3"/>
  <c r="AS24" i="3" s="1"/>
  <c r="AV23" i="3"/>
  <c r="AQ23" i="3"/>
  <c r="AM23" i="3"/>
  <c r="AH23" i="3"/>
  <c r="AC23" i="3"/>
  <c r="Z23" i="3"/>
  <c r="T23" i="3"/>
  <c r="K23" i="3"/>
  <c r="AS23" i="3" s="1"/>
  <c r="J23" i="3"/>
  <c r="AV22" i="3"/>
  <c r="AQ22" i="3"/>
  <c r="AM22" i="3"/>
  <c r="AC22" i="3"/>
  <c r="AB22" i="3"/>
  <c r="K22" i="3"/>
  <c r="AS22" i="3" s="1"/>
  <c r="AV21" i="3"/>
  <c r="AR21" i="3"/>
  <c r="AQ21" i="3"/>
  <c r="AM21" i="3"/>
  <c r="AH21" i="3"/>
  <c r="AC21" i="3"/>
  <c r="Z21" i="3"/>
  <c r="T21" i="3"/>
  <c r="K21" i="3"/>
  <c r="AV20" i="3"/>
  <c r="AS20" i="3"/>
  <c r="AR20" i="3"/>
  <c r="AQ20" i="3"/>
  <c r="AM20" i="3"/>
  <c r="AC20" i="3"/>
  <c r="K20" i="3"/>
  <c r="AV19" i="3"/>
  <c r="AS19" i="3"/>
  <c r="AR19" i="3"/>
  <c r="AQ19" i="3"/>
  <c r="AM19" i="3"/>
  <c r="AH19" i="3"/>
  <c r="AC19" i="3"/>
  <c r="T19" i="3"/>
  <c r="K19" i="3"/>
  <c r="AV18" i="3"/>
  <c r="AR18" i="3"/>
  <c r="AQ18" i="3"/>
  <c r="AM18" i="3"/>
  <c r="AJ18" i="3"/>
  <c r="AH18" i="3"/>
  <c r="AC18" i="3"/>
  <c r="Z18" i="3"/>
  <c r="V18" i="3"/>
  <c r="T18" i="3"/>
  <c r="K18" i="3"/>
  <c r="AS18" i="3" s="1"/>
  <c r="AV17" i="3"/>
  <c r="AS17" i="3"/>
  <c r="AR17" i="3"/>
  <c r="AQ17" i="3"/>
  <c r="AM17" i="3"/>
  <c r="AJ17" i="3"/>
  <c r="AC17" i="3"/>
  <c r="V17" i="3"/>
  <c r="K17" i="3"/>
  <c r="J17" i="3"/>
  <c r="AV16" i="3"/>
  <c r="AR16" i="3"/>
  <c r="AQ16" i="3"/>
  <c r="AM16" i="3"/>
  <c r="AH16" i="3"/>
  <c r="AC16" i="3"/>
  <c r="Z16" i="3"/>
  <c r="T16" i="3"/>
  <c r="K16" i="3"/>
  <c r="AV15" i="3"/>
  <c r="AR15" i="3"/>
  <c r="AQ15" i="3"/>
  <c r="AM15" i="3"/>
  <c r="AC15" i="3"/>
  <c r="AB15" i="3"/>
  <c r="Z15" i="3"/>
  <c r="K15" i="3"/>
  <c r="AV14" i="3"/>
  <c r="AR14" i="3"/>
  <c r="AQ14" i="3"/>
  <c r="AM14" i="3"/>
  <c r="AC14" i="3"/>
  <c r="AS14" i="3" s="1"/>
  <c r="AB14" i="3"/>
  <c r="K14" i="3"/>
  <c r="AV13" i="3"/>
  <c r="AR13" i="3"/>
  <c r="AQ13" i="3"/>
  <c r="AM13" i="3"/>
  <c r="AH13" i="3"/>
  <c r="AC13" i="3"/>
  <c r="AC113" i="3" s="1"/>
  <c r="Z13" i="3"/>
  <c r="T13" i="3"/>
  <c r="K13" i="3"/>
  <c r="AQ12" i="3"/>
  <c r="AS12" i="3" s="1"/>
  <c r="AM12" i="3"/>
  <c r="AJ12" i="3"/>
  <c r="AJ93" i="3" s="1"/>
  <c r="AH12" i="3"/>
  <c r="AH103" i="3" s="1"/>
  <c r="AF12" i="3"/>
  <c r="AC12" i="3"/>
  <c r="AB12" i="3"/>
  <c r="AB102" i="3" s="1"/>
  <c r="Z12" i="3"/>
  <c r="Z91" i="3" s="1"/>
  <c r="V12" i="3"/>
  <c r="V63" i="3" s="1"/>
  <c r="T12" i="3"/>
  <c r="T92" i="3" s="1"/>
  <c r="R12" i="3"/>
  <c r="P12" i="3"/>
  <c r="K12" i="3"/>
  <c r="V7" i="3"/>
  <c r="Y7" i="3" s="1"/>
  <c r="R7" i="3"/>
  <c r="M7" i="3"/>
  <c r="O6" i="3"/>
  <c r="AP12" i="3" s="1"/>
  <c r="O5" i="3"/>
  <c r="AL12" i="3" s="1"/>
  <c r="AL17" i="3" s="1"/>
  <c r="O4" i="3"/>
  <c r="X12" i="3" s="1"/>
  <c r="O3" i="3"/>
  <c r="J12" i="3" s="1"/>
  <c r="J107" i="3" l="1"/>
  <c r="J99" i="3"/>
  <c r="J106" i="3"/>
  <c r="J105" i="3"/>
  <c r="J97" i="3"/>
  <c r="J111" i="3"/>
  <c r="J103" i="3"/>
  <c r="J95" i="3"/>
  <c r="J108" i="3"/>
  <c r="J89" i="3"/>
  <c r="J81" i="3"/>
  <c r="J73" i="3"/>
  <c r="J65" i="3"/>
  <c r="J57" i="3"/>
  <c r="J49" i="3"/>
  <c r="J41" i="3"/>
  <c r="J100" i="3"/>
  <c r="J96" i="3"/>
  <c r="J88" i="3"/>
  <c r="J80" i="3"/>
  <c r="J72" i="3"/>
  <c r="J64" i="3"/>
  <c r="J56" i="3"/>
  <c r="J48" i="3"/>
  <c r="J40" i="3"/>
  <c r="J109" i="3"/>
  <c r="J87" i="3"/>
  <c r="J79" i="3"/>
  <c r="J71" i="3"/>
  <c r="J63" i="3"/>
  <c r="J55" i="3"/>
  <c r="J47" i="3"/>
  <c r="J112" i="3"/>
  <c r="J94" i="3"/>
  <c r="J86" i="3"/>
  <c r="J98" i="3"/>
  <c r="J93" i="3"/>
  <c r="J85" i="3"/>
  <c r="J77" i="3"/>
  <c r="J69" i="3"/>
  <c r="J61" i="3"/>
  <c r="J53" i="3"/>
  <c r="J45" i="3"/>
  <c r="J75" i="3"/>
  <c r="J74" i="3"/>
  <c r="J62" i="3"/>
  <c r="J38" i="3"/>
  <c r="J37" i="3"/>
  <c r="J36" i="3"/>
  <c r="J28" i="3"/>
  <c r="J22" i="3"/>
  <c r="J14" i="3"/>
  <c r="J52" i="3"/>
  <c r="J31" i="3"/>
  <c r="J104" i="3"/>
  <c r="J92" i="3"/>
  <c r="J78" i="3"/>
  <c r="J60" i="3"/>
  <c r="J35" i="3"/>
  <c r="J27" i="3"/>
  <c r="J21" i="3"/>
  <c r="J13" i="3"/>
  <c r="J84" i="3"/>
  <c r="J76" i="3"/>
  <c r="J39" i="3"/>
  <c r="J34" i="3"/>
  <c r="J26" i="3"/>
  <c r="J20" i="3"/>
  <c r="J82" i="3"/>
  <c r="J68" i="3"/>
  <c r="J102" i="3"/>
  <c r="J67" i="3"/>
  <c r="J66" i="3"/>
  <c r="J51" i="3"/>
  <c r="J50" i="3"/>
  <c r="J44" i="3"/>
  <c r="J43" i="3"/>
  <c r="J33" i="3"/>
  <c r="J25" i="3"/>
  <c r="J19" i="3"/>
  <c r="J90" i="3"/>
  <c r="J70" i="3"/>
  <c r="J54" i="3"/>
  <c r="J32" i="3"/>
  <c r="J24" i="3"/>
  <c r="J18" i="3"/>
  <c r="J110" i="3"/>
  <c r="J83" i="3"/>
  <c r="J59" i="3"/>
  <c r="J58" i="3"/>
  <c r="J46" i="3"/>
  <c r="J29" i="3"/>
  <c r="J15" i="3"/>
  <c r="J101" i="3"/>
  <c r="P111" i="3"/>
  <c r="P103" i="3"/>
  <c r="P95" i="3"/>
  <c r="P110" i="3"/>
  <c r="P109" i="3"/>
  <c r="P101" i="3"/>
  <c r="P107" i="3"/>
  <c r="P99" i="3"/>
  <c r="P112" i="3"/>
  <c r="P104" i="3"/>
  <c r="P98" i="3"/>
  <c r="P93" i="3"/>
  <c r="P85" i="3"/>
  <c r="P77" i="3"/>
  <c r="P69" i="3"/>
  <c r="P61" i="3"/>
  <c r="P53" i="3"/>
  <c r="P45" i="3"/>
  <c r="P97" i="3"/>
  <c r="P92" i="3"/>
  <c r="P84" i="3"/>
  <c r="P76" i="3"/>
  <c r="P68" i="3"/>
  <c r="P60" i="3"/>
  <c r="P52" i="3"/>
  <c r="P44" i="3"/>
  <c r="P102" i="3"/>
  <c r="P91" i="3"/>
  <c r="P83" i="3"/>
  <c r="P75" i="3"/>
  <c r="P67" i="3"/>
  <c r="P59" i="3"/>
  <c r="P51" i="3"/>
  <c r="P105" i="3"/>
  <c r="P90" i="3"/>
  <c r="P82" i="3"/>
  <c r="P108" i="3"/>
  <c r="P89" i="3"/>
  <c r="P81" i="3"/>
  <c r="P73" i="3"/>
  <c r="P65" i="3"/>
  <c r="P57" i="3"/>
  <c r="P49" i="3"/>
  <c r="P41" i="3"/>
  <c r="P88" i="3"/>
  <c r="P66" i="3"/>
  <c r="P55" i="3"/>
  <c r="P50" i="3"/>
  <c r="P43" i="3"/>
  <c r="P40" i="3"/>
  <c r="P32" i="3"/>
  <c r="P24" i="3"/>
  <c r="P18" i="3"/>
  <c r="P87" i="3"/>
  <c r="P38" i="3"/>
  <c r="P37" i="3"/>
  <c r="P35" i="3"/>
  <c r="P21" i="3"/>
  <c r="P80" i="3"/>
  <c r="P71" i="3"/>
  <c r="P56" i="3"/>
  <c r="P31" i="3"/>
  <c r="P17" i="3"/>
  <c r="P96" i="3"/>
  <c r="P72" i="3"/>
  <c r="P70" i="3"/>
  <c r="P54" i="3"/>
  <c r="P30" i="3"/>
  <c r="P23" i="3"/>
  <c r="P16" i="3"/>
  <c r="P94" i="3"/>
  <c r="P47" i="3"/>
  <c r="P42" i="3"/>
  <c r="P29" i="3"/>
  <c r="P15" i="3"/>
  <c r="P46" i="3"/>
  <c r="P86" i="3"/>
  <c r="P63" i="3"/>
  <c r="P58" i="3"/>
  <c r="P48" i="3"/>
  <c r="P36" i="3"/>
  <c r="P28" i="3"/>
  <c r="P22" i="3"/>
  <c r="P14" i="3"/>
  <c r="P74" i="3"/>
  <c r="P27" i="3"/>
  <c r="P106" i="3"/>
  <c r="P100" i="3"/>
  <c r="P78" i="3"/>
  <c r="P33" i="3"/>
  <c r="P25" i="3"/>
  <c r="P19" i="3"/>
  <c r="P64" i="3"/>
  <c r="AF110" i="3"/>
  <c r="AF102" i="3"/>
  <c r="AN102" i="3" s="1"/>
  <c r="AF94" i="3"/>
  <c r="AN94" i="3" s="1"/>
  <c r="AF109" i="3"/>
  <c r="AF108" i="3"/>
  <c r="AF100" i="3"/>
  <c r="AF106" i="3"/>
  <c r="AF98" i="3"/>
  <c r="AF111" i="3"/>
  <c r="AF103" i="3"/>
  <c r="AN103" i="3" s="1"/>
  <c r="AF92" i="3"/>
  <c r="AN92" i="3" s="1"/>
  <c r="AF84" i="3"/>
  <c r="AF76" i="3"/>
  <c r="AF68" i="3"/>
  <c r="AF60" i="3"/>
  <c r="AF52" i="3"/>
  <c r="AF44" i="3"/>
  <c r="AF99" i="3"/>
  <c r="AF91" i="3"/>
  <c r="AN91" i="3" s="1"/>
  <c r="AF83" i="3"/>
  <c r="AF75" i="3"/>
  <c r="AF67" i="3"/>
  <c r="AF59" i="3"/>
  <c r="AF51" i="3"/>
  <c r="AF43" i="3"/>
  <c r="AF90" i="3"/>
  <c r="AF82" i="3"/>
  <c r="AN82" i="3" s="1"/>
  <c r="AF74" i="3"/>
  <c r="AF66" i="3"/>
  <c r="AF58" i="3"/>
  <c r="AF50" i="3"/>
  <c r="AF97" i="3"/>
  <c r="AF95" i="3"/>
  <c r="AF89" i="3"/>
  <c r="AF81" i="3"/>
  <c r="AN81" i="3" s="1"/>
  <c r="AF88" i="3"/>
  <c r="AF80" i="3"/>
  <c r="AF72" i="3"/>
  <c r="AF64" i="3"/>
  <c r="AF56" i="3"/>
  <c r="AF48" i="3"/>
  <c r="AF105" i="3"/>
  <c r="AN105" i="3" s="1"/>
  <c r="AF62" i="3"/>
  <c r="AF45" i="3"/>
  <c r="AF31" i="3"/>
  <c r="AF17" i="3"/>
  <c r="AN12" i="3"/>
  <c r="AF107" i="3"/>
  <c r="AF20" i="3"/>
  <c r="AF87" i="3"/>
  <c r="AF78" i="3"/>
  <c r="AN78" i="3" s="1"/>
  <c r="AF61" i="3"/>
  <c r="AF40" i="3"/>
  <c r="AF30" i="3"/>
  <c r="AF23" i="3"/>
  <c r="AF16" i="3"/>
  <c r="AF112" i="3"/>
  <c r="AF101" i="3"/>
  <c r="AN101" i="3" s="1"/>
  <c r="AF79" i="3"/>
  <c r="AF77" i="3"/>
  <c r="AF65" i="3"/>
  <c r="AF49" i="3"/>
  <c r="AF29" i="3"/>
  <c r="AF15" i="3"/>
  <c r="AF53" i="3"/>
  <c r="AF34" i="3"/>
  <c r="AN34" i="3" s="1"/>
  <c r="AF55" i="3"/>
  <c r="AN55" i="3" s="1"/>
  <c r="AF28" i="3"/>
  <c r="AF22" i="3"/>
  <c r="AF14" i="3"/>
  <c r="AF93" i="3"/>
  <c r="AF69" i="3"/>
  <c r="AF38" i="3"/>
  <c r="AF26" i="3"/>
  <c r="AF71" i="3"/>
  <c r="AF70" i="3"/>
  <c r="AF54" i="3"/>
  <c r="AF42" i="3"/>
  <c r="AF37" i="3"/>
  <c r="AF36" i="3"/>
  <c r="AF35" i="3"/>
  <c r="AF27" i="3"/>
  <c r="AF21" i="3"/>
  <c r="AN21" i="3" s="1"/>
  <c r="AF13" i="3"/>
  <c r="AF104" i="3"/>
  <c r="AF86" i="3"/>
  <c r="AF73" i="3"/>
  <c r="AF63" i="3"/>
  <c r="AF46" i="3"/>
  <c r="AF41" i="3"/>
  <c r="AN41" i="3" s="1"/>
  <c r="AF32" i="3"/>
  <c r="AN32" i="3" s="1"/>
  <c r="AF24" i="3"/>
  <c r="AF18" i="3"/>
  <c r="P13" i="3"/>
  <c r="AF19" i="3"/>
  <c r="P20" i="3"/>
  <c r="X107" i="3"/>
  <c r="X99" i="3"/>
  <c r="X106" i="3"/>
  <c r="X105" i="3"/>
  <c r="X97" i="3"/>
  <c r="X111" i="3"/>
  <c r="X103" i="3"/>
  <c r="X95" i="3"/>
  <c r="X108" i="3"/>
  <c r="X102" i="3"/>
  <c r="X89" i="3"/>
  <c r="X81" i="3"/>
  <c r="X73" i="3"/>
  <c r="X65" i="3"/>
  <c r="X57" i="3"/>
  <c r="X49" i="3"/>
  <c r="X41" i="3"/>
  <c r="X101" i="3"/>
  <c r="X88" i="3"/>
  <c r="X80" i="3"/>
  <c r="X72" i="3"/>
  <c r="X64" i="3"/>
  <c r="X56" i="3"/>
  <c r="X48" i="3"/>
  <c r="X40" i="3"/>
  <c r="X110" i="3"/>
  <c r="X104" i="3"/>
  <c r="X87" i="3"/>
  <c r="X79" i="3"/>
  <c r="X71" i="3"/>
  <c r="X63" i="3"/>
  <c r="X55" i="3"/>
  <c r="X47" i="3"/>
  <c r="X96" i="3"/>
  <c r="X94" i="3"/>
  <c r="X86" i="3"/>
  <c r="X100" i="3"/>
  <c r="X93" i="3"/>
  <c r="X85" i="3"/>
  <c r="X77" i="3"/>
  <c r="X69" i="3"/>
  <c r="X61" i="3"/>
  <c r="X53" i="3"/>
  <c r="X45" i="3"/>
  <c r="X68" i="3"/>
  <c r="X52" i="3"/>
  <c r="X36" i="3"/>
  <c r="X28" i="3"/>
  <c r="X22" i="3"/>
  <c r="X14" i="3"/>
  <c r="X76" i="3"/>
  <c r="X90" i="3"/>
  <c r="X42" i="3"/>
  <c r="X38" i="3"/>
  <c r="X37" i="3"/>
  <c r="X35" i="3"/>
  <c r="X27" i="3"/>
  <c r="X21" i="3"/>
  <c r="X13" i="3"/>
  <c r="X82" i="3"/>
  <c r="X46" i="3"/>
  <c r="X39" i="3"/>
  <c r="X34" i="3"/>
  <c r="X26" i="3"/>
  <c r="X20" i="3"/>
  <c r="X44" i="3"/>
  <c r="X31" i="3"/>
  <c r="X98" i="3"/>
  <c r="X91" i="3"/>
  <c r="X62" i="3"/>
  <c r="X59" i="3"/>
  <c r="X58" i="3"/>
  <c r="X33" i="3"/>
  <c r="X25" i="3"/>
  <c r="X19" i="3"/>
  <c r="X112" i="3"/>
  <c r="X83" i="3"/>
  <c r="X78" i="3"/>
  <c r="X75" i="3"/>
  <c r="X74" i="3"/>
  <c r="X60" i="3"/>
  <c r="X32" i="3"/>
  <c r="X24" i="3"/>
  <c r="X18" i="3"/>
  <c r="X92" i="3"/>
  <c r="X109" i="3"/>
  <c r="X70" i="3"/>
  <c r="X67" i="3"/>
  <c r="X66" i="3"/>
  <c r="X54" i="3"/>
  <c r="X51" i="3"/>
  <c r="X50" i="3"/>
  <c r="X29" i="3"/>
  <c r="X15" i="3"/>
  <c r="R110" i="3"/>
  <c r="R102" i="3"/>
  <c r="R109" i="3"/>
  <c r="R108" i="3"/>
  <c r="R100" i="3"/>
  <c r="R106" i="3"/>
  <c r="R98" i="3"/>
  <c r="R111" i="3"/>
  <c r="R103" i="3"/>
  <c r="R107" i="3"/>
  <c r="R97" i="3"/>
  <c r="R92" i="3"/>
  <c r="R84" i="3"/>
  <c r="R76" i="3"/>
  <c r="R68" i="3"/>
  <c r="R60" i="3"/>
  <c r="R52" i="3"/>
  <c r="R44" i="3"/>
  <c r="R112" i="3"/>
  <c r="R95" i="3"/>
  <c r="R91" i="3"/>
  <c r="R83" i="3"/>
  <c r="R75" i="3"/>
  <c r="R67" i="3"/>
  <c r="R59" i="3"/>
  <c r="R51" i="3"/>
  <c r="R43" i="3"/>
  <c r="R105" i="3"/>
  <c r="R90" i="3"/>
  <c r="R82" i="3"/>
  <c r="R74" i="3"/>
  <c r="R66" i="3"/>
  <c r="R58" i="3"/>
  <c r="R50" i="3"/>
  <c r="R101" i="3"/>
  <c r="R89" i="3"/>
  <c r="R81" i="3"/>
  <c r="R104" i="3"/>
  <c r="R88" i="3"/>
  <c r="R80" i="3"/>
  <c r="R72" i="3"/>
  <c r="R64" i="3"/>
  <c r="R56" i="3"/>
  <c r="R48" i="3"/>
  <c r="R71" i="3"/>
  <c r="R31" i="3"/>
  <c r="R17" i="3"/>
  <c r="R62" i="3"/>
  <c r="R99" i="3"/>
  <c r="R96" i="3"/>
  <c r="R93" i="3"/>
  <c r="R70" i="3"/>
  <c r="R54" i="3"/>
  <c r="R30" i="3"/>
  <c r="R23" i="3"/>
  <c r="R16" i="3"/>
  <c r="R39" i="3"/>
  <c r="R26" i="3"/>
  <c r="R94" i="3"/>
  <c r="R85" i="3"/>
  <c r="R69" i="3"/>
  <c r="R57" i="3"/>
  <c r="R53" i="3"/>
  <c r="R47" i="3"/>
  <c r="R42" i="3"/>
  <c r="R29" i="3"/>
  <c r="R15" i="3"/>
  <c r="R86" i="3"/>
  <c r="R73" i="3"/>
  <c r="R63" i="3"/>
  <c r="R36" i="3"/>
  <c r="R28" i="3"/>
  <c r="R22" i="3"/>
  <c r="R14" i="3"/>
  <c r="R79" i="3"/>
  <c r="R87" i="3"/>
  <c r="R46" i="3"/>
  <c r="R41" i="3"/>
  <c r="R38" i="3"/>
  <c r="R37" i="3"/>
  <c r="R35" i="3"/>
  <c r="R27" i="3"/>
  <c r="R21" i="3"/>
  <c r="R13" i="3"/>
  <c r="R113" i="3" s="1"/>
  <c r="R34" i="3"/>
  <c r="R77" i="3"/>
  <c r="R55" i="3"/>
  <c r="R40" i="3"/>
  <c r="R32" i="3"/>
  <c r="R24" i="3"/>
  <c r="R18" i="3"/>
  <c r="X16" i="3"/>
  <c r="R20" i="3"/>
  <c r="AS21" i="3"/>
  <c r="R61" i="3"/>
  <c r="P62" i="3"/>
  <c r="R65" i="3"/>
  <c r="AF85" i="3"/>
  <c r="AL107" i="3"/>
  <c r="AL99" i="3"/>
  <c r="AL106" i="3"/>
  <c r="AL105" i="3"/>
  <c r="AL97" i="3"/>
  <c r="AL111" i="3"/>
  <c r="AL103" i="3"/>
  <c r="AL95" i="3"/>
  <c r="AL108" i="3"/>
  <c r="AL89" i="3"/>
  <c r="AL81" i="3"/>
  <c r="AL73" i="3"/>
  <c r="AL65" i="3"/>
  <c r="AL57" i="3"/>
  <c r="AL49" i="3"/>
  <c r="AL41" i="3"/>
  <c r="AL98" i="3"/>
  <c r="AL88" i="3"/>
  <c r="AL80" i="3"/>
  <c r="AL72" i="3"/>
  <c r="AL64" i="3"/>
  <c r="AL56" i="3"/>
  <c r="AL48" i="3"/>
  <c r="AL40" i="3"/>
  <c r="AL87" i="3"/>
  <c r="AL79" i="3"/>
  <c r="AL71" i="3"/>
  <c r="AL63" i="3"/>
  <c r="AL55" i="3"/>
  <c r="AL47" i="3"/>
  <c r="AL112" i="3"/>
  <c r="AL102" i="3"/>
  <c r="AL86" i="3"/>
  <c r="AL109" i="3"/>
  <c r="AL101" i="3"/>
  <c r="AL96" i="3"/>
  <c r="AL94" i="3"/>
  <c r="AL93" i="3"/>
  <c r="AL85" i="3"/>
  <c r="AL77" i="3"/>
  <c r="AL69" i="3"/>
  <c r="AL61" i="3"/>
  <c r="AL53" i="3"/>
  <c r="AL45" i="3"/>
  <c r="AL83" i="3"/>
  <c r="AL76" i="3"/>
  <c r="AL75" i="3"/>
  <c r="AL44" i="3"/>
  <c r="AL28" i="3"/>
  <c r="AL22" i="3"/>
  <c r="AL46" i="3"/>
  <c r="AL31" i="3"/>
  <c r="AL92" i="3"/>
  <c r="AL43" i="3"/>
  <c r="AL37" i="3"/>
  <c r="AL36" i="3"/>
  <c r="AL35" i="3"/>
  <c r="AL27" i="3"/>
  <c r="AL21" i="3"/>
  <c r="AL13" i="3"/>
  <c r="AL84" i="3"/>
  <c r="AL70" i="3"/>
  <c r="AL66" i="3"/>
  <c r="AL54" i="3"/>
  <c r="AL50" i="3"/>
  <c r="AL38" i="3"/>
  <c r="AL34" i="3"/>
  <c r="AL26" i="3"/>
  <c r="AL20" i="3"/>
  <c r="AL110" i="3"/>
  <c r="AL104" i="3"/>
  <c r="AL100" i="3"/>
  <c r="AL68" i="3"/>
  <c r="AL67" i="3"/>
  <c r="AL52" i="3"/>
  <c r="AL51" i="3"/>
  <c r="AL42" i="3"/>
  <c r="AL39" i="3"/>
  <c r="AL33" i="3"/>
  <c r="AL25" i="3"/>
  <c r="AL19" i="3"/>
  <c r="AL90" i="3"/>
  <c r="AL32" i="3"/>
  <c r="AL24" i="3"/>
  <c r="AL18" i="3"/>
  <c r="AL91" i="3"/>
  <c r="AL78" i="3"/>
  <c r="AL74" i="3"/>
  <c r="AL60" i="3"/>
  <c r="AL59" i="3"/>
  <c r="AL29" i="3"/>
  <c r="AL15" i="3"/>
  <c r="AL14" i="3"/>
  <c r="AP22" i="3"/>
  <c r="AP23" i="3"/>
  <c r="AR23" i="3" s="1"/>
  <c r="AS15" i="3"/>
  <c r="AS27" i="3"/>
  <c r="AL30" i="3"/>
  <c r="P39" i="3"/>
  <c r="AR12" i="3"/>
  <c r="AL16" i="3"/>
  <c r="R19" i="3"/>
  <c r="P26" i="3"/>
  <c r="J30" i="3"/>
  <c r="AL58" i="3"/>
  <c r="AN47" i="3"/>
  <c r="AL82" i="3"/>
  <c r="J91" i="3"/>
  <c r="AS13" i="3"/>
  <c r="J16" i="3"/>
  <c r="X17" i="3"/>
  <c r="X23" i="3"/>
  <c r="AF25" i="3"/>
  <c r="AN25" i="3" s="1"/>
  <c r="AS29" i="3"/>
  <c r="AF39" i="3"/>
  <c r="J42" i="3"/>
  <c r="AF57" i="3"/>
  <c r="AL23" i="3"/>
  <c r="AL62" i="3"/>
  <c r="AQ113" i="3"/>
  <c r="AS16" i="3"/>
  <c r="X84" i="3"/>
  <c r="N12" i="3"/>
  <c r="AB13" i="3"/>
  <c r="Z14" i="3"/>
  <c r="V16" i="3"/>
  <c r="AJ16" i="3"/>
  <c r="T17" i="3"/>
  <c r="AH17" i="3"/>
  <c r="AB21" i="3"/>
  <c r="Z22" i="3"/>
  <c r="V23" i="3"/>
  <c r="AJ23" i="3"/>
  <c r="AB27" i="3"/>
  <c r="Z28" i="3"/>
  <c r="V30" i="3"/>
  <c r="AJ30" i="3"/>
  <c r="T31" i="3"/>
  <c r="AH31" i="3"/>
  <c r="AB35" i="3"/>
  <c r="Z36" i="3"/>
  <c r="AB37" i="3"/>
  <c r="AJ40" i="3"/>
  <c r="AB42" i="3"/>
  <c r="V43" i="3"/>
  <c r="T44" i="3"/>
  <c r="AH45" i="3"/>
  <c r="AH48" i="3"/>
  <c r="AB52" i="3"/>
  <c r="Z53" i="3"/>
  <c r="AB56" i="3"/>
  <c r="AJ61" i="3"/>
  <c r="AH62" i="3"/>
  <c r="AB68" i="3"/>
  <c r="Z69" i="3"/>
  <c r="V71" i="3"/>
  <c r="AS74" i="3"/>
  <c r="T76" i="3"/>
  <c r="V84" i="3"/>
  <c r="AB88" i="3"/>
  <c r="AS89" i="3"/>
  <c r="AB90" i="3"/>
  <c r="V93" i="3"/>
  <c r="AS99" i="3"/>
  <c r="AJ105" i="3"/>
  <c r="AB107" i="3"/>
  <c r="T109" i="3"/>
  <c r="T101" i="3"/>
  <c r="T108" i="3"/>
  <c r="T107" i="3"/>
  <c r="T99" i="3"/>
  <c r="T105" i="3"/>
  <c r="T97" i="3"/>
  <c r="T110" i="3"/>
  <c r="T102" i="3"/>
  <c r="T112" i="3"/>
  <c r="T95" i="3"/>
  <c r="T91" i="3"/>
  <c r="T83" i="3"/>
  <c r="T75" i="3"/>
  <c r="T67" i="3"/>
  <c r="T59" i="3"/>
  <c r="T51" i="3"/>
  <c r="T43" i="3"/>
  <c r="T90" i="3"/>
  <c r="T82" i="3"/>
  <c r="T74" i="3"/>
  <c r="T66" i="3"/>
  <c r="T58" i="3"/>
  <c r="T50" i="3"/>
  <c r="T42" i="3"/>
  <c r="T103" i="3"/>
  <c r="T89" i="3"/>
  <c r="T81" i="3"/>
  <c r="T73" i="3"/>
  <c r="T65" i="3"/>
  <c r="T57" i="3"/>
  <c r="T49" i="3"/>
  <c r="T104" i="3"/>
  <c r="T88" i="3"/>
  <c r="T80" i="3"/>
  <c r="T106" i="3"/>
  <c r="T96" i="3"/>
  <c r="T87" i="3"/>
  <c r="T79" i="3"/>
  <c r="T71" i="3"/>
  <c r="T63" i="3"/>
  <c r="T55" i="3"/>
  <c r="T47" i="3"/>
  <c r="AH109" i="3"/>
  <c r="AH101" i="3"/>
  <c r="AH108" i="3"/>
  <c r="AH107" i="3"/>
  <c r="AH99" i="3"/>
  <c r="AH105" i="3"/>
  <c r="AH97" i="3"/>
  <c r="AH110" i="3"/>
  <c r="AH102" i="3"/>
  <c r="AH91" i="3"/>
  <c r="AH83" i="3"/>
  <c r="AH75" i="3"/>
  <c r="AH67" i="3"/>
  <c r="AH59" i="3"/>
  <c r="AH51" i="3"/>
  <c r="AH43" i="3"/>
  <c r="AH106" i="3"/>
  <c r="AH90" i="3"/>
  <c r="AH82" i="3"/>
  <c r="AH74" i="3"/>
  <c r="AH66" i="3"/>
  <c r="AH58" i="3"/>
  <c r="AH50" i="3"/>
  <c r="AH42" i="3"/>
  <c r="AH111" i="3"/>
  <c r="AH98" i="3"/>
  <c r="AH95" i="3"/>
  <c r="AH89" i="3"/>
  <c r="AH81" i="3"/>
  <c r="AH73" i="3"/>
  <c r="AH65" i="3"/>
  <c r="AH57" i="3"/>
  <c r="AH49" i="3"/>
  <c r="AH88" i="3"/>
  <c r="AH80" i="3"/>
  <c r="AH112" i="3"/>
  <c r="AH87" i="3"/>
  <c r="AH79" i="3"/>
  <c r="AH71" i="3"/>
  <c r="AH63" i="3"/>
  <c r="AH55" i="3"/>
  <c r="AH47" i="3"/>
  <c r="AB16" i="3"/>
  <c r="Z17" i="3"/>
  <c r="V19" i="3"/>
  <c r="AJ19" i="3"/>
  <c r="T20" i="3"/>
  <c r="AH20" i="3"/>
  <c r="AB23" i="3"/>
  <c r="V25" i="3"/>
  <c r="AJ25" i="3"/>
  <c r="T26" i="3"/>
  <c r="AH26" i="3"/>
  <c r="AB30" i="3"/>
  <c r="Z31" i="3"/>
  <c r="V33" i="3"/>
  <c r="AJ33" i="3"/>
  <c r="AN33" i="3" s="1"/>
  <c r="T34" i="3"/>
  <c r="AH34" i="3"/>
  <c r="AH38" i="3"/>
  <c r="T39" i="3"/>
  <c r="AJ39" i="3"/>
  <c r="AB40" i="3"/>
  <c r="AB44" i="3"/>
  <c r="V45" i="3"/>
  <c r="AB49" i="3"/>
  <c r="AJ51" i="3"/>
  <c r="AJ52" i="3"/>
  <c r="AH53" i="3"/>
  <c r="AH56" i="3"/>
  <c r="V59" i="3"/>
  <c r="V61" i="3"/>
  <c r="T62" i="3"/>
  <c r="T64" i="3"/>
  <c r="AB65" i="3"/>
  <c r="AJ67" i="3"/>
  <c r="AJ68" i="3"/>
  <c r="AH69" i="3"/>
  <c r="AB76" i="3"/>
  <c r="Z77" i="3"/>
  <c r="AB81" i="3"/>
  <c r="AS82" i="3"/>
  <c r="AH84" i="3"/>
  <c r="AJ85" i="3"/>
  <c r="Z89" i="3"/>
  <c r="V91" i="3"/>
  <c r="AH93" i="3"/>
  <c r="Z95" i="3"/>
  <c r="Z97" i="3"/>
  <c r="T98" i="3"/>
  <c r="AH100" i="3"/>
  <c r="AS101" i="3"/>
  <c r="AH104" i="3"/>
  <c r="AJ110" i="3"/>
  <c r="V111" i="3"/>
  <c r="AO114" i="4"/>
  <c r="H12" i="3"/>
  <c r="AB17" i="3"/>
  <c r="V20" i="3"/>
  <c r="AJ20" i="3"/>
  <c r="V26" i="3"/>
  <c r="AJ26" i="3"/>
  <c r="AB31" i="3"/>
  <c r="V34" i="3"/>
  <c r="AJ34" i="3"/>
  <c r="AJ38" i="3"/>
  <c r="V39" i="3"/>
  <c r="T41" i="3"/>
  <c r="Z45" i="3"/>
  <c r="T46" i="3"/>
  <c r="T48" i="3"/>
  <c r="AJ53" i="3"/>
  <c r="AH54" i="3"/>
  <c r="AB60" i="3"/>
  <c r="Z61" i="3"/>
  <c r="AB64" i="3"/>
  <c r="AJ69" i="3"/>
  <c r="AH70" i="3"/>
  <c r="AJ71" i="3"/>
  <c r="Z74" i="3"/>
  <c r="Z75" i="3"/>
  <c r="Z83" i="3"/>
  <c r="AJ84" i="3"/>
  <c r="AB89" i="3"/>
  <c r="AH92" i="3"/>
  <c r="AB95" i="3"/>
  <c r="AJ108" i="3"/>
  <c r="AJ100" i="3"/>
  <c r="AJ107" i="3"/>
  <c r="AJ106" i="3"/>
  <c r="AJ98" i="3"/>
  <c r="AJ112" i="3"/>
  <c r="AJ104" i="3"/>
  <c r="AJ96" i="3"/>
  <c r="AN96" i="3" s="1"/>
  <c r="AJ109" i="3"/>
  <c r="AJ99" i="3"/>
  <c r="AJ90" i="3"/>
  <c r="AJ82" i="3"/>
  <c r="AJ74" i="3"/>
  <c r="AJ66" i="3"/>
  <c r="AJ58" i="3"/>
  <c r="AJ50" i="3"/>
  <c r="AJ42" i="3"/>
  <c r="AJ111" i="3"/>
  <c r="AJ95" i="3"/>
  <c r="AJ89" i="3"/>
  <c r="AJ81" i="3"/>
  <c r="AJ73" i="3"/>
  <c r="AJ65" i="3"/>
  <c r="AJ57" i="3"/>
  <c r="AJ49" i="3"/>
  <c r="AJ41" i="3"/>
  <c r="AJ97" i="3"/>
  <c r="AJ88" i="3"/>
  <c r="AJ80" i="3"/>
  <c r="AJ72" i="3"/>
  <c r="AJ64" i="3"/>
  <c r="AJ56" i="3"/>
  <c r="AJ48" i="3"/>
  <c r="AJ87" i="3"/>
  <c r="AJ79" i="3"/>
  <c r="AJ102" i="3"/>
  <c r="AJ86" i="3"/>
  <c r="AJ78" i="3"/>
  <c r="AJ70" i="3"/>
  <c r="AJ62" i="3"/>
  <c r="AJ54" i="3"/>
  <c r="AJ46" i="3"/>
  <c r="V13" i="3"/>
  <c r="AJ13" i="3"/>
  <c r="T14" i="3"/>
  <c r="AH14" i="3"/>
  <c r="AH113" i="3" s="1"/>
  <c r="AB18" i="3"/>
  <c r="Z19" i="3"/>
  <c r="V21" i="3"/>
  <c r="AJ21" i="3"/>
  <c r="T22" i="3"/>
  <c r="AH22" i="3"/>
  <c r="AB24" i="3"/>
  <c r="Z25" i="3"/>
  <c r="V27" i="3"/>
  <c r="AJ27" i="3"/>
  <c r="T28" i="3"/>
  <c r="AH28" i="3"/>
  <c r="AB32" i="3"/>
  <c r="Z33" i="3"/>
  <c r="V35" i="3"/>
  <c r="AJ35" i="3"/>
  <c r="T36" i="3"/>
  <c r="AJ36" i="3"/>
  <c r="V37" i="3"/>
  <c r="AJ37" i="3"/>
  <c r="V38" i="3"/>
  <c r="Z41" i="3"/>
  <c r="AS43" i="3"/>
  <c r="AJ43" i="3"/>
  <c r="AS44" i="3"/>
  <c r="AH44" i="3"/>
  <c r="AB45" i="3"/>
  <c r="AB48" i="3"/>
  <c r="AS50" i="3"/>
  <c r="AS51" i="3"/>
  <c r="T52" i="3"/>
  <c r="AJ55" i="3"/>
  <c r="Z58" i="3"/>
  <c r="Z59" i="3"/>
  <c r="AS67" i="3"/>
  <c r="T68" i="3"/>
  <c r="Z73" i="3"/>
  <c r="AB74" i="3"/>
  <c r="AH76" i="3"/>
  <c r="T86" i="3"/>
  <c r="AJ92" i="3"/>
  <c r="AB98" i="3"/>
  <c r="AN111" i="4"/>
  <c r="AP111" i="4" s="1"/>
  <c r="AN110" i="4"/>
  <c r="AP110" i="4" s="1"/>
  <c r="AN102" i="4"/>
  <c r="AP102" i="4" s="1"/>
  <c r="AN94" i="4"/>
  <c r="AP94" i="4" s="1"/>
  <c r="AN86" i="4"/>
  <c r="AP86" i="4" s="1"/>
  <c r="AN108" i="4"/>
  <c r="AP108" i="4" s="1"/>
  <c r="AN107" i="4"/>
  <c r="AP107" i="4" s="1"/>
  <c r="AN99" i="4"/>
  <c r="AP99" i="4" s="1"/>
  <c r="AN112" i="4"/>
  <c r="AP112" i="4" s="1"/>
  <c r="AN104" i="4"/>
  <c r="AP104" i="4" s="1"/>
  <c r="AN96" i="4"/>
  <c r="AP96" i="4" s="1"/>
  <c r="AN88" i="4"/>
  <c r="AP88" i="4" s="1"/>
  <c r="AN105" i="4"/>
  <c r="AP105" i="4" s="1"/>
  <c r="AN91" i="4"/>
  <c r="AP91" i="4" s="1"/>
  <c r="AN89" i="4"/>
  <c r="AP89" i="4" s="1"/>
  <c r="AN83" i="4"/>
  <c r="AP83" i="4" s="1"/>
  <c r="AN113" i="4"/>
  <c r="AP113" i="4" s="1"/>
  <c r="AN106" i="4"/>
  <c r="AP106" i="4" s="1"/>
  <c r="AN98" i="4"/>
  <c r="AP98" i="4" s="1"/>
  <c r="AN93" i="4"/>
  <c r="AP93" i="4" s="1"/>
  <c r="AN87" i="4"/>
  <c r="AP87" i="4" s="1"/>
  <c r="AN85" i="4"/>
  <c r="AP85" i="4" s="1"/>
  <c r="AN81" i="4"/>
  <c r="AP81" i="4" s="1"/>
  <c r="AN73" i="4"/>
  <c r="AP73" i="4" s="1"/>
  <c r="AN97" i="4"/>
  <c r="AP97" i="4" s="1"/>
  <c r="AN90" i="4"/>
  <c r="AP90" i="4" s="1"/>
  <c r="AN82" i="4"/>
  <c r="AP82" i="4" s="1"/>
  <c r="AN79" i="4"/>
  <c r="AP79" i="4" s="1"/>
  <c r="AN103" i="4"/>
  <c r="AP103" i="4" s="1"/>
  <c r="AN100" i="4"/>
  <c r="AP100" i="4" s="1"/>
  <c r="AN95" i="4"/>
  <c r="AP95" i="4" s="1"/>
  <c r="AN76" i="4"/>
  <c r="AP76" i="4" s="1"/>
  <c r="AN92" i="4"/>
  <c r="AP92" i="4" s="1"/>
  <c r="AN77" i="4"/>
  <c r="AP77" i="4" s="1"/>
  <c r="AN71" i="4"/>
  <c r="AP71" i="4" s="1"/>
  <c r="AN68" i="4"/>
  <c r="AP68" i="4" s="1"/>
  <c r="AN60" i="4"/>
  <c r="AP60" i="4" s="1"/>
  <c r="AN52" i="4"/>
  <c r="AP52" i="4" s="1"/>
  <c r="AN84" i="4"/>
  <c r="AP84" i="4" s="1"/>
  <c r="AN78" i="4"/>
  <c r="AP78" i="4" s="1"/>
  <c r="AN75" i="4"/>
  <c r="AP75" i="4" s="1"/>
  <c r="AN67" i="4"/>
  <c r="AP67" i="4" s="1"/>
  <c r="AN59" i="4"/>
  <c r="AP59" i="4" s="1"/>
  <c r="AN66" i="4"/>
  <c r="AP66" i="4" s="1"/>
  <c r="AN65" i="4"/>
  <c r="AP65" i="4" s="1"/>
  <c r="AN80" i="4"/>
  <c r="AP80" i="4" s="1"/>
  <c r="AN101" i="4"/>
  <c r="AP101" i="4" s="1"/>
  <c r="AN49" i="4"/>
  <c r="AP49" i="4" s="1"/>
  <c r="AN48" i="4"/>
  <c r="AP48" i="4" s="1"/>
  <c r="AN40" i="4"/>
  <c r="AP40" i="4" s="1"/>
  <c r="AN32" i="4"/>
  <c r="AP32" i="4" s="1"/>
  <c r="AN72" i="4"/>
  <c r="AP72" i="4" s="1"/>
  <c r="AN63" i="4"/>
  <c r="AP63" i="4" s="1"/>
  <c r="AN55" i="4"/>
  <c r="AP55" i="4" s="1"/>
  <c r="AN47" i="4"/>
  <c r="AP47" i="4" s="1"/>
  <c r="AN39" i="4"/>
  <c r="AP39" i="4" s="1"/>
  <c r="AN74" i="4"/>
  <c r="AP74" i="4" s="1"/>
  <c r="AN64" i="4"/>
  <c r="AP64" i="4" s="1"/>
  <c r="AN45" i="4"/>
  <c r="AP45" i="4" s="1"/>
  <c r="AN37" i="4"/>
  <c r="AP37" i="4" s="1"/>
  <c r="AN109" i="4"/>
  <c r="AP109" i="4" s="1"/>
  <c r="AN69" i="4"/>
  <c r="AP69" i="4" s="1"/>
  <c r="AN53" i="4"/>
  <c r="AP53" i="4" s="1"/>
  <c r="AN42" i="4"/>
  <c r="AP42" i="4" s="1"/>
  <c r="AN34" i="4"/>
  <c r="AP34" i="4" s="1"/>
  <c r="AN23" i="4"/>
  <c r="AP23" i="4" s="1"/>
  <c r="AN43" i="4"/>
  <c r="AP43" i="4" s="1"/>
  <c r="AN35" i="4"/>
  <c r="AP35" i="4" s="1"/>
  <c r="AN22" i="4"/>
  <c r="AP22" i="4" s="1"/>
  <c r="AN14" i="4"/>
  <c r="AN61" i="4"/>
  <c r="AP61" i="4" s="1"/>
  <c r="AN44" i="4"/>
  <c r="AP44" i="4" s="1"/>
  <c r="AN36" i="4"/>
  <c r="AP36" i="4" s="1"/>
  <c r="AN33" i="4"/>
  <c r="AP33" i="4" s="1"/>
  <c r="AN29" i="4"/>
  <c r="AP29" i="4" s="1"/>
  <c r="AN21" i="4"/>
  <c r="AP21" i="4" s="1"/>
  <c r="AN57" i="4"/>
  <c r="AP57" i="4" s="1"/>
  <c r="AN30" i="4"/>
  <c r="AP30" i="4" s="1"/>
  <c r="AN28" i="4"/>
  <c r="AP28" i="4" s="1"/>
  <c r="AN20" i="4"/>
  <c r="AP20" i="4" s="1"/>
  <c r="AN54" i="4"/>
  <c r="AP54" i="4" s="1"/>
  <c r="AN50" i="4"/>
  <c r="AP50" i="4" s="1"/>
  <c r="AN27" i="4"/>
  <c r="AP27" i="4" s="1"/>
  <c r="AN56" i="4"/>
  <c r="AP56" i="4" s="1"/>
  <c r="AN41" i="4"/>
  <c r="AP41" i="4" s="1"/>
  <c r="AN24" i="4"/>
  <c r="AP24" i="4" s="1"/>
  <c r="AN51" i="4"/>
  <c r="AP51" i="4" s="1"/>
  <c r="AN62" i="4"/>
  <c r="AP62" i="4" s="1"/>
  <c r="AN19" i="4"/>
  <c r="AP19" i="4" s="1"/>
  <c r="AN17" i="4"/>
  <c r="AP17" i="4" s="1"/>
  <c r="AN26" i="4"/>
  <c r="AP26" i="4" s="1"/>
  <c r="AN70" i="4"/>
  <c r="AP70" i="4" s="1"/>
  <c r="AN25" i="4"/>
  <c r="AP25" i="4" s="1"/>
  <c r="AP13" i="4"/>
  <c r="AN38" i="4"/>
  <c r="AP38" i="4" s="1"/>
  <c r="AN18" i="4"/>
  <c r="AP18" i="4" s="1"/>
  <c r="AN16" i="4"/>
  <c r="AP16" i="4" s="1"/>
  <c r="AN46" i="4"/>
  <c r="AP46" i="4" s="1"/>
  <c r="AN31" i="4"/>
  <c r="AP31" i="4" s="1"/>
  <c r="AN58" i="4"/>
  <c r="AP58" i="4" s="1"/>
  <c r="V108" i="3"/>
  <c r="V100" i="3"/>
  <c r="V107" i="3"/>
  <c r="V106" i="3"/>
  <c r="V98" i="3"/>
  <c r="V112" i="3"/>
  <c r="V104" i="3"/>
  <c r="V96" i="3"/>
  <c r="V109" i="3"/>
  <c r="V90" i="3"/>
  <c r="V82" i="3"/>
  <c r="V74" i="3"/>
  <c r="V66" i="3"/>
  <c r="V58" i="3"/>
  <c r="V50" i="3"/>
  <c r="V42" i="3"/>
  <c r="V105" i="3"/>
  <c r="V103" i="3"/>
  <c r="V102" i="3"/>
  <c r="V89" i="3"/>
  <c r="V81" i="3"/>
  <c r="V73" i="3"/>
  <c r="V65" i="3"/>
  <c r="V57" i="3"/>
  <c r="V49" i="3"/>
  <c r="V41" i="3"/>
  <c r="V101" i="3"/>
  <c r="V88" i="3"/>
  <c r="V80" i="3"/>
  <c r="V72" i="3"/>
  <c r="V64" i="3"/>
  <c r="V56" i="3"/>
  <c r="V48" i="3"/>
  <c r="V110" i="3"/>
  <c r="V87" i="3"/>
  <c r="V79" i="3"/>
  <c r="V94" i="3"/>
  <c r="V86" i="3"/>
  <c r="V78" i="3"/>
  <c r="V70" i="3"/>
  <c r="V62" i="3"/>
  <c r="V54" i="3"/>
  <c r="V46" i="3"/>
  <c r="Z106" i="3"/>
  <c r="Z98" i="3"/>
  <c r="Z105" i="3"/>
  <c r="Z112" i="3"/>
  <c r="Z104" i="3"/>
  <c r="Z110" i="3"/>
  <c r="Z102" i="3"/>
  <c r="Z107" i="3"/>
  <c r="Z103" i="3"/>
  <c r="Z101" i="3"/>
  <c r="Z88" i="3"/>
  <c r="Z80" i="3"/>
  <c r="Z72" i="3"/>
  <c r="Z64" i="3"/>
  <c r="Z56" i="3"/>
  <c r="Z48" i="3"/>
  <c r="Z40" i="3"/>
  <c r="Z87" i="3"/>
  <c r="Z79" i="3"/>
  <c r="Z71" i="3"/>
  <c r="Z63" i="3"/>
  <c r="Z55" i="3"/>
  <c r="Z47" i="3"/>
  <c r="Z39" i="3"/>
  <c r="Z96" i="3"/>
  <c r="Z94" i="3"/>
  <c r="Z86" i="3"/>
  <c r="Z78" i="3"/>
  <c r="Z70" i="3"/>
  <c r="Z62" i="3"/>
  <c r="Z54" i="3"/>
  <c r="Z46" i="3"/>
  <c r="Z108" i="3"/>
  <c r="Z100" i="3"/>
  <c r="Z93" i="3"/>
  <c r="Z85" i="3"/>
  <c r="Z111" i="3"/>
  <c r="Z99" i="3"/>
  <c r="Z92" i="3"/>
  <c r="Z84" i="3"/>
  <c r="Z76" i="3"/>
  <c r="Z68" i="3"/>
  <c r="Z60" i="3"/>
  <c r="Z52" i="3"/>
  <c r="Z44" i="3"/>
  <c r="V14" i="3"/>
  <c r="AJ14" i="3"/>
  <c r="T15" i="3"/>
  <c r="AH15" i="3"/>
  <c r="AB19" i="3"/>
  <c r="Z20" i="3"/>
  <c r="V22" i="3"/>
  <c r="AJ22" i="3"/>
  <c r="AB25" i="3"/>
  <c r="Z26" i="3"/>
  <c r="V28" i="3"/>
  <c r="AJ28" i="3"/>
  <c r="T29" i="3"/>
  <c r="AH29" i="3"/>
  <c r="AB33" i="3"/>
  <c r="Z34" i="3"/>
  <c r="V36" i="3"/>
  <c r="AB39" i="3"/>
  <c r="AB41" i="3"/>
  <c r="AJ44" i="3"/>
  <c r="V47" i="3"/>
  <c r="V52" i="3"/>
  <c r="T53" i="3"/>
  <c r="Z57" i="3"/>
  <c r="AB58" i="3"/>
  <c r="AH60" i="3"/>
  <c r="V68" i="3"/>
  <c r="T69" i="3"/>
  <c r="T72" i="3"/>
  <c r="AB73" i="3"/>
  <c r="AJ75" i="3"/>
  <c r="AJ76" i="3"/>
  <c r="AH77" i="3"/>
  <c r="Z82" i="3"/>
  <c r="AJ83" i="3"/>
  <c r="T85" i="3"/>
  <c r="T94" i="3"/>
  <c r="AJ101" i="3"/>
  <c r="AS91" i="3"/>
  <c r="AB105" i="3"/>
  <c r="AB97" i="3"/>
  <c r="AB112" i="3"/>
  <c r="AB111" i="3"/>
  <c r="AB103" i="3"/>
  <c r="AB109" i="3"/>
  <c r="AB101" i="3"/>
  <c r="AB106" i="3"/>
  <c r="AB87" i="3"/>
  <c r="AB79" i="3"/>
  <c r="AB71" i="3"/>
  <c r="AB63" i="3"/>
  <c r="AB55" i="3"/>
  <c r="AB47" i="3"/>
  <c r="AB110" i="3"/>
  <c r="AB104" i="3"/>
  <c r="AB96" i="3"/>
  <c r="AB94" i="3"/>
  <c r="AB86" i="3"/>
  <c r="AB78" i="3"/>
  <c r="AB70" i="3"/>
  <c r="AB62" i="3"/>
  <c r="AB54" i="3"/>
  <c r="AB46" i="3"/>
  <c r="AB38" i="3"/>
  <c r="AB108" i="3"/>
  <c r="AB100" i="3"/>
  <c r="AB93" i="3"/>
  <c r="AB85" i="3"/>
  <c r="AB77" i="3"/>
  <c r="AB69" i="3"/>
  <c r="AB61" i="3"/>
  <c r="AB53" i="3"/>
  <c r="AB99" i="3"/>
  <c r="AB92" i="3"/>
  <c r="AB84" i="3"/>
  <c r="AB91" i="3"/>
  <c r="AB83" i="3"/>
  <c r="AB75" i="3"/>
  <c r="AB67" i="3"/>
  <c r="AB59" i="3"/>
  <c r="AB51" i="3"/>
  <c r="AB43" i="3"/>
  <c r="K113" i="3"/>
  <c r="AS113" i="3" s="1"/>
  <c r="Z113" i="3"/>
  <c r="AM113" i="3"/>
  <c r="V15" i="3"/>
  <c r="AJ15" i="3"/>
  <c r="AB20" i="3"/>
  <c r="AB26" i="3"/>
  <c r="V29" i="3"/>
  <c r="AJ29" i="3"/>
  <c r="AB34" i="3"/>
  <c r="V51" i="3"/>
  <c r="V53" i="3"/>
  <c r="T54" i="3"/>
  <c r="T56" i="3"/>
  <c r="AB57" i="3"/>
  <c r="AJ59" i="3"/>
  <c r="AJ60" i="3"/>
  <c r="AH61" i="3"/>
  <c r="AH64" i="3"/>
  <c r="V67" i="3"/>
  <c r="V69" i="3"/>
  <c r="T70" i="3"/>
  <c r="AB72" i="3"/>
  <c r="AJ77" i="3"/>
  <c r="AH78" i="3"/>
  <c r="AB80" i="3"/>
  <c r="AS81" i="3"/>
  <c r="AB82" i="3"/>
  <c r="T84" i="3"/>
  <c r="V85" i="3"/>
  <c r="Z90" i="3"/>
  <c r="AJ91" i="3"/>
  <c r="T93" i="3"/>
  <c r="V99" i="3"/>
  <c r="AS108" i="3"/>
  <c r="AS103" i="3"/>
  <c r="H113" i="4"/>
  <c r="H105" i="4"/>
  <c r="H97" i="4"/>
  <c r="H89" i="4"/>
  <c r="H111" i="4"/>
  <c r="L111" i="4" s="1"/>
  <c r="H103" i="4"/>
  <c r="L103" i="4" s="1"/>
  <c r="H110" i="4"/>
  <c r="H102" i="4"/>
  <c r="H94" i="4"/>
  <c r="H107" i="4"/>
  <c r="H99" i="4"/>
  <c r="H91" i="4"/>
  <c r="H83" i="4"/>
  <c r="H112" i="4"/>
  <c r="L112" i="4" s="1"/>
  <c r="H93" i="4"/>
  <c r="H85" i="4"/>
  <c r="H77" i="4"/>
  <c r="H104" i="4"/>
  <c r="H96" i="4"/>
  <c r="H87" i="4"/>
  <c r="H76" i="4"/>
  <c r="H108" i="4"/>
  <c r="L108" i="4" s="1"/>
  <c r="H101" i="4"/>
  <c r="H90" i="4"/>
  <c r="H92" i="4"/>
  <c r="H88" i="4"/>
  <c r="H84" i="4"/>
  <c r="H82" i="4"/>
  <c r="H109" i="4"/>
  <c r="L109" i="4" s="1"/>
  <c r="H98" i="4"/>
  <c r="L98" i="4" s="1"/>
  <c r="H79" i="4"/>
  <c r="H81" i="4"/>
  <c r="H80" i="4"/>
  <c r="H75" i="4"/>
  <c r="H73" i="4"/>
  <c r="H63" i="4"/>
  <c r="H55" i="4"/>
  <c r="H71" i="4"/>
  <c r="L71" i="4" s="1"/>
  <c r="H70" i="4"/>
  <c r="H62" i="4"/>
  <c r="H69" i="4"/>
  <c r="H61" i="4"/>
  <c r="H100" i="4"/>
  <c r="H95" i="4"/>
  <c r="H86" i="4"/>
  <c r="L86" i="4" s="1"/>
  <c r="H68" i="4"/>
  <c r="L68" i="4" s="1"/>
  <c r="H78" i="4"/>
  <c r="H72" i="4"/>
  <c r="H106" i="4"/>
  <c r="H65" i="4"/>
  <c r="H54" i="4"/>
  <c r="H53" i="4"/>
  <c r="H43" i="4"/>
  <c r="L43" i="4" s="1"/>
  <c r="H35" i="4"/>
  <c r="L35" i="4" s="1"/>
  <c r="H42" i="4"/>
  <c r="H74" i="4"/>
  <c r="H58" i="4"/>
  <c r="H56" i="4"/>
  <c r="H50" i="4"/>
  <c r="H48" i="4"/>
  <c r="H40" i="4"/>
  <c r="L40" i="4" s="1"/>
  <c r="H64" i="4"/>
  <c r="L64" i="4" s="1"/>
  <c r="H57" i="4"/>
  <c r="L57" i="4" s="1"/>
  <c r="H52" i="4"/>
  <c r="H45" i="4"/>
  <c r="H37" i="4"/>
  <c r="H51" i="4"/>
  <c r="H26" i="4"/>
  <c r="H59" i="4"/>
  <c r="L59" i="4" s="1"/>
  <c r="H47" i="4"/>
  <c r="L47" i="4" s="1"/>
  <c r="H46" i="4"/>
  <c r="H39" i="4"/>
  <c r="H38" i="4"/>
  <c r="H33" i="4"/>
  <c r="H25" i="4"/>
  <c r="H17" i="4"/>
  <c r="H67" i="4"/>
  <c r="L67" i="4" s="1"/>
  <c r="H24" i="4"/>
  <c r="H49" i="4"/>
  <c r="H41" i="4"/>
  <c r="H23" i="4"/>
  <c r="H30" i="4"/>
  <c r="H22" i="4"/>
  <c r="H32" i="4"/>
  <c r="H27" i="4"/>
  <c r="L27" i="4" s="1"/>
  <c r="H36" i="4"/>
  <c r="H34" i="4"/>
  <c r="H21" i="4"/>
  <c r="H16" i="4"/>
  <c r="H15" i="4"/>
  <c r="H14" i="4"/>
  <c r="H28" i="4"/>
  <c r="H66" i="4"/>
  <c r="L66" i="4" s="1"/>
  <c r="H44" i="4"/>
  <c r="L44" i="4" s="1"/>
  <c r="H60" i="4"/>
  <c r="L60" i="4" s="1"/>
  <c r="H31" i="4"/>
  <c r="H19" i="4"/>
  <c r="H18" i="4"/>
  <c r="H29" i="4"/>
  <c r="AQ13" i="4"/>
  <c r="AQ14" i="4"/>
  <c r="AQ16" i="4"/>
  <c r="V113" i="4"/>
  <c r="V105" i="4"/>
  <c r="V97" i="4"/>
  <c r="V89" i="4"/>
  <c r="V111" i="4"/>
  <c r="V103" i="4"/>
  <c r="V110" i="4"/>
  <c r="V102" i="4"/>
  <c r="V94" i="4"/>
  <c r="V107" i="4"/>
  <c r="V99" i="4"/>
  <c r="V91" i="4"/>
  <c r="V83" i="4"/>
  <c r="V106" i="4"/>
  <c r="V77" i="4"/>
  <c r="V98" i="4"/>
  <c r="V76" i="4"/>
  <c r="V109" i="4"/>
  <c r="V93" i="4"/>
  <c r="V87" i="4"/>
  <c r="V112" i="4"/>
  <c r="V108" i="4"/>
  <c r="V100" i="4"/>
  <c r="V95" i="4"/>
  <c r="V86" i="4"/>
  <c r="V79" i="4"/>
  <c r="V88" i="4"/>
  <c r="V84" i="4"/>
  <c r="V78" i="4"/>
  <c r="V63" i="4"/>
  <c r="V55" i="4"/>
  <c r="V96" i="4"/>
  <c r="V70" i="4"/>
  <c r="V62" i="4"/>
  <c r="V101" i="4"/>
  <c r="V85" i="4"/>
  <c r="V75" i="4"/>
  <c r="V73" i="4"/>
  <c r="V71" i="4"/>
  <c r="V69" i="4"/>
  <c r="V61" i="4"/>
  <c r="V104" i="4"/>
  <c r="V80" i="4"/>
  <c r="V68" i="4"/>
  <c r="V81" i="4"/>
  <c r="V90" i="4"/>
  <c r="V74" i="4"/>
  <c r="V57" i="4"/>
  <c r="V53" i="4"/>
  <c r="V43" i="4"/>
  <c r="V35" i="4"/>
  <c r="V59" i="4"/>
  <c r="V54" i="4"/>
  <c r="V42" i="4"/>
  <c r="V48" i="4"/>
  <c r="V40" i="4"/>
  <c r="V82" i="4"/>
  <c r="V72" i="4"/>
  <c r="V60" i="4"/>
  <c r="V51" i="4"/>
  <c r="V45" i="4"/>
  <c r="V37" i="4"/>
  <c r="V34" i="4"/>
  <c r="V32" i="4"/>
  <c r="V26" i="4"/>
  <c r="V92" i="4"/>
  <c r="V50" i="4"/>
  <c r="V44" i="4"/>
  <c r="V36" i="4"/>
  <c r="V25" i="4"/>
  <c r="V17" i="4"/>
  <c r="V33" i="4"/>
  <c r="V24" i="4"/>
  <c r="V66" i="4"/>
  <c r="V23" i="4"/>
  <c r="V65" i="4"/>
  <c r="V58" i="4"/>
  <c r="V56" i="4"/>
  <c r="V46" i="4"/>
  <c r="V38" i="4"/>
  <c r="V22" i="4"/>
  <c r="V67" i="4"/>
  <c r="V31" i="4"/>
  <c r="V27" i="4"/>
  <c r="V19" i="4"/>
  <c r="V15" i="4"/>
  <c r="V14" i="4"/>
  <c r="V49" i="4"/>
  <c r="V47" i="4"/>
  <c r="V30" i="4"/>
  <c r="V16" i="4"/>
  <c r="V20" i="4"/>
  <c r="V21" i="4"/>
  <c r="V52" i="4"/>
  <c r="V29" i="4"/>
  <c r="V41" i="4"/>
  <c r="V39" i="4"/>
  <c r="H20" i="4"/>
  <c r="L20" i="4" s="1"/>
  <c r="V64" i="4"/>
  <c r="AJ13" i="4"/>
  <c r="AH13" i="4"/>
  <c r="AF13" i="4"/>
  <c r="AD13" i="4"/>
  <c r="AB13" i="4"/>
  <c r="AS109" i="3"/>
  <c r="AS100" i="3"/>
  <c r="AQ15" i="4"/>
  <c r="J113" i="4"/>
  <c r="J112" i="4"/>
  <c r="J104" i="4"/>
  <c r="J96" i="4"/>
  <c r="J88" i="4"/>
  <c r="J110" i="4"/>
  <c r="J109" i="4"/>
  <c r="J101" i="4"/>
  <c r="J106" i="4"/>
  <c r="J98" i="4"/>
  <c r="J90" i="4"/>
  <c r="J93" i="4"/>
  <c r="J89" i="4"/>
  <c r="J85" i="4"/>
  <c r="J102" i="4"/>
  <c r="J97" i="4"/>
  <c r="J87" i="4"/>
  <c r="J108" i="4"/>
  <c r="J103" i="4"/>
  <c r="J75" i="4"/>
  <c r="J92" i="4"/>
  <c r="J105" i="4"/>
  <c r="J100" i="4"/>
  <c r="J95" i="4"/>
  <c r="J86" i="4"/>
  <c r="J81" i="4"/>
  <c r="J91" i="4"/>
  <c r="J83" i="4"/>
  <c r="J78" i="4"/>
  <c r="J71" i="4"/>
  <c r="J70" i="4"/>
  <c r="J62" i="4"/>
  <c r="J54" i="4"/>
  <c r="J82" i="4"/>
  <c r="J69" i="4"/>
  <c r="J61" i="4"/>
  <c r="J68" i="4"/>
  <c r="J60" i="4"/>
  <c r="J99" i="4"/>
  <c r="J94" i="4"/>
  <c r="J84" i="4"/>
  <c r="J77" i="4"/>
  <c r="J76" i="4"/>
  <c r="J72" i="4"/>
  <c r="J67" i="4"/>
  <c r="J74" i="4"/>
  <c r="J107" i="4"/>
  <c r="J42" i="4"/>
  <c r="J34" i="4"/>
  <c r="J66" i="4"/>
  <c r="J55" i="4"/>
  <c r="J49" i="4"/>
  <c r="J41" i="4"/>
  <c r="J47" i="4"/>
  <c r="J39" i="4"/>
  <c r="J111" i="4"/>
  <c r="J73" i="4"/>
  <c r="J59" i="4"/>
  <c r="J44" i="4"/>
  <c r="J36" i="4"/>
  <c r="J64" i="4"/>
  <c r="J56" i="4"/>
  <c r="J46" i="4"/>
  <c r="J38" i="4"/>
  <c r="J33" i="4"/>
  <c r="J25" i="4"/>
  <c r="J52" i="4"/>
  <c r="J24" i="4"/>
  <c r="J16" i="4"/>
  <c r="J63" i="4"/>
  <c r="J48" i="4"/>
  <c r="J40" i="4"/>
  <c r="J23" i="4"/>
  <c r="J79" i="4"/>
  <c r="J30" i="4"/>
  <c r="J22" i="4"/>
  <c r="J80" i="4"/>
  <c r="J57" i="4"/>
  <c r="J43" i="4"/>
  <c r="J35" i="4"/>
  <c r="J29" i="4"/>
  <c r="J65" i="4"/>
  <c r="J58" i="4"/>
  <c r="J51" i="4"/>
  <c r="J26" i="4"/>
  <c r="X13" i="4"/>
  <c r="J14" i="4"/>
  <c r="AK114" i="4"/>
  <c r="J15" i="4"/>
  <c r="J21" i="4"/>
  <c r="AQ27" i="4"/>
  <c r="AQ37" i="4"/>
  <c r="J53" i="4"/>
  <c r="N13" i="4"/>
  <c r="AQ20" i="4"/>
  <c r="J50" i="4"/>
  <c r="P13" i="4"/>
  <c r="J18" i="4"/>
  <c r="J19" i="4"/>
  <c r="AQ30" i="4"/>
  <c r="J31" i="4"/>
  <c r="R13" i="4"/>
  <c r="AQ18" i="4"/>
  <c r="AQ19" i="4"/>
  <c r="AQ31" i="4"/>
  <c r="J32" i="4"/>
  <c r="J45" i="4"/>
  <c r="T13" i="4"/>
  <c r="J17" i="4"/>
  <c r="AQ32" i="4"/>
  <c r="AQ45" i="4"/>
  <c r="AQ26" i="4"/>
  <c r="J27" i="4"/>
  <c r="J28" i="4"/>
  <c r="J37" i="4"/>
  <c r="AQ34" i="4"/>
  <c r="AQ50" i="4"/>
  <c r="AQ42" i="4"/>
  <c r="AQ63" i="4"/>
  <c r="AQ39" i="4"/>
  <c r="AQ47" i="4"/>
  <c r="AQ52" i="4"/>
  <c r="AQ65" i="4"/>
  <c r="AQ56" i="4"/>
  <c r="AQ70" i="4"/>
  <c r="AQ83" i="4"/>
  <c r="AQ49" i="4"/>
  <c r="AQ72" i="4"/>
  <c r="K114" i="4"/>
  <c r="AQ79" i="4"/>
  <c r="AQ82" i="4"/>
  <c r="AQ78" i="4"/>
  <c r="AQ76" i="4"/>
  <c r="AQ88" i="4"/>
  <c r="AQ85" i="4"/>
  <c r="AQ93" i="4"/>
  <c r="AQ112" i="4"/>
  <c r="AQ99" i="4"/>
  <c r="AQ101" i="4"/>
  <c r="AQ105" i="4"/>
  <c r="AQ108" i="4"/>
  <c r="AQ96" i="4"/>
  <c r="AQ104" i="4"/>
  <c r="L36" i="4" l="1"/>
  <c r="V114" i="4"/>
  <c r="AN27" i="3"/>
  <c r="AN26" i="3"/>
  <c r="AN90" i="3"/>
  <c r="AB110" i="4"/>
  <c r="AB109" i="4"/>
  <c r="AB101" i="4"/>
  <c r="AB93" i="4"/>
  <c r="AB85" i="4"/>
  <c r="AB107" i="4"/>
  <c r="AB106" i="4"/>
  <c r="AB98" i="4"/>
  <c r="AB111" i="4"/>
  <c r="AB103" i="4"/>
  <c r="AB95" i="4"/>
  <c r="AB87" i="4"/>
  <c r="AB97" i="4"/>
  <c r="AL97" i="4" s="1"/>
  <c r="AB81" i="4"/>
  <c r="AB112" i="4"/>
  <c r="AB92" i="4"/>
  <c r="AB90" i="4"/>
  <c r="AB84" i="4"/>
  <c r="AB82" i="4"/>
  <c r="AB80" i="4"/>
  <c r="AB72" i="4"/>
  <c r="AB102" i="4"/>
  <c r="AB100" i="4"/>
  <c r="AB96" i="4"/>
  <c r="AB108" i="4"/>
  <c r="AB105" i="4"/>
  <c r="AB104" i="4"/>
  <c r="AB88" i="4"/>
  <c r="AB86" i="4"/>
  <c r="AL86" i="4" s="1"/>
  <c r="AB78" i="4"/>
  <c r="AB75" i="4"/>
  <c r="AB99" i="4"/>
  <c r="AB94" i="4"/>
  <c r="AB67" i="4"/>
  <c r="AB59" i="4"/>
  <c r="AB51" i="4"/>
  <c r="AB83" i="4"/>
  <c r="AB66" i="4"/>
  <c r="AB58" i="4"/>
  <c r="AB74" i="4"/>
  <c r="AB65" i="4"/>
  <c r="AB113" i="4"/>
  <c r="AB77" i="4"/>
  <c r="AB64" i="4"/>
  <c r="AB91" i="4"/>
  <c r="AL91" i="4" s="1"/>
  <c r="AB76" i="4"/>
  <c r="AB89" i="4"/>
  <c r="AB56" i="4"/>
  <c r="AB50" i="4"/>
  <c r="AB47" i="4"/>
  <c r="AB39" i="4"/>
  <c r="AB31" i="4"/>
  <c r="AB61" i="4"/>
  <c r="AL61" i="4" s="1"/>
  <c r="AB46" i="4"/>
  <c r="AB38" i="4"/>
  <c r="AB70" i="4"/>
  <c r="AB68" i="4"/>
  <c r="AB44" i="4"/>
  <c r="AB36" i="4"/>
  <c r="AB71" i="4"/>
  <c r="AB54" i="4"/>
  <c r="AL54" i="4" s="1"/>
  <c r="AB49" i="4"/>
  <c r="AB41" i="4"/>
  <c r="AB33" i="4"/>
  <c r="AB79" i="4"/>
  <c r="AB45" i="4"/>
  <c r="AB37" i="4"/>
  <c r="AB22" i="4"/>
  <c r="AB69" i="4"/>
  <c r="AL69" i="4" s="1"/>
  <c r="AB62" i="4"/>
  <c r="AB60" i="4"/>
  <c r="AB55" i="4"/>
  <c r="AB30" i="4"/>
  <c r="AB29" i="4"/>
  <c r="AB21" i="4"/>
  <c r="AB28" i="4"/>
  <c r="AB20" i="4"/>
  <c r="AL20" i="4" s="1"/>
  <c r="AB48" i="4"/>
  <c r="AB40" i="4"/>
  <c r="AB27" i="4"/>
  <c r="AB19" i="4"/>
  <c r="AB52" i="4"/>
  <c r="AB43" i="4"/>
  <c r="AB35" i="4"/>
  <c r="AB26" i="4"/>
  <c r="AL26" i="4" s="1"/>
  <c r="AB73" i="4"/>
  <c r="AB23" i="4"/>
  <c r="AB24" i="4"/>
  <c r="AB18" i="4"/>
  <c r="AB63" i="4"/>
  <c r="AB53" i="4"/>
  <c r="AB15" i="4"/>
  <c r="AB14" i="4"/>
  <c r="AB57" i="4"/>
  <c r="AB32" i="4"/>
  <c r="AB17" i="4"/>
  <c r="AB16" i="4"/>
  <c r="AB42" i="4"/>
  <c r="AB34" i="4"/>
  <c r="AB25" i="4"/>
  <c r="AL13" i="4"/>
  <c r="L34" i="4"/>
  <c r="L49" i="4"/>
  <c r="L46" i="4"/>
  <c r="L42" i="4"/>
  <c r="L78" i="4"/>
  <c r="L70" i="4"/>
  <c r="L79" i="4"/>
  <c r="L101" i="4"/>
  <c r="L93" i="4"/>
  <c r="L110" i="4"/>
  <c r="H108" i="3"/>
  <c r="L108" i="3" s="1"/>
  <c r="H100" i="3"/>
  <c r="L100" i="3" s="1"/>
  <c r="H107" i="3"/>
  <c r="L107" i="3" s="1"/>
  <c r="H106" i="3"/>
  <c r="L106" i="3" s="1"/>
  <c r="H98" i="3"/>
  <c r="L98" i="3" s="1"/>
  <c r="H112" i="3"/>
  <c r="L112" i="3" s="1"/>
  <c r="H104" i="3"/>
  <c r="L104" i="3" s="1"/>
  <c r="H96" i="3"/>
  <c r="L96" i="3" s="1"/>
  <c r="H109" i="3"/>
  <c r="L109" i="3" s="1"/>
  <c r="H111" i="3"/>
  <c r="L111" i="3" s="1"/>
  <c r="H90" i="3"/>
  <c r="L90" i="3" s="1"/>
  <c r="H82" i="3"/>
  <c r="L82" i="3" s="1"/>
  <c r="AT82" i="3" s="1"/>
  <c r="H74" i="3"/>
  <c r="L74" i="3" s="1"/>
  <c r="H66" i="3"/>
  <c r="L66" i="3" s="1"/>
  <c r="H58" i="3"/>
  <c r="L58" i="3" s="1"/>
  <c r="H50" i="3"/>
  <c r="L50" i="3" s="1"/>
  <c r="H42" i="3"/>
  <c r="L42" i="3" s="1"/>
  <c r="H89" i="3"/>
  <c r="L89" i="3" s="1"/>
  <c r="H81" i="3"/>
  <c r="L81" i="3" s="1"/>
  <c r="H73" i="3"/>
  <c r="L73" i="3" s="1"/>
  <c r="H65" i="3"/>
  <c r="L65" i="3" s="1"/>
  <c r="H57" i="3"/>
  <c r="L57" i="3" s="1"/>
  <c r="H49" i="3"/>
  <c r="L49" i="3" s="1"/>
  <c r="H41" i="3"/>
  <c r="L41" i="3" s="1"/>
  <c r="H99" i="3"/>
  <c r="L99" i="3" s="1"/>
  <c r="H88" i="3"/>
  <c r="L88" i="3" s="1"/>
  <c r="H80" i="3"/>
  <c r="L80" i="3" s="1"/>
  <c r="H72" i="3"/>
  <c r="L72" i="3" s="1"/>
  <c r="AT72" i="3" s="1"/>
  <c r="H64" i="3"/>
  <c r="L64" i="3" s="1"/>
  <c r="H56" i="3"/>
  <c r="L56" i="3" s="1"/>
  <c r="H48" i="3"/>
  <c r="L48" i="3" s="1"/>
  <c r="H87" i="3"/>
  <c r="L87" i="3" s="1"/>
  <c r="H79" i="3"/>
  <c r="L79" i="3" s="1"/>
  <c r="H97" i="3"/>
  <c r="L97" i="3" s="1"/>
  <c r="H94" i="3"/>
  <c r="L94" i="3" s="1"/>
  <c r="H86" i="3"/>
  <c r="L86" i="3" s="1"/>
  <c r="AT86" i="3" s="1"/>
  <c r="H78" i="3"/>
  <c r="L78" i="3" s="1"/>
  <c r="H70" i="3"/>
  <c r="L70" i="3" s="1"/>
  <c r="H62" i="3"/>
  <c r="L62" i="3" s="1"/>
  <c r="H54" i="3"/>
  <c r="L54" i="3" s="1"/>
  <c r="H46" i="3"/>
  <c r="L46" i="3" s="1"/>
  <c r="H110" i="3"/>
  <c r="L110" i="3" s="1"/>
  <c r="H83" i="3"/>
  <c r="L83" i="3" s="1"/>
  <c r="H61" i="3"/>
  <c r="L61" i="3" s="1"/>
  <c r="AT61" i="3" s="1"/>
  <c r="H59" i="3"/>
  <c r="L59" i="3" s="1"/>
  <c r="H29" i="3"/>
  <c r="L29" i="3" s="1"/>
  <c r="H15" i="3"/>
  <c r="L15" i="3" s="1"/>
  <c r="L12" i="3"/>
  <c r="H24" i="3"/>
  <c r="L24" i="3" s="1"/>
  <c r="H77" i="3"/>
  <c r="L77" i="3" s="1"/>
  <c r="H75" i="3"/>
  <c r="L75" i="3" s="1"/>
  <c r="H45" i="3"/>
  <c r="L45" i="3" s="1"/>
  <c r="AT45" i="3" s="1"/>
  <c r="H38" i="3"/>
  <c r="L38" i="3" s="1"/>
  <c r="H37" i="3"/>
  <c r="L37" i="3" s="1"/>
  <c r="H36" i="3"/>
  <c r="L36" i="3" s="1"/>
  <c r="H28" i="3"/>
  <c r="L28" i="3" s="1"/>
  <c r="H22" i="3"/>
  <c r="L22" i="3" s="1"/>
  <c r="H14" i="3"/>
  <c r="L14" i="3" s="1"/>
  <c r="H32" i="3"/>
  <c r="L32" i="3" s="1"/>
  <c r="H103" i="3"/>
  <c r="L103" i="3" s="1"/>
  <c r="AT103" i="3" s="1"/>
  <c r="H92" i="3"/>
  <c r="L92" i="3" s="1"/>
  <c r="H60" i="3"/>
  <c r="L60" i="3" s="1"/>
  <c r="H35" i="3"/>
  <c r="L35" i="3" s="1"/>
  <c r="H27" i="3"/>
  <c r="L27" i="3" s="1"/>
  <c r="H21" i="3"/>
  <c r="L21" i="3" s="1"/>
  <c r="H13" i="3"/>
  <c r="H93" i="3"/>
  <c r="L93" i="3" s="1"/>
  <c r="H84" i="3"/>
  <c r="L84" i="3" s="1"/>
  <c r="H76" i="3"/>
  <c r="L76" i="3" s="1"/>
  <c r="H55" i="3"/>
  <c r="L55" i="3" s="1"/>
  <c r="H39" i="3"/>
  <c r="L39" i="3" s="1"/>
  <c r="H34" i="3"/>
  <c r="L34" i="3" s="1"/>
  <c r="H26" i="3"/>
  <c r="L26" i="3" s="1"/>
  <c r="H20" i="3"/>
  <c r="L20" i="3" s="1"/>
  <c r="H105" i="3"/>
  <c r="L105" i="3" s="1"/>
  <c r="H102" i="3"/>
  <c r="L102" i="3" s="1"/>
  <c r="AT102" i="3" s="1"/>
  <c r="H85" i="3"/>
  <c r="L85" i="3" s="1"/>
  <c r="H71" i="3"/>
  <c r="L71" i="3" s="1"/>
  <c r="H69" i="3"/>
  <c r="L69" i="3" s="1"/>
  <c r="H67" i="3"/>
  <c r="L67" i="3" s="1"/>
  <c r="H53" i="3"/>
  <c r="L53" i="3" s="1"/>
  <c r="H51" i="3"/>
  <c r="L51" i="3" s="1"/>
  <c r="H44" i="3"/>
  <c r="L44" i="3" s="1"/>
  <c r="H43" i="3"/>
  <c r="L43" i="3" s="1"/>
  <c r="AT43" i="3" s="1"/>
  <c r="H40" i="3"/>
  <c r="L40" i="3" s="1"/>
  <c r="H33" i="3"/>
  <c r="L33" i="3" s="1"/>
  <c r="H25" i="3"/>
  <c r="L25" i="3" s="1"/>
  <c r="H19" i="3"/>
  <c r="L19" i="3" s="1"/>
  <c r="H95" i="3"/>
  <c r="L95" i="3" s="1"/>
  <c r="H91" i="3"/>
  <c r="L91" i="3" s="1"/>
  <c r="H63" i="3"/>
  <c r="L63" i="3" s="1"/>
  <c r="H30" i="3"/>
  <c r="L30" i="3" s="1"/>
  <c r="AT30" i="3" s="1"/>
  <c r="H23" i="3"/>
  <c r="L23" i="3" s="1"/>
  <c r="H16" i="3"/>
  <c r="L16" i="3" s="1"/>
  <c r="H68" i="3"/>
  <c r="L68" i="3" s="1"/>
  <c r="H52" i="3"/>
  <c r="L52" i="3" s="1"/>
  <c r="H18" i="3"/>
  <c r="L18" i="3" s="1"/>
  <c r="H101" i="3"/>
  <c r="L101" i="3" s="1"/>
  <c r="H31" i="3"/>
  <c r="L31" i="3" s="1"/>
  <c r="H47" i="3"/>
  <c r="L47" i="3" s="1"/>
  <c r="AT47" i="3" s="1"/>
  <c r="H17" i="3"/>
  <c r="L17" i="3" s="1"/>
  <c r="AN39" i="3"/>
  <c r="X113" i="3"/>
  <c r="AN24" i="3"/>
  <c r="AF113" i="3"/>
  <c r="AN13" i="3"/>
  <c r="AN70" i="3"/>
  <c r="AN28" i="3"/>
  <c r="AN77" i="3"/>
  <c r="AN61" i="3"/>
  <c r="AN45" i="3"/>
  <c r="AN88" i="3"/>
  <c r="AN74" i="3"/>
  <c r="AN83" i="3"/>
  <c r="AN84" i="3"/>
  <c r="AN109" i="3"/>
  <c r="L24" i="4"/>
  <c r="AH107" i="4"/>
  <c r="AH106" i="4"/>
  <c r="AH98" i="4"/>
  <c r="AH90" i="4"/>
  <c r="AH82" i="4"/>
  <c r="AH112" i="4"/>
  <c r="AH104" i="4"/>
  <c r="AH111" i="4"/>
  <c r="AH103" i="4"/>
  <c r="AH95" i="4"/>
  <c r="AH108" i="4"/>
  <c r="AH100" i="4"/>
  <c r="AH92" i="4"/>
  <c r="AH84" i="4"/>
  <c r="AH109" i="4"/>
  <c r="AH102" i="4"/>
  <c r="AH96" i="4"/>
  <c r="AH88" i="4"/>
  <c r="AH78" i="4"/>
  <c r="AH101" i="4"/>
  <c r="AH86" i="4"/>
  <c r="AH77" i="4"/>
  <c r="AH105" i="4"/>
  <c r="AH89" i="4"/>
  <c r="AH113" i="4"/>
  <c r="AH110" i="4"/>
  <c r="AH99" i="4"/>
  <c r="AH94" i="4"/>
  <c r="AH91" i="4"/>
  <c r="AH83" i="4"/>
  <c r="AH80" i="4"/>
  <c r="AH72" i="4"/>
  <c r="AH93" i="4"/>
  <c r="AH85" i="4"/>
  <c r="AH74" i="4"/>
  <c r="AH64" i="4"/>
  <c r="AH56" i="4"/>
  <c r="AH81" i="4"/>
  <c r="AH63" i="4"/>
  <c r="AH76" i="4"/>
  <c r="AH70" i="4"/>
  <c r="AH62" i="4"/>
  <c r="AH69" i="4"/>
  <c r="AH71" i="4"/>
  <c r="AH97" i="4"/>
  <c r="AH73" i="4"/>
  <c r="AH68" i="4"/>
  <c r="AH58" i="4"/>
  <c r="AH51" i="4"/>
  <c r="AH44" i="4"/>
  <c r="AH36" i="4"/>
  <c r="AH67" i="4"/>
  <c r="AH66" i="4"/>
  <c r="AH65" i="4"/>
  <c r="AH60" i="4"/>
  <c r="AH53" i="4"/>
  <c r="AH52" i="4"/>
  <c r="AH43" i="4"/>
  <c r="AH35" i="4"/>
  <c r="AH57" i="4"/>
  <c r="AH54" i="4"/>
  <c r="AH41" i="4"/>
  <c r="AH33" i="4"/>
  <c r="AH79" i="4"/>
  <c r="AH61" i="4"/>
  <c r="AH50" i="4"/>
  <c r="AH46" i="4"/>
  <c r="AH38" i="4"/>
  <c r="AH27" i="4"/>
  <c r="AH19" i="4"/>
  <c r="AH48" i="4"/>
  <c r="AH40" i="4"/>
  <c r="AH31" i="4"/>
  <c r="AH26" i="4"/>
  <c r="AH18" i="4"/>
  <c r="AH49" i="4"/>
  <c r="AH47" i="4"/>
  <c r="AH39" i="4"/>
  <c r="AH32" i="4"/>
  <c r="AH25" i="4"/>
  <c r="AH59" i="4"/>
  <c r="AH42" i="4"/>
  <c r="AH24" i="4"/>
  <c r="AH34" i="4"/>
  <c r="AH23" i="4"/>
  <c r="AH75" i="4"/>
  <c r="AH55" i="4"/>
  <c r="AH45" i="4"/>
  <c r="AH37" i="4"/>
  <c r="AH30" i="4"/>
  <c r="AH28" i="4"/>
  <c r="AH87" i="4"/>
  <c r="AH21" i="4"/>
  <c r="AH15" i="4"/>
  <c r="AH14" i="4"/>
  <c r="AH29" i="4"/>
  <c r="AH16" i="4"/>
  <c r="AH17" i="4"/>
  <c r="AH20" i="4"/>
  <c r="AH22" i="4"/>
  <c r="L28" i="4"/>
  <c r="L32" i="4"/>
  <c r="L17" i="4"/>
  <c r="L26" i="4"/>
  <c r="L48" i="4"/>
  <c r="L53" i="4"/>
  <c r="L95" i="4"/>
  <c r="L63" i="4"/>
  <c r="L82" i="4"/>
  <c r="L87" i="4"/>
  <c r="L91" i="4"/>
  <c r="L89" i="4"/>
  <c r="AN114" i="4"/>
  <c r="AP14" i="4"/>
  <c r="AP114" i="4" s="1"/>
  <c r="AN85" i="3"/>
  <c r="AN46" i="3"/>
  <c r="AN35" i="3"/>
  <c r="AN38" i="3"/>
  <c r="AN53" i="3"/>
  <c r="AN112" i="3"/>
  <c r="AN20" i="3"/>
  <c r="AN48" i="3"/>
  <c r="AN95" i="3"/>
  <c r="AN43" i="3"/>
  <c r="AN44" i="3"/>
  <c r="AN111" i="3"/>
  <c r="AN110" i="3"/>
  <c r="AN79" i="3"/>
  <c r="J113" i="3"/>
  <c r="AQ114" i="4"/>
  <c r="L55" i="4"/>
  <c r="L76" i="4"/>
  <c r="AN87" i="3"/>
  <c r="AN89" i="3"/>
  <c r="AN99" i="3"/>
  <c r="P109" i="4"/>
  <c r="P108" i="4"/>
  <c r="P100" i="4"/>
  <c r="P92" i="4"/>
  <c r="P84" i="4"/>
  <c r="P106" i="4"/>
  <c r="P113" i="4"/>
  <c r="P105" i="4"/>
  <c r="P97" i="4"/>
  <c r="P110" i="4"/>
  <c r="P102" i="4"/>
  <c r="P94" i="4"/>
  <c r="P86" i="4"/>
  <c r="P101" i="4"/>
  <c r="P95" i="4"/>
  <c r="P88" i="4"/>
  <c r="P80" i="4"/>
  <c r="P99" i="4"/>
  <c r="P79" i="4"/>
  <c r="P71" i="4"/>
  <c r="P111" i="4"/>
  <c r="P91" i="4"/>
  <c r="P107" i="4"/>
  <c r="P98" i="4"/>
  <c r="P89" i="4"/>
  <c r="P77" i="4"/>
  <c r="P104" i="4"/>
  <c r="P103" i="4"/>
  <c r="P96" i="4"/>
  <c r="P90" i="4"/>
  <c r="P82" i="4"/>
  <c r="P74" i="4"/>
  <c r="P76" i="4"/>
  <c r="P72" i="4"/>
  <c r="P66" i="4"/>
  <c r="P58" i="4"/>
  <c r="P50" i="4"/>
  <c r="P78" i="4"/>
  <c r="P65" i="4"/>
  <c r="P57" i="4"/>
  <c r="P93" i="4"/>
  <c r="P87" i="4"/>
  <c r="P64" i="4"/>
  <c r="P85" i="4"/>
  <c r="P83" i="4"/>
  <c r="P112" i="4"/>
  <c r="P73" i="4"/>
  <c r="P81" i="4"/>
  <c r="P67" i="4"/>
  <c r="P46" i="4"/>
  <c r="P38" i="4"/>
  <c r="P30" i="4"/>
  <c r="P63" i="4"/>
  <c r="P60" i="4"/>
  <c r="P51" i="4"/>
  <c r="P45" i="4"/>
  <c r="P37" i="4"/>
  <c r="P62" i="4"/>
  <c r="P53" i="4"/>
  <c r="P43" i="4"/>
  <c r="P35" i="4"/>
  <c r="P75" i="4"/>
  <c r="P70" i="4"/>
  <c r="P69" i="4"/>
  <c r="P61" i="4"/>
  <c r="P56" i="4"/>
  <c r="P48" i="4"/>
  <c r="P40" i="4"/>
  <c r="P49" i="4"/>
  <c r="P42" i="4"/>
  <c r="P41" i="4"/>
  <c r="P29" i="4"/>
  <c r="P21" i="4"/>
  <c r="P28" i="4"/>
  <c r="P20" i="4"/>
  <c r="P44" i="4"/>
  <c r="P36" i="4"/>
  <c r="P34" i="4"/>
  <c r="P31" i="4"/>
  <c r="P27" i="4"/>
  <c r="P19" i="4"/>
  <c r="P32" i="4"/>
  <c r="P26" i="4"/>
  <c r="P18" i="4"/>
  <c r="P54" i="4"/>
  <c r="P33" i="4"/>
  <c r="P25" i="4"/>
  <c r="P59" i="4"/>
  <c r="P52" i="4"/>
  <c r="P47" i="4"/>
  <c r="P39" i="4"/>
  <c r="P22" i="4"/>
  <c r="P24" i="4"/>
  <c r="P68" i="4"/>
  <c r="P15" i="4"/>
  <c r="P14" i="4"/>
  <c r="P16" i="4"/>
  <c r="P17" i="4"/>
  <c r="P55" i="4"/>
  <c r="P23" i="4"/>
  <c r="AJ113" i="4"/>
  <c r="AJ105" i="4"/>
  <c r="AJ97" i="4"/>
  <c r="AJ89" i="4"/>
  <c r="AJ111" i="4"/>
  <c r="AJ103" i="4"/>
  <c r="AJ110" i="4"/>
  <c r="AJ102" i="4"/>
  <c r="AJ94" i="4"/>
  <c r="AJ107" i="4"/>
  <c r="AJ99" i="4"/>
  <c r="AJ91" i="4"/>
  <c r="AJ83" i="4"/>
  <c r="AJ112" i="4"/>
  <c r="AJ96" i="4"/>
  <c r="AJ92" i="4"/>
  <c r="AJ88" i="4"/>
  <c r="AJ101" i="4"/>
  <c r="AJ100" i="4"/>
  <c r="AJ95" i="4"/>
  <c r="AJ86" i="4"/>
  <c r="AJ77" i="4"/>
  <c r="AJ104" i="4"/>
  <c r="AJ76" i="4"/>
  <c r="AJ108" i="4"/>
  <c r="AJ87" i="4"/>
  <c r="AJ109" i="4"/>
  <c r="AJ90" i="4"/>
  <c r="AJ82" i="4"/>
  <c r="AJ79" i="4"/>
  <c r="AJ81" i="4"/>
  <c r="AJ72" i="4"/>
  <c r="AJ63" i="4"/>
  <c r="AJ55" i="4"/>
  <c r="AJ70" i="4"/>
  <c r="AJ62" i="4"/>
  <c r="AJ69" i="4"/>
  <c r="AJ61" i="4"/>
  <c r="AJ106" i="4"/>
  <c r="AJ71" i="4"/>
  <c r="AJ68" i="4"/>
  <c r="AJ84" i="4"/>
  <c r="AJ78" i="4"/>
  <c r="AJ75" i="4"/>
  <c r="AJ73" i="4"/>
  <c r="AJ98" i="4"/>
  <c r="AJ93" i="4"/>
  <c r="AJ67" i="4"/>
  <c r="AJ66" i="4"/>
  <c r="AJ65" i="4"/>
  <c r="AJ60" i="4"/>
  <c r="AJ53" i="4"/>
  <c r="AJ52" i="4"/>
  <c r="AJ43" i="4"/>
  <c r="AJ35" i="4"/>
  <c r="AJ85" i="4"/>
  <c r="AJ42" i="4"/>
  <c r="AJ59" i="4"/>
  <c r="AJ49" i="4"/>
  <c r="AJ48" i="4"/>
  <c r="AJ40" i="4"/>
  <c r="AJ64" i="4"/>
  <c r="AJ45" i="4"/>
  <c r="AJ37" i="4"/>
  <c r="AJ58" i="4"/>
  <c r="AJ51" i="4"/>
  <c r="AJ31" i="4"/>
  <c r="AJ26" i="4"/>
  <c r="AJ18" i="4"/>
  <c r="AJ80" i="4"/>
  <c r="AJ56" i="4"/>
  <c r="AJ47" i="4"/>
  <c r="AJ41" i="4"/>
  <c r="AJ39" i="4"/>
  <c r="AJ32" i="4"/>
  <c r="AJ25" i="4"/>
  <c r="AJ17" i="4"/>
  <c r="AJ24" i="4"/>
  <c r="AJ34" i="4"/>
  <c r="AJ23" i="4"/>
  <c r="AJ33" i="4"/>
  <c r="AJ22" i="4"/>
  <c r="AJ74" i="4"/>
  <c r="AJ46" i="4"/>
  <c r="AJ38" i="4"/>
  <c r="AJ27" i="4"/>
  <c r="AJ15" i="4"/>
  <c r="AJ14" i="4"/>
  <c r="AJ114" i="4" s="1"/>
  <c r="AJ50" i="4"/>
  <c r="AJ29" i="4"/>
  <c r="AJ16" i="4"/>
  <c r="AJ28" i="4"/>
  <c r="AJ54" i="4"/>
  <c r="AJ36" i="4"/>
  <c r="AJ19" i="4"/>
  <c r="AJ30" i="4"/>
  <c r="AJ21" i="4"/>
  <c r="AJ57" i="4"/>
  <c r="AJ44" i="4"/>
  <c r="AJ20" i="4"/>
  <c r="L29" i="4"/>
  <c r="H114" i="4"/>
  <c r="L14" i="4"/>
  <c r="L22" i="4"/>
  <c r="L25" i="4"/>
  <c r="L51" i="4"/>
  <c r="L50" i="4"/>
  <c r="L54" i="4"/>
  <c r="L100" i="4"/>
  <c r="L73" i="4"/>
  <c r="L84" i="4"/>
  <c r="L96" i="4"/>
  <c r="L99" i="4"/>
  <c r="L97" i="4"/>
  <c r="T113" i="3"/>
  <c r="AN19" i="3"/>
  <c r="AN63" i="3"/>
  <c r="AN36" i="3"/>
  <c r="AN69" i="3"/>
  <c r="AN15" i="3"/>
  <c r="AN16" i="3"/>
  <c r="AN107" i="3"/>
  <c r="AN56" i="3"/>
  <c r="AN97" i="3"/>
  <c r="AN51" i="3"/>
  <c r="AN52" i="3"/>
  <c r="AN98" i="3"/>
  <c r="AF108" i="4"/>
  <c r="AF107" i="4"/>
  <c r="AF99" i="4"/>
  <c r="AF91" i="4"/>
  <c r="AF83" i="4"/>
  <c r="AF113" i="4"/>
  <c r="AF105" i="4"/>
  <c r="AF112" i="4"/>
  <c r="AF104" i="4"/>
  <c r="AF96" i="4"/>
  <c r="AF109" i="4"/>
  <c r="AF101" i="4"/>
  <c r="AF93" i="4"/>
  <c r="AF85" i="4"/>
  <c r="AF90" i="4"/>
  <c r="AF103" i="4"/>
  <c r="AF92" i="4"/>
  <c r="AF84" i="4"/>
  <c r="AF79" i="4"/>
  <c r="AF102" i="4"/>
  <c r="AF100" i="4"/>
  <c r="AF95" i="4"/>
  <c r="AF88" i="4"/>
  <c r="AF78" i="4"/>
  <c r="AF86" i="4"/>
  <c r="AF89" i="4"/>
  <c r="AF76" i="4"/>
  <c r="AF97" i="4"/>
  <c r="AF81" i="4"/>
  <c r="AF73" i="4"/>
  <c r="AF98" i="4"/>
  <c r="AF65" i="4"/>
  <c r="AF57" i="4"/>
  <c r="AF49" i="4"/>
  <c r="AF110" i="4"/>
  <c r="AF74" i="4"/>
  <c r="AF72" i="4"/>
  <c r="AF64" i="4"/>
  <c r="AF111" i="4"/>
  <c r="AF82" i="4"/>
  <c r="AF77" i="4"/>
  <c r="AF63" i="4"/>
  <c r="AF70" i="4"/>
  <c r="AF106" i="4"/>
  <c r="AF94" i="4"/>
  <c r="AF69" i="4"/>
  <c r="AF45" i="4"/>
  <c r="AF37" i="4"/>
  <c r="AF68" i="4"/>
  <c r="AF58" i="4"/>
  <c r="AF51" i="4"/>
  <c r="AF44" i="4"/>
  <c r="AF36" i="4"/>
  <c r="AF75" i="4"/>
  <c r="AF42" i="4"/>
  <c r="AF34" i="4"/>
  <c r="AF80" i="4"/>
  <c r="AF56" i="4"/>
  <c r="AF47" i="4"/>
  <c r="AF39" i="4"/>
  <c r="AF66" i="4"/>
  <c r="AF62" i="4"/>
  <c r="AF60" i="4"/>
  <c r="AF55" i="4"/>
  <c r="AF46" i="4"/>
  <c r="AF38" i="4"/>
  <c r="AF30" i="4"/>
  <c r="AF28" i="4"/>
  <c r="AF20" i="4"/>
  <c r="AF27" i="4"/>
  <c r="AF19" i="4"/>
  <c r="AF48" i="4"/>
  <c r="AF41" i="4"/>
  <c r="AF40" i="4"/>
  <c r="AF31" i="4"/>
  <c r="AF26" i="4"/>
  <c r="AF18" i="4"/>
  <c r="AF52" i="4"/>
  <c r="AF43" i="4"/>
  <c r="AF35" i="4"/>
  <c r="AF32" i="4"/>
  <c r="AF25" i="4"/>
  <c r="AF61" i="4"/>
  <c r="AF59" i="4"/>
  <c r="AF53" i="4"/>
  <c r="AF24" i="4"/>
  <c r="AF87" i="4"/>
  <c r="AF54" i="4"/>
  <c r="AF50" i="4"/>
  <c r="AF29" i="4"/>
  <c r="AF21" i="4"/>
  <c r="AF67" i="4"/>
  <c r="AF23" i="4"/>
  <c r="AF15" i="4"/>
  <c r="AF14" i="4"/>
  <c r="AF114" i="4" s="1"/>
  <c r="AF16" i="4"/>
  <c r="AF71" i="4"/>
  <c r="AF22" i="4"/>
  <c r="AF33" i="4"/>
  <c r="AF17" i="4"/>
  <c r="L83" i="4"/>
  <c r="L18" i="4"/>
  <c r="L15" i="4"/>
  <c r="L30" i="4"/>
  <c r="L33" i="4"/>
  <c r="L37" i="4"/>
  <c r="L56" i="4"/>
  <c r="L65" i="4"/>
  <c r="L61" i="4"/>
  <c r="L75" i="4"/>
  <c r="L88" i="4"/>
  <c r="L104" i="4"/>
  <c r="L107" i="4"/>
  <c r="L105" i="4"/>
  <c r="AP113" i="3"/>
  <c r="AR22" i="3"/>
  <c r="AR113" i="3" s="1"/>
  <c r="AN73" i="3"/>
  <c r="AN37" i="3"/>
  <c r="AN93" i="3"/>
  <c r="AN29" i="3"/>
  <c r="AN23" i="3"/>
  <c r="AN64" i="3"/>
  <c r="AN50" i="3"/>
  <c r="AN59" i="3"/>
  <c r="AN60" i="3"/>
  <c r="AN106" i="3"/>
  <c r="AN71" i="3"/>
  <c r="AN62" i="3"/>
  <c r="J114" i="4"/>
  <c r="L19" i="4"/>
  <c r="L16" i="4"/>
  <c r="L23" i="4"/>
  <c r="L38" i="4"/>
  <c r="L45" i="4"/>
  <c r="L58" i="4"/>
  <c r="L106" i="4"/>
  <c r="L69" i="4"/>
  <c r="L80" i="4"/>
  <c r="L92" i="4"/>
  <c r="L77" i="4"/>
  <c r="L94" i="4"/>
  <c r="L113" i="4"/>
  <c r="AJ113" i="3"/>
  <c r="AB113" i="3"/>
  <c r="AN57" i="3"/>
  <c r="P113" i="3"/>
  <c r="AN86" i="3"/>
  <c r="AN42" i="3"/>
  <c r="AN14" i="3"/>
  <c r="AN49" i="3"/>
  <c r="AN30" i="3"/>
  <c r="AN17" i="3"/>
  <c r="AN72" i="3"/>
  <c r="AN58" i="3"/>
  <c r="AN67" i="3"/>
  <c r="AN68" i="3"/>
  <c r="AN100" i="3"/>
  <c r="T107" i="4"/>
  <c r="T106" i="4"/>
  <c r="T98" i="4"/>
  <c r="T90" i="4"/>
  <c r="T82" i="4"/>
  <c r="T112" i="4"/>
  <c r="T104" i="4"/>
  <c r="T111" i="4"/>
  <c r="T103" i="4"/>
  <c r="T95" i="4"/>
  <c r="T108" i="4"/>
  <c r="T100" i="4"/>
  <c r="T92" i="4"/>
  <c r="T84" i="4"/>
  <c r="T113" i="4"/>
  <c r="T105" i="4"/>
  <c r="T86" i="4"/>
  <c r="T99" i="4"/>
  <c r="T94" i="4"/>
  <c r="T78" i="4"/>
  <c r="T91" i="4"/>
  <c r="T89" i="4"/>
  <c r="T83" i="4"/>
  <c r="T77" i="4"/>
  <c r="T109" i="4"/>
  <c r="T97" i="4"/>
  <c r="T93" i="4"/>
  <c r="T87" i="4"/>
  <c r="T85" i="4"/>
  <c r="T110" i="4"/>
  <c r="T101" i="4"/>
  <c r="T88" i="4"/>
  <c r="T80" i="4"/>
  <c r="T72" i="4"/>
  <c r="T64" i="4"/>
  <c r="T56" i="4"/>
  <c r="T63" i="4"/>
  <c r="T102" i="4"/>
  <c r="T96" i="4"/>
  <c r="T79" i="4"/>
  <c r="T70" i="4"/>
  <c r="T62" i="4"/>
  <c r="T75" i="4"/>
  <c r="T73" i="4"/>
  <c r="T71" i="4"/>
  <c r="T69" i="4"/>
  <c r="T52" i="4"/>
  <c r="T44" i="4"/>
  <c r="T36" i="4"/>
  <c r="T76" i="4"/>
  <c r="T74" i="4"/>
  <c r="T57" i="4"/>
  <c r="T53" i="4"/>
  <c r="T43" i="4"/>
  <c r="T35" i="4"/>
  <c r="T55" i="4"/>
  <c r="T49" i="4"/>
  <c r="T41" i="4"/>
  <c r="T33" i="4"/>
  <c r="T67" i="4"/>
  <c r="T66" i="4"/>
  <c r="T58" i="4"/>
  <c r="T46" i="4"/>
  <c r="T38" i="4"/>
  <c r="T31" i="4"/>
  <c r="T27" i="4"/>
  <c r="T19" i="4"/>
  <c r="T34" i="4"/>
  <c r="T32" i="4"/>
  <c r="T26" i="4"/>
  <c r="T18" i="4"/>
  <c r="T50" i="4"/>
  <c r="T25" i="4"/>
  <c r="T60" i="4"/>
  <c r="T54" i="4"/>
  <c r="T45" i="4"/>
  <c r="T37" i="4"/>
  <c r="T24" i="4"/>
  <c r="T81" i="4"/>
  <c r="T51" i="4"/>
  <c r="T23" i="4"/>
  <c r="T61" i="4"/>
  <c r="T42" i="4"/>
  <c r="T28" i="4"/>
  <c r="T59" i="4"/>
  <c r="T40" i="4"/>
  <c r="T39" i="4"/>
  <c r="T22" i="4"/>
  <c r="T15" i="4"/>
  <c r="T14" i="4"/>
  <c r="T68" i="4"/>
  <c r="T48" i="4"/>
  <c r="T47" i="4"/>
  <c r="T30" i="4"/>
  <c r="T16" i="4"/>
  <c r="T20" i="4"/>
  <c r="T17" i="4"/>
  <c r="T21" i="4"/>
  <c r="T65" i="4"/>
  <c r="T29" i="4"/>
  <c r="AD109" i="4"/>
  <c r="AD108" i="4"/>
  <c r="AD100" i="4"/>
  <c r="AD92" i="4"/>
  <c r="AD84" i="4"/>
  <c r="AD106" i="4"/>
  <c r="AD113" i="4"/>
  <c r="AD105" i="4"/>
  <c r="AD97" i="4"/>
  <c r="AD110" i="4"/>
  <c r="AD102" i="4"/>
  <c r="AD94" i="4"/>
  <c r="AD86" i="4"/>
  <c r="AD112" i="4"/>
  <c r="AD107" i="4"/>
  <c r="AD90" i="4"/>
  <c r="AD82" i="4"/>
  <c r="AD80" i="4"/>
  <c r="AD103" i="4"/>
  <c r="AD96" i="4"/>
  <c r="AD79" i="4"/>
  <c r="AD71" i="4"/>
  <c r="AD104" i="4"/>
  <c r="AD101" i="4"/>
  <c r="AD95" i="4"/>
  <c r="AD88" i="4"/>
  <c r="AD77" i="4"/>
  <c r="AD111" i="4"/>
  <c r="AD98" i="4"/>
  <c r="AD93" i="4"/>
  <c r="AD87" i="4"/>
  <c r="AD85" i="4"/>
  <c r="AD74" i="4"/>
  <c r="AD83" i="4"/>
  <c r="AD66" i="4"/>
  <c r="AD58" i="4"/>
  <c r="AD50" i="4"/>
  <c r="AD65" i="4"/>
  <c r="AD57" i="4"/>
  <c r="AD81" i="4"/>
  <c r="AD72" i="4"/>
  <c r="AD64" i="4"/>
  <c r="AD91" i="4"/>
  <c r="AD76" i="4"/>
  <c r="AD99" i="4"/>
  <c r="AD61" i="4"/>
  <c r="AD46" i="4"/>
  <c r="AD38" i="4"/>
  <c r="AD30" i="4"/>
  <c r="AD73" i="4"/>
  <c r="AD69" i="4"/>
  <c r="AD45" i="4"/>
  <c r="AD37" i="4"/>
  <c r="AD67" i="4"/>
  <c r="AD60" i="4"/>
  <c r="AD53" i="4"/>
  <c r="AD52" i="4"/>
  <c r="AD43" i="4"/>
  <c r="AD35" i="4"/>
  <c r="AD62" i="4"/>
  <c r="AD59" i="4"/>
  <c r="AD55" i="4"/>
  <c r="AD48" i="4"/>
  <c r="AD40" i="4"/>
  <c r="AD78" i="4"/>
  <c r="AD75" i="4"/>
  <c r="AD70" i="4"/>
  <c r="AD54" i="4"/>
  <c r="AD29" i="4"/>
  <c r="AD21" i="4"/>
  <c r="AD51" i="4"/>
  <c r="AD28" i="4"/>
  <c r="AD20" i="4"/>
  <c r="AD89" i="4"/>
  <c r="AD56" i="4"/>
  <c r="AD27" i="4"/>
  <c r="AD19" i="4"/>
  <c r="AD68" i="4"/>
  <c r="AD49" i="4"/>
  <c r="AD47" i="4"/>
  <c r="AD41" i="4"/>
  <c r="AD39" i="4"/>
  <c r="AD31" i="4"/>
  <c r="AD26" i="4"/>
  <c r="AD18" i="4"/>
  <c r="AD42" i="4"/>
  <c r="AD32" i="4"/>
  <c r="AD25" i="4"/>
  <c r="AD22" i="4"/>
  <c r="AD63" i="4"/>
  <c r="AD23" i="4"/>
  <c r="AD15" i="4"/>
  <c r="AD14" i="4"/>
  <c r="AD34" i="4"/>
  <c r="AD44" i="4"/>
  <c r="AD24" i="4"/>
  <c r="AD36" i="4"/>
  <c r="AD33" i="4"/>
  <c r="AD16" i="4"/>
  <c r="AD17" i="4"/>
  <c r="R108" i="4"/>
  <c r="R107" i="4"/>
  <c r="R99" i="4"/>
  <c r="R91" i="4"/>
  <c r="R83" i="4"/>
  <c r="R113" i="4"/>
  <c r="R105" i="4"/>
  <c r="R112" i="4"/>
  <c r="R104" i="4"/>
  <c r="R96" i="4"/>
  <c r="R109" i="4"/>
  <c r="R101" i="4"/>
  <c r="R93" i="4"/>
  <c r="R85" i="4"/>
  <c r="R110" i="4"/>
  <c r="R100" i="4"/>
  <c r="R95" i="4"/>
  <c r="R88" i="4"/>
  <c r="R86" i="4"/>
  <c r="R79" i="4"/>
  <c r="R111" i="4"/>
  <c r="R106" i="4"/>
  <c r="R94" i="4"/>
  <c r="R78" i="4"/>
  <c r="R98" i="4"/>
  <c r="R89" i="4"/>
  <c r="R92" i="4"/>
  <c r="R84" i="4"/>
  <c r="R81" i="4"/>
  <c r="R73" i="4"/>
  <c r="R74" i="4"/>
  <c r="R65" i="4"/>
  <c r="R57" i="4"/>
  <c r="R97" i="4"/>
  <c r="R87" i="4"/>
  <c r="R64" i="4"/>
  <c r="R63" i="4"/>
  <c r="R103" i="4"/>
  <c r="R102" i="4"/>
  <c r="R70" i="4"/>
  <c r="R80" i="4"/>
  <c r="R75" i="4"/>
  <c r="R71" i="4"/>
  <c r="R60" i="4"/>
  <c r="R51" i="4"/>
  <c r="R45" i="4"/>
  <c r="R37" i="4"/>
  <c r="R90" i="4"/>
  <c r="R77" i="4"/>
  <c r="R52" i="4"/>
  <c r="R44" i="4"/>
  <c r="R36" i="4"/>
  <c r="R59" i="4"/>
  <c r="R54" i="4"/>
  <c r="R42" i="4"/>
  <c r="R34" i="4"/>
  <c r="R68" i="4"/>
  <c r="R50" i="4"/>
  <c r="R47" i="4"/>
  <c r="R39" i="4"/>
  <c r="R67" i="4"/>
  <c r="R61" i="4"/>
  <c r="R43" i="4"/>
  <c r="R35" i="4"/>
  <c r="R28" i="4"/>
  <c r="R20" i="4"/>
  <c r="R72" i="4"/>
  <c r="R53" i="4"/>
  <c r="R31" i="4"/>
  <c r="R27" i="4"/>
  <c r="R19" i="4"/>
  <c r="R32" i="4"/>
  <c r="R26" i="4"/>
  <c r="R69" i="4"/>
  <c r="R62" i="4"/>
  <c r="R33" i="4"/>
  <c r="R25" i="4"/>
  <c r="R66" i="4"/>
  <c r="R55" i="4"/>
  <c r="R24" i="4"/>
  <c r="R76" i="4"/>
  <c r="R49" i="4"/>
  <c r="R48" i="4"/>
  <c r="R41" i="4"/>
  <c r="R40" i="4"/>
  <c r="R30" i="4"/>
  <c r="R29" i="4"/>
  <c r="R58" i="4"/>
  <c r="R46" i="4"/>
  <c r="R22" i="4"/>
  <c r="R15" i="4"/>
  <c r="R14" i="4"/>
  <c r="R16" i="4"/>
  <c r="R82" i="4"/>
  <c r="R17" i="4"/>
  <c r="R38" i="4"/>
  <c r="R18" i="4"/>
  <c r="R21" i="4"/>
  <c r="R56" i="4"/>
  <c r="R23" i="4"/>
  <c r="N110" i="4"/>
  <c r="N109" i="4"/>
  <c r="N101" i="4"/>
  <c r="N93" i="4"/>
  <c r="N85" i="4"/>
  <c r="Z85" i="4" s="1"/>
  <c r="N107" i="4"/>
  <c r="N106" i="4"/>
  <c r="N98" i="4"/>
  <c r="N111" i="4"/>
  <c r="N103" i="4"/>
  <c r="N95" i="4"/>
  <c r="N87" i="4"/>
  <c r="N108" i="4"/>
  <c r="Z108" i="4" s="1"/>
  <c r="N104" i="4"/>
  <c r="N96" i="4"/>
  <c r="N92" i="4"/>
  <c r="N90" i="4"/>
  <c r="N113" i="4"/>
  <c r="N105" i="4"/>
  <c r="N100" i="4"/>
  <c r="N81" i="4"/>
  <c r="Z81" i="4" s="1"/>
  <c r="N88" i="4"/>
  <c r="N86" i="4"/>
  <c r="N80" i="4"/>
  <c r="N72" i="4"/>
  <c r="N99" i="4"/>
  <c r="Z99" i="4" s="1"/>
  <c r="N94" i="4"/>
  <c r="N91" i="4"/>
  <c r="N83" i="4"/>
  <c r="Z83" i="4" s="1"/>
  <c r="N78" i="4"/>
  <c r="N102" i="4"/>
  <c r="N75" i="4"/>
  <c r="N89" i="4"/>
  <c r="N77" i="4"/>
  <c r="N67" i="4"/>
  <c r="N59" i="4"/>
  <c r="N51" i="4"/>
  <c r="Z51" i="4" s="1"/>
  <c r="N84" i="4"/>
  <c r="Z84" i="4" s="1"/>
  <c r="N76" i="4"/>
  <c r="N74" i="4"/>
  <c r="N66" i="4"/>
  <c r="N58" i="4"/>
  <c r="N97" i="4"/>
  <c r="N65" i="4"/>
  <c r="N79" i="4"/>
  <c r="Z79" i="4" s="1"/>
  <c r="N64" i="4"/>
  <c r="N82" i="4"/>
  <c r="N68" i="4"/>
  <c r="N47" i="4"/>
  <c r="N39" i="4"/>
  <c r="Z39" i="4" s="1"/>
  <c r="N31" i="4"/>
  <c r="N71" i="4"/>
  <c r="N46" i="4"/>
  <c r="N38" i="4"/>
  <c r="N52" i="4"/>
  <c r="N44" i="4"/>
  <c r="N36" i="4"/>
  <c r="N55" i="4"/>
  <c r="Z55" i="4" s="1"/>
  <c r="N49" i="4"/>
  <c r="N41" i="4"/>
  <c r="N112" i="4"/>
  <c r="Z112" i="4" s="1"/>
  <c r="N63" i="4"/>
  <c r="N48" i="4"/>
  <c r="N40" i="4"/>
  <c r="N30" i="4"/>
  <c r="N22" i="4"/>
  <c r="N73" i="4"/>
  <c r="N61" i="4"/>
  <c r="N43" i="4"/>
  <c r="Z43" i="4" s="1"/>
  <c r="N42" i="4"/>
  <c r="N35" i="4"/>
  <c r="N29" i="4"/>
  <c r="N21" i="4"/>
  <c r="N57" i="4"/>
  <c r="N53" i="4"/>
  <c r="N28" i="4"/>
  <c r="N20" i="4"/>
  <c r="Z20" i="4" s="1"/>
  <c r="AR20" i="4" s="1"/>
  <c r="N70" i="4"/>
  <c r="Z70" i="4" s="1"/>
  <c r="N50" i="4"/>
  <c r="N34" i="4"/>
  <c r="N27" i="4"/>
  <c r="N19" i="4"/>
  <c r="N69" i="4"/>
  <c r="N62" i="4"/>
  <c r="N60" i="4"/>
  <c r="Z60" i="4" s="1"/>
  <c r="N45" i="4"/>
  <c r="Z45" i="4" s="1"/>
  <c r="N37" i="4"/>
  <c r="N32" i="4"/>
  <c r="N26" i="4"/>
  <c r="N23" i="4"/>
  <c r="N33" i="4"/>
  <c r="N25" i="4"/>
  <c r="N18" i="4"/>
  <c r="Z18" i="4" s="1"/>
  <c r="N24" i="4"/>
  <c r="Z24" i="4" s="1"/>
  <c r="N15" i="4"/>
  <c r="N14" i="4"/>
  <c r="N56" i="4"/>
  <c r="N17" i="4"/>
  <c r="Z13" i="4"/>
  <c r="N16" i="4"/>
  <c r="N54" i="4"/>
  <c r="X113" i="4"/>
  <c r="X112" i="4"/>
  <c r="X104" i="4"/>
  <c r="X96" i="4"/>
  <c r="X88" i="4"/>
  <c r="X110" i="4"/>
  <c r="X102" i="4"/>
  <c r="X109" i="4"/>
  <c r="X101" i="4"/>
  <c r="X106" i="4"/>
  <c r="X98" i="4"/>
  <c r="X90" i="4"/>
  <c r="X82" i="4"/>
  <c r="X99" i="4"/>
  <c r="X94" i="4"/>
  <c r="X111" i="4"/>
  <c r="X91" i="4"/>
  <c r="X89" i="4"/>
  <c r="X83" i="4"/>
  <c r="X76" i="4"/>
  <c r="X93" i="4"/>
  <c r="X87" i="4"/>
  <c r="X85" i="4"/>
  <c r="X75" i="4"/>
  <c r="X107" i="4"/>
  <c r="X97" i="4"/>
  <c r="X81" i="4"/>
  <c r="X105" i="4"/>
  <c r="X78" i="4"/>
  <c r="X70" i="4"/>
  <c r="X62" i="4"/>
  <c r="X54" i="4"/>
  <c r="X100" i="4"/>
  <c r="X95" i="4"/>
  <c r="X86" i="4"/>
  <c r="X79" i="4"/>
  <c r="X73" i="4"/>
  <c r="X71" i="4"/>
  <c r="X69" i="4"/>
  <c r="X61" i="4"/>
  <c r="X103" i="4"/>
  <c r="X80" i="4"/>
  <c r="X68" i="4"/>
  <c r="X60" i="4"/>
  <c r="X67" i="4"/>
  <c r="X92" i="4"/>
  <c r="X108" i="4"/>
  <c r="X77" i="4"/>
  <c r="X63" i="4"/>
  <c r="X59" i="4"/>
  <c r="X42" i="4"/>
  <c r="X34" i="4"/>
  <c r="X64" i="4"/>
  <c r="X49" i="4"/>
  <c r="X41" i="4"/>
  <c r="X65" i="4"/>
  <c r="X56" i="4"/>
  <c r="X50" i="4"/>
  <c r="X47" i="4"/>
  <c r="X39" i="4"/>
  <c r="X52" i="4"/>
  <c r="X44" i="4"/>
  <c r="X36" i="4"/>
  <c r="X72" i="4"/>
  <c r="X53" i="4"/>
  <c r="X25" i="4"/>
  <c r="X84" i="4"/>
  <c r="X74" i="4"/>
  <c r="X57" i="4"/>
  <c r="X33" i="4"/>
  <c r="X24" i="4"/>
  <c r="X16" i="4"/>
  <c r="X66" i="4"/>
  <c r="X45" i="4"/>
  <c r="X37" i="4"/>
  <c r="X23" i="4"/>
  <c r="X58" i="4"/>
  <c r="X55" i="4"/>
  <c r="X51" i="4"/>
  <c r="X46" i="4"/>
  <c r="X38" i="4"/>
  <c r="X22" i="4"/>
  <c r="X30" i="4"/>
  <c r="X29" i="4"/>
  <c r="X43" i="4"/>
  <c r="X35" i="4"/>
  <c r="X32" i="4"/>
  <c r="X26" i="4"/>
  <c r="X48" i="4"/>
  <c r="X31" i="4"/>
  <c r="X20" i="4"/>
  <c r="X21" i="4"/>
  <c r="X17" i="4"/>
  <c r="X40" i="4"/>
  <c r="X19" i="4"/>
  <c r="X15" i="4"/>
  <c r="X14" i="4"/>
  <c r="X27" i="4"/>
  <c r="X28" i="4"/>
  <c r="X18" i="4"/>
  <c r="L31" i="4"/>
  <c r="L21" i="4"/>
  <c r="L41" i="4"/>
  <c r="L39" i="4"/>
  <c r="L52" i="4"/>
  <c r="L74" i="4"/>
  <c r="L72" i="4"/>
  <c r="L62" i="4"/>
  <c r="L81" i="4"/>
  <c r="L90" i="4"/>
  <c r="L85" i="4"/>
  <c r="L102" i="4"/>
  <c r="V113" i="3"/>
  <c r="N112" i="3"/>
  <c r="AD112" i="3" s="1"/>
  <c r="N104" i="3"/>
  <c r="AD104" i="3" s="1"/>
  <c r="N96" i="3"/>
  <c r="AD96" i="3" s="1"/>
  <c r="N111" i="3"/>
  <c r="AD111" i="3" s="1"/>
  <c r="N110" i="3"/>
  <c r="AD110" i="3" s="1"/>
  <c r="N102" i="3"/>
  <c r="AD102" i="3" s="1"/>
  <c r="N108" i="3"/>
  <c r="AD108" i="3" s="1"/>
  <c r="N100" i="3"/>
  <c r="AD100" i="3" s="1"/>
  <c r="N105" i="3"/>
  <c r="AD105" i="3" s="1"/>
  <c r="N109" i="3"/>
  <c r="AD109" i="3" s="1"/>
  <c r="N94" i="3"/>
  <c r="AD94" i="3" s="1"/>
  <c r="N86" i="3"/>
  <c r="AD86" i="3" s="1"/>
  <c r="N78" i="3"/>
  <c r="AD78" i="3" s="1"/>
  <c r="N70" i="3"/>
  <c r="AD70" i="3" s="1"/>
  <c r="N62" i="3"/>
  <c r="AD62" i="3" s="1"/>
  <c r="N54" i="3"/>
  <c r="AD54" i="3" s="1"/>
  <c r="N46" i="3"/>
  <c r="AD46" i="3" s="1"/>
  <c r="N107" i="3"/>
  <c r="AD107" i="3" s="1"/>
  <c r="N98" i="3"/>
  <c r="AD98" i="3" s="1"/>
  <c r="N93" i="3"/>
  <c r="AD93" i="3" s="1"/>
  <c r="N85" i="3"/>
  <c r="AD85" i="3" s="1"/>
  <c r="N77" i="3"/>
  <c r="AD77" i="3" s="1"/>
  <c r="N69" i="3"/>
  <c r="AD69" i="3" s="1"/>
  <c r="N61" i="3"/>
  <c r="AD61" i="3" s="1"/>
  <c r="N53" i="3"/>
  <c r="AD53" i="3" s="1"/>
  <c r="N45" i="3"/>
  <c r="AD45" i="3" s="1"/>
  <c r="N37" i="3"/>
  <c r="AD37" i="3" s="1"/>
  <c r="N97" i="3"/>
  <c r="AD97" i="3" s="1"/>
  <c r="N95" i="3"/>
  <c r="AD95" i="3" s="1"/>
  <c r="N92" i="3"/>
  <c r="AD92" i="3" s="1"/>
  <c r="N84" i="3"/>
  <c r="AD84" i="3" s="1"/>
  <c r="N76" i="3"/>
  <c r="AD76" i="3" s="1"/>
  <c r="N68" i="3"/>
  <c r="AD68" i="3" s="1"/>
  <c r="N60" i="3"/>
  <c r="AD60" i="3" s="1"/>
  <c r="N52" i="3"/>
  <c r="AD52" i="3" s="1"/>
  <c r="N103" i="3"/>
  <c r="AD103" i="3" s="1"/>
  <c r="N91" i="3"/>
  <c r="AD91" i="3" s="1"/>
  <c r="N83" i="3"/>
  <c r="AD83" i="3" s="1"/>
  <c r="N101" i="3"/>
  <c r="AD101" i="3" s="1"/>
  <c r="N90" i="3"/>
  <c r="AD90" i="3" s="1"/>
  <c r="N82" i="3"/>
  <c r="AD82" i="3" s="1"/>
  <c r="N74" i="3"/>
  <c r="AD74" i="3" s="1"/>
  <c r="N66" i="3"/>
  <c r="AD66" i="3" s="1"/>
  <c r="N58" i="3"/>
  <c r="AD58" i="3" s="1"/>
  <c r="N50" i="3"/>
  <c r="AD50" i="3" s="1"/>
  <c r="N42" i="3"/>
  <c r="AD42" i="3" s="1"/>
  <c r="N106" i="3"/>
  <c r="AD106" i="3" s="1"/>
  <c r="N44" i="3"/>
  <c r="AD44" i="3" s="1"/>
  <c r="N33" i="3"/>
  <c r="AD33" i="3" s="1"/>
  <c r="N25" i="3"/>
  <c r="AD25" i="3" s="1"/>
  <c r="N19" i="3"/>
  <c r="AD19" i="3" s="1"/>
  <c r="N41" i="3"/>
  <c r="AD41" i="3" s="1"/>
  <c r="N88" i="3"/>
  <c r="AD88" i="3" s="1"/>
  <c r="N67" i="3"/>
  <c r="AD67" i="3" s="1"/>
  <c r="N55" i="3"/>
  <c r="AD55" i="3" s="1"/>
  <c r="N51" i="3"/>
  <c r="AD51" i="3" s="1"/>
  <c r="N43" i="3"/>
  <c r="AD43" i="3" s="1"/>
  <c r="N40" i="3"/>
  <c r="AD40" i="3" s="1"/>
  <c r="N32" i="3"/>
  <c r="AD32" i="3" s="1"/>
  <c r="N24" i="3"/>
  <c r="AD24" i="3" s="1"/>
  <c r="N18" i="3"/>
  <c r="AD18" i="3" s="1"/>
  <c r="N63" i="3"/>
  <c r="AD63" i="3" s="1"/>
  <c r="N99" i="3"/>
  <c r="AD99" i="3" s="1"/>
  <c r="N80" i="3"/>
  <c r="AD80" i="3" s="1"/>
  <c r="N71" i="3"/>
  <c r="AD71" i="3" s="1"/>
  <c r="N56" i="3"/>
  <c r="AD56" i="3" s="1"/>
  <c r="N31" i="3"/>
  <c r="AD31" i="3" s="1"/>
  <c r="N17" i="3"/>
  <c r="AD17" i="3" s="1"/>
  <c r="N28" i="3"/>
  <c r="AD28" i="3" s="1"/>
  <c r="N72" i="3"/>
  <c r="AD72" i="3" s="1"/>
  <c r="N57" i="3"/>
  <c r="AD57" i="3" s="1"/>
  <c r="N30" i="3"/>
  <c r="AD30" i="3" s="1"/>
  <c r="N23" i="3"/>
  <c r="AD23" i="3" s="1"/>
  <c r="N16" i="3"/>
  <c r="AD16" i="3" s="1"/>
  <c r="N73" i="3"/>
  <c r="AD73" i="3" s="1"/>
  <c r="N47" i="3"/>
  <c r="AD47" i="3" s="1"/>
  <c r="N29" i="3"/>
  <c r="AD29" i="3" s="1"/>
  <c r="N15" i="3"/>
  <c r="AD15" i="3" s="1"/>
  <c r="N89" i="3"/>
  <c r="AD89" i="3" s="1"/>
  <c r="N59" i="3"/>
  <c r="AD59" i="3" s="1"/>
  <c r="N48" i="3"/>
  <c r="AD48" i="3" s="1"/>
  <c r="N36" i="3"/>
  <c r="AD36" i="3" s="1"/>
  <c r="N22" i="3"/>
  <c r="AD22" i="3" s="1"/>
  <c r="N79" i="3"/>
  <c r="AD79" i="3" s="1"/>
  <c r="N65" i="3"/>
  <c r="AD65" i="3" s="1"/>
  <c r="N49" i="3"/>
  <c r="AD49" i="3" s="1"/>
  <c r="N39" i="3"/>
  <c r="AD39" i="3" s="1"/>
  <c r="N34" i="3"/>
  <c r="AD34" i="3" s="1"/>
  <c r="N26" i="3"/>
  <c r="AD26" i="3" s="1"/>
  <c r="N20" i="3"/>
  <c r="AD20" i="3" s="1"/>
  <c r="N13" i="3"/>
  <c r="AD12" i="3"/>
  <c r="N75" i="3"/>
  <c r="AD75" i="3" s="1"/>
  <c r="N21" i="3"/>
  <c r="AD21" i="3" s="1"/>
  <c r="N27" i="3"/>
  <c r="AD27" i="3" s="1"/>
  <c r="N35" i="3"/>
  <c r="AD35" i="3" s="1"/>
  <c r="N14" i="3"/>
  <c r="AD14" i="3" s="1"/>
  <c r="N87" i="3"/>
  <c r="AD87" i="3" s="1"/>
  <c r="N64" i="3"/>
  <c r="AD64" i="3" s="1"/>
  <c r="N38" i="3"/>
  <c r="AD38" i="3" s="1"/>
  <c r="N81" i="3"/>
  <c r="AD81" i="3" s="1"/>
  <c r="AL113" i="3"/>
  <c r="AN18" i="3"/>
  <c r="AN104" i="3"/>
  <c r="AN54" i="3"/>
  <c r="AN22" i="3"/>
  <c r="AN65" i="3"/>
  <c r="AN40" i="3"/>
  <c r="AN31" i="3"/>
  <c r="AN80" i="3"/>
  <c r="AN66" i="3"/>
  <c r="AN75" i="3"/>
  <c r="AN76" i="3"/>
  <c r="AN108" i="3"/>
  <c r="AR60" i="4" l="1"/>
  <c r="X114" i="4"/>
  <c r="Z42" i="4"/>
  <c r="Z63" i="4"/>
  <c r="Z38" i="4"/>
  <c r="Z64" i="4"/>
  <c r="Z78" i="4"/>
  <c r="Z88" i="4"/>
  <c r="Z104" i="4"/>
  <c r="Z107" i="4"/>
  <c r="AR107" i="4" s="1"/>
  <c r="AR69" i="4"/>
  <c r="AR18" i="4"/>
  <c r="AH114" i="4"/>
  <c r="AT17" i="3"/>
  <c r="AT23" i="3"/>
  <c r="AT40" i="3"/>
  <c r="AT85" i="3"/>
  <c r="AT76" i="3"/>
  <c r="AT92" i="3"/>
  <c r="AT38" i="3"/>
  <c r="AT59" i="3"/>
  <c r="AT78" i="3"/>
  <c r="AT64" i="3"/>
  <c r="AT65" i="3"/>
  <c r="AT74" i="3"/>
  <c r="AT98" i="3"/>
  <c r="AL57" i="4"/>
  <c r="AL73" i="4"/>
  <c r="AL48" i="4"/>
  <c r="AL62" i="4"/>
  <c r="AL49" i="4"/>
  <c r="AL46" i="4"/>
  <c r="AL76" i="4"/>
  <c r="AL66" i="4"/>
  <c r="AL78" i="4"/>
  <c r="AL102" i="4"/>
  <c r="AL81" i="4"/>
  <c r="AL107" i="4"/>
  <c r="Z54" i="4"/>
  <c r="AR54" i="4" s="1"/>
  <c r="AT84" i="3"/>
  <c r="AT106" i="3"/>
  <c r="AB114" i="4"/>
  <c r="AL14" i="4"/>
  <c r="AL83" i="4"/>
  <c r="Z16" i="4"/>
  <c r="AR16" i="4" s="1"/>
  <c r="Z25" i="4"/>
  <c r="AR25" i="4" s="1"/>
  <c r="Z62" i="4"/>
  <c r="Z28" i="4"/>
  <c r="Z61" i="4"/>
  <c r="Z41" i="4"/>
  <c r="AR41" i="4" s="1"/>
  <c r="Z71" i="4"/>
  <c r="Z65" i="4"/>
  <c r="Z59" i="4"/>
  <c r="AR59" i="4" s="1"/>
  <c r="Z91" i="4"/>
  <c r="AR91" i="4" s="1"/>
  <c r="Z100" i="4"/>
  <c r="Z87" i="4"/>
  <c r="AR87" i="4" s="1"/>
  <c r="Z93" i="4"/>
  <c r="T114" i="4"/>
  <c r="AR84" i="4"/>
  <c r="AR14" i="4"/>
  <c r="AT31" i="3"/>
  <c r="AT63" i="3"/>
  <c r="AT44" i="3"/>
  <c r="AT105" i="3"/>
  <c r="AT93" i="3"/>
  <c r="AT32" i="3"/>
  <c r="AT75" i="3"/>
  <c r="AT83" i="3"/>
  <c r="AT94" i="3"/>
  <c r="AT80" i="3"/>
  <c r="AT81" i="3"/>
  <c r="AT90" i="3"/>
  <c r="AT107" i="3"/>
  <c r="AR78" i="4"/>
  <c r="AL25" i="4"/>
  <c r="AL15" i="4"/>
  <c r="AL35" i="4"/>
  <c r="AL28" i="4"/>
  <c r="AR28" i="4" s="1"/>
  <c r="AT28" i="4" s="1"/>
  <c r="AL22" i="4"/>
  <c r="AL71" i="4"/>
  <c r="AL31" i="4"/>
  <c r="AL64" i="4"/>
  <c r="AL51" i="4"/>
  <c r="AL88" i="4"/>
  <c r="AL80" i="4"/>
  <c r="AL87" i="4"/>
  <c r="AL93" i="4"/>
  <c r="Z46" i="4"/>
  <c r="AR46" i="4" s="1"/>
  <c r="AR106" i="4"/>
  <c r="AT73" i="3"/>
  <c r="AL85" i="4"/>
  <c r="AR85" i="4" s="1"/>
  <c r="AR13" i="4"/>
  <c r="Z33" i="4"/>
  <c r="Z69" i="4"/>
  <c r="Z53" i="4"/>
  <c r="AR53" i="4" s="1"/>
  <c r="Z73" i="4"/>
  <c r="Z49" i="4"/>
  <c r="AR49" i="4" s="1"/>
  <c r="AT49" i="4" s="1"/>
  <c r="Z31" i="4"/>
  <c r="Z97" i="4"/>
  <c r="Z67" i="4"/>
  <c r="Z94" i="4"/>
  <c r="Z105" i="4"/>
  <c r="AR105" i="4" s="1"/>
  <c r="Z95" i="4"/>
  <c r="AR95" i="4" s="1"/>
  <c r="Z101" i="4"/>
  <c r="AD114" i="4"/>
  <c r="AR45" i="4"/>
  <c r="AR73" i="4"/>
  <c r="L114" i="4"/>
  <c r="AN113" i="3"/>
  <c r="AT101" i="3"/>
  <c r="AT91" i="3"/>
  <c r="AT51" i="3"/>
  <c r="AT20" i="3"/>
  <c r="H113" i="3"/>
  <c r="L13" i="3"/>
  <c r="AT14" i="3"/>
  <c r="AT77" i="3"/>
  <c r="AT110" i="3"/>
  <c r="AT97" i="3"/>
  <c r="AT88" i="3"/>
  <c r="AT89" i="3"/>
  <c r="AT111" i="3"/>
  <c r="AT100" i="3"/>
  <c r="AR42" i="4"/>
  <c r="AL34" i="4"/>
  <c r="AL53" i="4"/>
  <c r="AL43" i="4"/>
  <c r="AR43" i="4" s="1"/>
  <c r="AL21" i="4"/>
  <c r="AR21" i="4" s="1"/>
  <c r="AL37" i="4"/>
  <c r="AL36" i="4"/>
  <c r="AL39" i="4"/>
  <c r="AR39" i="4" s="1"/>
  <c r="AL77" i="4"/>
  <c r="AR77" i="4" s="1"/>
  <c r="AL59" i="4"/>
  <c r="AL104" i="4"/>
  <c r="AL82" i="4"/>
  <c r="AL95" i="4"/>
  <c r="AL101" i="4"/>
  <c r="AR61" i="4"/>
  <c r="AR81" i="4"/>
  <c r="AR31" i="4"/>
  <c r="Z17" i="4"/>
  <c r="Z23" i="4"/>
  <c r="Z19" i="4"/>
  <c r="Z57" i="4"/>
  <c r="Z22" i="4"/>
  <c r="AR22" i="4" s="1"/>
  <c r="Z58" i="4"/>
  <c r="AR58" i="4" s="1"/>
  <c r="Z77" i="4"/>
  <c r="Z113" i="4"/>
  <c r="AR113" i="4" s="1"/>
  <c r="Z103" i="4"/>
  <c r="Z109" i="4"/>
  <c r="AR109" i="4" s="1"/>
  <c r="AR38" i="4"/>
  <c r="AR29" i="4"/>
  <c r="AT18" i="3"/>
  <c r="AT95" i="3"/>
  <c r="AT53" i="3"/>
  <c r="AT26" i="3"/>
  <c r="AV26" i="3" s="1"/>
  <c r="AT21" i="3"/>
  <c r="AT22" i="3"/>
  <c r="AT24" i="3"/>
  <c r="AT46" i="3"/>
  <c r="AT79" i="3"/>
  <c r="AT99" i="3"/>
  <c r="AT42" i="3"/>
  <c r="AT109" i="3"/>
  <c r="AT108" i="3"/>
  <c r="AL42" i="4"/>
  <c r="AL63" i="4"/>
  <c r="AR63" i="4" s="1"/>
  <c r="AL52" i="4"/>
  <c r="AL29" i="4"/>
  <c r="AL45" i="4"/>
  <c r="AL44" i="4"/>
  <c r="AL47" i="4"/>
  <c r="AL113" i="4"/>
  <c r="AL67" i="4"/>
  <c r="AL105" i="4"/>
  <c r="AL84" i="4"/>
  <c r="AL103" i="4"/>
  <c r="AL109" i="4"/>
  <c r="AL72" i="4"/>
  <c r="N113" i="3"/>
  <c r="AD13" i="3"/>
  <c r="AD113" i="3" s="1"/>
  <c r="AR62" i="4"/>
  <c r="Z56" i="4"/>
  <c r="AR56" i="4" s="1"/>
  <c r="Z26" i="4"/>
  <c r="Z27" i="4"/>
  <c r="AR27" i="4" s="1"/>
  <c r="AT27" i="4" s="1"/>
  <c r="Z21" i="4"/>
  <c r="Z30" i="4"/>
  <c r="Z36" i="4"/>
  <c r="Z47" i="4"/>
  <c r="AR47" i="4" s="1"/>
  <c r="Z66" i="4"/>
  <c r="Z89" i="4"/>
  <c r="AR89" i="4" s="1"/>
  <c r="Z72" i="4"/>
  <c r="Z90" i="4"/>
  <c r="AR90" i="4" s="1"/>
  <c r="Z111" i="4"/>
  <c r="Z110" i="4"/>
  <c r="AR23" i="4"/>
  <c r="P114" i="4"/>
  <c r="AT52" i="3"/>
  <c r="AT19" i="3"/>
  <c r="AT67" i="3"/>
  <c r="AT34" i="3"/>
  <c r="AT27" i="3"/>
  <c r="AV27" i="3" s="1"/>
  <c r="AT28" i="3"/>
  <c r="AT12" i="3"/>
  <c r="AT54" i="3"/>
  <c r="AT87" i="3"/>
  <c r="AT41" i="3"/>
  <c r="AT50" i="3"/>
  <c r="AT96" i="3"/>
  <c r="AL16" i="4"/>
  <c r="AL18" i="4"/>
  <c r="AL19" i="4"/>
  <c r="AL30" i="4"/>
  <c r="AR30" i="4" s="1"/>
  <c r="AT30" i="4" s="1"/>
  <c r="AL79" i="4"/>
  <c r="AR79" i="4" s="1"/>
  <c r="AL68" i="4"/>
  <c r="AL50" i="4"/>
  <c r="AL65" i="4"/>
  <c r="AR65" i="4" s="1"/>
  <c r="AL94" i="4"/>
  <c r="AR94" i="4" s="1"/>
  <c r="AL108" i="4"/>
  <c r="AR108" i="4" s="1"/>
  <c r="AL90" i="4"/>
  <c r="AL111" i="4"/>
  <c r="AL110" i="4"/>
  <c r="AR110" i="4" s="1"/>
  <c r="AR72" i="4"/>
  <c r="N114" i="4"/>
  <c r="Z14" i="4"/>
  <c r="Z32" i="4"/>
  <c r="AR32" i="4" s="1"/>
  <c r="Z34" i="4"/>
  <c r="Z29" i="4"/>
  <c r="Z40" i="4"/>
  <c r="Z44" i="4"/>
  <c r="AR44" i="4" s="1"/>
  <c r="Z68" i="4"/>
  <c r="AR68" i="4" s="1"/>
  <c r="Z74" i="4"/>
  <c r="AR74" i="4" s="1"/>
  <c r="Z75" i="4"/>
  <c r="AR75" i="4" s="1"/>
  <c r="Z80" i="4"/>
  <c r="Z92" i="4"/>
  <c r="Z98" i="4"/>
  <c r="R114" i="4"/>
  <c r="AR92" i="4"/>
  <c r="AR104" i="4"/>
  <c r="AR50" i="4"/>
  <c r="AT68" i="3"/>
  <c r="AT25" i="3"/>
  <c r="AV25" i="3" s="1"/>
  <c r="AT69" i="3"/>
  <c r="AT39" i="3"/>
  <c r="AT35" i="3"/>
  <c r="AT36" i="3"/>
  <c r="AT15" i="3"/>
  <c r="AT62" i="3"/>
  <c r="AT48" i="3"/>
  <c r="AV48" i="3" s="1"/>
  <c r="AT49" i="3"/>
  <c r="AT58" i="3"/>
  <c r="AT104" i="3"/>
  <c r="AR93" i="4"/>
  <c r="AL17" i="4"/>
  <c r="AR17" i="4" s="1"/>
  <c r="AL24" i="4"/>
  <c r="AR24" i="4" s="1"/>
  <c r="AL27" i="4"/>
  <c r="AL55" i="4"/>
  <c r="AR55" i="4" s="1"/>
  <c r="AL33" i="4"/>
  <c r="AR33" i="4" s="1"/>
  <c r="AL70" i="4"/>
  <c r="AR70" i="4" s="1"/>
  <c r="AL56" i="4"/>
  <c r="AL74" i="4"/>
  <c r="AL99" i="4"/>
  <c r="AR99" i="4" s="1"/>
  <c r="AL96" i="4"/>
  <c r="AL92" i="4"/>
  <c r="AL98" i="4"/>
  <c r="AR83" i="4"/>
  <c r="Z15" i="4"/>
  <c r="AR15" i="4" s="1"/>
  <c r="Z37" i="4"/>
  <c r="AR37" i="4" s="1"/>
  <c r="Z50" i="4"/>
  <c r="Z35" i="4"/>
  <c r="AR35" i="4" s="1"/>
  <c r="Z48" i="4"/>
  <c r="AR48" i="4" s="1"/>
  <c r="Z52" i="4"/>
  <c r="AR52" i="4" s="1"/>
  <c r="Z82" i="4"/>
  <c r="AR82" i="4" s="1"/>
  <c r="Z76" i="4"/>
  <c r="AR76" i="4" s="1"/>
  <c r="Z102" i="4"/>
  <c r="AR102" i="4" s="1"/>
  <c r="Z86" i="4"/>
  <c r="AR86" i="4" s="1"/>
  <c r="Z96" i="4"/>
  <c r="AR96" i="4" s="1"/>
  <c r="Z106" i="4"/>
  <c r="AR80" i="4"/>
  <c r="AR19" i="4"/>
  <c r="AR88" i="4"/>
  <c r="AR97" i="4"/>
  <c r="AR51" i="4"/>
  <c r="AR26" i="4"/>
  <c r="AT26" i="4" s="1"/>
  <c r="AT16" i="3"/>
  <c r="AT33" i="3"/>
  <c r="AT71" i="3"/>
  <c r="AT55" i="3"/>
  <c r="AT60" i="3"/>
  <c r="AT37" i="3"/>
  <c r="AT29" i="3"/>
  <c r="AV29" i="3" s="1"/>
  <c r="AT70" i="3"/>
  <c r="AV70" i="3" s="1"/>
  <c r="AT56" i="3"/>
  <c r="AT57" i="3"/>
  <c r="AT66" i="3"/>
  <c r="AT112" i="3"/>
  <c r="AR101" i="4"/>
  <c r="AR34" i="4"/>
  <c r="AL32" i="4"/>
  <c r="AL23" i="4"/>
  <c r="AL40" i="4"/>
  <c r="AL60" i="4"/>
  <c r="AL41" i="4"/>
  <c r="AL38" i="4"/>
  <c r="AL89" i="4"/>
  <c r="AL58" i="4"/>
  <c r="AL75" i="4"/>
  <c r="AL100" i="4"/>
  <c r="AR100" i="4" s="1"/>
  <c r="AL112" i="4"/>
  <c r="AR112" i="4" s="1"/>
  <c r="AL106" i="4"/>
  <c r="AR36" i="4"/>
  <c r="AR66" i="4" l="1"/>
  <c r="AR103" i="4"/>
  <c r="AT114" i="4"/>
  <c r="AR40" i="4"/>
  <c r="AR98" i="4"/>
  <c r="AV113" i="3"/>
  <c r="AW114" i="3" s="1"/>
  <c r="L113" i="3"/>
  <c r="AT13" i="3"/>
  <c r="AT113" i="3" s="1"/>
  <c r="AR111" i="4"/>
  <c r="AR67" i="4"/>
  <c r="AR71" i="4"/>
  <c r="AT71" i="4" s="1"/>
  <c r="AR57" i="4"/>
  <c r="AR114" i="4" s="1"/>
  <c r="Z114" i="4"/>
  <c r="AL114" i="4"/>
  <c r="AR64" i="4"/>
  <c r="BA115" i="4" l="1"/>
</calcChain>
</file>

<file path=xl/sharedStrings.xml><?xml version="1.0" encoding="utf-8"?>
<sst xmlns="http://schemas.openxmlformats.org/spreadsheetml/2006/main" count="2835" uniqueCount="633">
  <si>
    <t>関係者 ご各位様</t>
    <rPh sb="0" eb="3">
      <t>カンケイシャ</t>
    </rPh>
    <rPh sb="5" eb="7">
      <t>カクイ</t>
    </rPh>
    <rPh sb="7" eb="8">
      <t>サマ</t>
    </rPh>
    <phoneticPr fontId="5"/>
  </si>
  <si>
    <t>東レインターナショナル㈱　アパレル物流課</t>
    <rPh sb="0" eb="1">
      <t>トウ</t>
    </rPh>
    <rPh sb="17" eb="19">
      <t>ブツリュウ</t>
    </rPh>
    <rPh sb="19" eb="20">
      <t>カ</t>
    </rPh>
    <phoneticPr fontId="5"/>
  </si>
  <si>
    <t>【ご依頼】APIC、BTNB生産の輸入におけるTIVNの業務委託費用の評価加算について</t>
    <rPh sb="2" eb="4">
      <t>イライ</t>
    </rPh>
    <rPh sb="14" eb="16">
      <t>セイサン</t>
    </rPh>
    <rPh sb="17" eb="19">
      <t>ユニュウ</t>
    </rPh>
    <rPh sb="28" eb="30">
      <t>ギョウム</t>
    </rPh>
    <rPh sb="30" eb="32">
      <t>イタク</t>
    </rPh>
    <rPh sb="32" eb="34">
      <t>ヒヨウ</t>
    </rPh>
    <rPh sb="35" eb="37">
      <t>ヒョウカ</t>
    </rPh>
    <rPh sb="37" eb="39">
      <t>カサン</t>
    </rPh>
    <phoneticPr fontId="5"/>
  </si>
  <si>
    <t>　逆委託加工における手数料の法改正遵守が強化されていく中で、弊方でも、表題を中心に、</t>
    <rPh sb="1" eb="2">
      <t>ギャク</t>
    </rPh>
    <rPh sb="2" eb="4">
      <t>イタク</t>
    </rPh>
    <rPh sb="4" eb="6">
      <t>カコウ</t>
    </rPh>
    <rPh sb="10" eb="13">
      <t>テスウリョウ</t>
    </rPh>
    <rPh sb="14" eb="17">
      <t>ホウカイセイ</t>
    </rPh>
    <rPh sb="17" eb="19">
      <t>ジュンシュ</t>
    </rPh>
    <rPh sb="20" eb="22">
      <t>キョウカ</t>
    </rPh>
    <rPh sb="27" eb="28">
      <t>ナカ</t>
    </rPh>
    <rPh sb="30" eb="32">
      <t>ヘイホウ</t>
    </rPh>
    <rPh sb="35" eb="37">
      <t>ヒョウダイ</t>
    </rPh>
    <rPh sb="38" eb="40">
      <t>チュウシン</t>
    </rPh>
    <phoneticPr fontId="5"/>
  </si>
  <si>
    <t>あるべき姿を神戸税関や関係者と協議してきました。TIベトナムの100項目に細分化された業務内容を</t>
    <rPh sb="4" eb="5">
      <t>スガタ</t>
    </rPh>
    <rPh sb="6" eb="8">
      <t>コウベ</t>
    </rPh>
    <rPh sb="8" eb="10">
      <t>ゼイカン</t>
    </rPh>
    <rPh sb="11" eb="14">
      <t>カンケイシャ</t>
    </rPh>
    <rPh sb="15" eb="17">
      <t>キョウギ</t>
    </rPh>
    <rPh sb="34" eb="36">
      <t>コウモク</t>
    </rPh>
    <rPh sb="37" eb="40">
      <t>サイブンカ</t>
    </rPh>
    <rPh sb="43" eb="45">
      <t>ギョウム</t>
    </rPh>
    <rPh sb="45" eb="47">
      <t>ナイヨウ</t>
    </rPh>
    <phoneticPr fontId="5"/>
  </si>
  <si>
    <t>1項目ずつ検討した結果、6項目が評価加算を要する課税対象とすべき内容と判断されたたため、</t>
    <rPh sb="1" eb="3">
      <t>コウモク</t>
    </rPh>
    <rPh sb="5" eb="7">
      <t>ケントウ</t>
    </rPh>
    <rPh sb="9" eb="11">
      <t>ケッカ</t>
    </rPh>
    <rPh sb="13" eb="15">
      <t>コウモク</t>
    </rPh>
    <rPh sb="16" eb="18">
      <t>ヒョウカ</t>
    </rPh>
    <rPh sb="18" eb="20">
      <t>カサン</t>
    </rPh>
    <rPh sb="21" eb="22">
      <t>ヨウ</t>
    </rPh>
    <rPh sb="24" eb="26">
      <t>カゼイ</t>
    </rPh>
    <rPh sb="26" eb="28">
      <t>タイショウ</t>
    </rPh>
    <rPh sb="32" eb="34">
      <t>ナイヨウ</t>
    </rPh>
    <rPh sb="35" eb="37">
      <t>ハンダン</t>
    </rPh>
    <phoneticPr fontId="5"/>
  </si>
  <si>
    <t>12月より評価加算を開始いたします。つきましては、下記詳細をご確認、ご対応願います。</t>
    <rPh sb="2" eb="3">
      <t>ガツ</t>
    </rPh>
    <rPh sb="5" eb="7">
      <t>ヒョウカ</t>
    </rPh>
    <rPh sb="7" eb="9">
      <t>カサン</t>
    </rPh>
    <rPh sb="10" eb="12">
      <t>カイシ</t>
    </rPh>
    <rPh sb="25" eb="27">
      <t>カキ</t>
    </rPh>
    <rPh sb="27" eb="29">
      <t>ショウサイ</t>
    </rPh>
    <rPh sb="31" eb="33">
      <t>カクニン</t>
    </rPh>
    <rPh sb="35" eb="37">
      <t>タイオウ</t>
    </rPh>
    <rPh sb="37" eb="38">
      <t>ネガ</t>
    </rPh>
    <phoneticPr fontId="5"/>
  </si>
  <si>
    <t>（１）評価加算すべき委託業務　6/100 項目　（神戸税関 包括評価申請にて以下項目について了承済み）</t>
    <rPh sb="3" eb="5">
      <t>ヒョウカ</t>
    </rPh>
    <rPh sb="5" eb="7">
      <t>カサン</t>
    </rPh>
    <rPh sb="10" eb="12">
      <t>イタク</t>
    </rPh>
    <rPh sb="12" eb="14">
      <t>ギョウム</t>
    </rPh>
    <rPh sb="21" eb="23">
      <t>コウモク</t>
    </rPh>
    <rPh sb="25" eb="27">
      <t>コウベ</t>
    </rPh>
    <rPh sb="27" eb="29">
      <t>ゼイカン</t>
    </rPh>
    <rPh sb="38" eb="40">
      <t>イカ</t>
    </rPh>
    <rPh sb="40" eb="42">
      <t>コウモク</t>
    </rPh>
    <rPh sb="46" eb="48">
      <t>リョウショウ</t>
    </rPh>
    <rPh sb="48" eb="49">
      <t>ズ</t>
    </rPh>
    <phoneticPr fontId="5"/>
  </si>
  <si>
    <t>（２）評価加算すべき額（2023年度）</t>
    <rPh sb="3" eb="5">
      <t>ヒョウカ</t>
    </rPh>
    <rPh sb="5" eb="7">
      <t>カサン</t>
    </rPh>
    <rPh sb="10" eb="11">
      <t>ガク</t>
    </rPh>
    <rPh sb="16" eb="18">
      <t>ネンド</t>
    </rPh>
    <phoneticPr fontId="5"/>
  </si>
  <si>
    <t>　APIC：</t>
    <phoneticPr fontId="5"/>
  </si>
  <si>
    <t>/年</t>
    <rPh sb="1" eb="2">
      <t>ネン</t>
    </rPh>
    <phoneticPr fontId="5"/>
  </si>
  <si>
    <t>/50万着/年≒$0.05/着★</t>
    <rPh sb="3" eb="5">
      <t>マンチャク</t>
    </rPh>
    <rPh sb="6" eb="7">
      <t>ネン</t>
    </rPh>
    <rPh sb="14" eb="15">
      <t>チャク</t>
    </rPh>
    <phoneticPr fontId="5"/>
  </si>
  <si>
    <t xml:space="preserve">  BTNB：</t>
    <phoneticPr fontId="5"/>
  </si>
  <si>
    <t>/45万着/年≒$0.02/着★</t>
    <rPh sb="3" eb="5">
      <t>マンチャク</t>
    </rPh>
    <rPh sb="6" eb="7">
      <t>ネン</t>
    </rPh>
    <phoneticPr fontId="5"/>
  </si>
  <si>
    <t>（３）加算エビデンス について</t>
    <rPh sb="3" eb="5">
      <t>カサン</t>
    </rPh>
    <phoneticPr fontId="5"/>
  </si>
  <si>
    <t>　ベトナム側より弊各営業担当に、評価加算用エビデンスがインボイスと一緒に届くこととなります。</t>
    <rPh sb="5" eb="6">
      <t>ガワ</t>
    </rPh>
    <rPh sb="8" eb="9">
      <t>ヘイ</t>
    </rPh>
    <rPh sb="9" eb="10">
      <t>カク</t>
    </rPh>
    <rPh sb="10" eb="12">
      <t>エイギョウ</t>
    </rPh>
    <rPh sb="12" eb="14">
      <t>タントウ</t>
    </rPh>
    <rPh sb="16" eb="18">
      <t>ヒョウカ</t>
    </rPh>
    <rPh sb="18" eb="20">
      <t>カサン</t>
    </rPh>
    <rPh sb="20" eb="21">
      <t>ヨウ</t>
    </rPh>
    <rPh sb="36" eb="37">
      <t>トド</t>
    </rPh>
    <phoneticPr fontId="5"/>
  </si>
  <si>
    <t>　当該書面を各担当から御社にお渡しするように伝えております。</t>
    <rPh sb="1" eb="3">
      <t>トウガイ</t>
    </rPh>
    <rPh sb="3" eb="5">
      <t>ショメン</t>
    </rPh>
    <rPh sb="6" eb="9">
      <t>カクタントウ</t>
    </rPh>
    <rPh sb="11" eb="13">
      <t>オンシャ</t>
    </rPh>
    <rPh sb="15" eb="16">
      <t>ワタ</t>
    </rPh>
    <rPh sb="22" eb="23">
      <t>ツタ</t>
    </rPh>
    <phoneticPr fontId="5"/>
  </si>
  <si>
    <t>　管理上の都合で、申告額への加算ではなく、評価加算にて対応願います。</t>
    <phoneticPr fontId="5"/>
  </si>
  <si>
    <t>（４）開始時期</t>
    <rPh sb="3" eb="5">
      <t>カイシ</t>
    </rPh>
    <rPh sb="5" eb="7">
      <t>ジキ</t>
    </rPh>
    <phoneticPr fontId="5"/>
  </si>
  <si>
    <r>
      <t>　2023年度は11月の相当費用を</t>
    </r>
    <r>
      <rPr>
        <u/>
        <sz val="11"/>
        <color rgb="FFFF0000"/>
        <rFont val="游ゴシック"/>
        <family val="3"/>
        <charset val="128"/>
        <scheme val="minor"/>
      </rPr>
      <t>2023年12月</t>
    </r>
    <r>
      <rPr>
        <sz val="11"/>
        <color rgb="FFFF0000"/>
        <rFont val="游ゴシック"/>
        <family val="3"/>
        <charset val="128"/>
        <scheme val="minor"/>
      </rPr>
      <t>の出荷分より評価加算が必要。</t>
    </r>
    <rPh sb="5" eb="7">
      <t>ネンド</t>
    </rPh>
    <rPh sb="10" eb="11">
      <t>ガツ</t>
    </rPh>
    <rPh sb="12" eb="14">
      <t>ソウトウ</t>
    </rPh>
    <rPh sb="14" eb="16">
      <t>ヒヨウ</t>
    </rPh>
    <rPh sb="21" eb="22">
      <t>ネン</t>
    </rPh>
    <rPh sb="24" eb="25">
      <t>ガツ</t>
    </rPh>
    <rPh sb="26" eb="28">
      <t>シュッカ</t>
    </rPh>
    <rPh sb="28" eb="29">
      <t>ブン</t>
    </rPh>
    <rPh sb="31" eb="33">
      <t>ヒョウカ</t>
    </rPh>
    <rPh sb="33" eb="35">
      <t>カサン</t>
    </rPh>
    <rPh sb="36" eb="38">
      <t>ヒツヨウ</t>
    </rPh>
    <phoneticPr fontId="5"/>
  </si>
  <si>
    <t>　来年5月より2024年度分の新価格にて評価加算をしていくこととなる。</t>
    <rPh sb="1" eb="3">
      <t>ライネン</t>
    </rPh>
    <rPh sb="4" eb="5">
      <t>ガツ</t>
    </rPh>
    <rPh sb="11" eb="13">
      <t>ネンド</t>
    </rPh>
    <rPh sb="13" eb="14">
      <t>ブン</t>
    </rPh>
    <rPh sb="15" eb="16">
      <t>シン</t>
    </rPh>
    <rPh sb="16" eb="18">
      <t>カカク</t>
    </rPh>
    <rPh sb="20" eb="22">
      <t>ヒョウカ</t>
    </rPh>
    <rPh sb="22" eb="24">
      <t>カサン</t>
    </rPh>
    <phoneticPr fontId="5"/>
  </si>
  <si>
    <t>　(以前のものに関しては今年の事後調査で修正）</t>
    <phoneticPr fontId="5"/>
  </si>
  <si>
    <t>　≪問合せ先：東レインターナショナル㈱ アパレル物流課　田中（TEL:080-1529-8014）≫</t>
    <rPh sb="2" eb="4">
      <t>トイアワ</t>
    </rPh>
    <rPh sb="5" eb="6">
      <t>サキ</t>
    </rPh>
    <rPh sb="7" eb="8">
      <t>トウ</t>
    </rPh>
    <rPh sb="24" eb="26">
      <t>ブツリュウ</t>
    </rPh>
    <rPh sb="26" eb="27">
      <t>カ</t>
    </rPh>
    <rPh sb="28" eb="30">
      <t>タナカ</t>
    </rPh>
    <phoneticPr fontId="5"/>
  </si>
  <si>
    <t>以　上</t>
    <rPh sb="0" eb="1">
      <t>イ</t>
    </rPh>
    <rPh sb="2" eb="3">
      <t>ウエ</t>
    </rPh>
    <phoneticPr fontId="5"/>
  </si>
  <si>
    <t>アパレル製品第2部 各位</t>
    <rPh sb="4" eb="6">
      <t>セイヒン</t>
    </rPh>
    <rPh sb="6" eb="7">
      <t>ダイ</t>
    </rPh>
    <rPh sb="8" eb="9">
      <t>ブ</t>
    </rPh>
    <rPh sb="10" eb="12">
      <t>カクイ</t>
    </rPh>
    <phoneticPr fontId="5"/>
  </si>
  <si>
    <t>アパレル物流課</t>
    <rPh sb="4" eb="6">
      <t>ブツリュウ</t>
    </rPh>
    <rPh sb="6" eb="7">
      <t>カ</t>
    </rPh>
    <phoneticPr fontId="5"/>
  </si>
  <si>
    <t>　税関にて、逆委託加工における手数料の評価加算への考え方が、変わっていく中で、弊方でも、</t>
    <rPh sb="1" eb="3">
      <t>ゼイカン</t>
    </rPh>
    <rPh sb="6" eb="7">
      <t>ギャク</t>
    </rPh>
    <rPh sb="7" eb="9">
      <t>イタク</t>
    </rPh>
    <rPh sb="9" eb="11">
      <t>カコウ</t>
    </rPh>
    <rPh sb="15" eb="18">
      <t>テスウリョウ</t>
    </rPh>
    <rPh sb="19" eb="21">
      <t>ヒョウカ</t>
    </rPh>
    <rPh sb="21" eb="23">
      <t>カサン</t>
    </rPh>
    <rPh sb="25" eb="26">
      <t>カンガ</t>
    </rPh>
    <rPh sb="27" eb="28">
      <t>カタ</t>
    </rPh>
    <rPh sb="30" eb="31">
      <t>カ</t>
    </rPh>
    <rPh sb="36" eb="37">
      <t>ナカ</t>
    </rPh>
    <rPh sb="39" eb="41">
      <t>ヘイホウ</t>
    </rPh>
    <phoneticPr fontId="5"/>
  </si>
  <si>
    <t>あるべき姿を神戸税関や関係者と協議してきました。TIVNｂの100項目に細分化された業務内容を</t>
    <rPh sb="4" eb="5">
      <t>スガタ</t>
    </rPh>
    <rPh sb="6" eb="8">
      <t>コウベ</t>
    </rPh>
    <rPh sb="8" eb="10">
      <t>ゼイカン</t>
    </rPh>
    <rPh sb="11" eb="14">
      <t>カンケイシャ</t>
    </rPh>
    <rPh sb="15" eb="17">
      <t>キョウギ</t>
    </rPh>
    <rPh sb="33" eb="35">
      <t>コウモク</t>
    </rPh>
    <rPh sb="36" eb="39">
      <t>サイブンカ</t>
    </rPh>
    <rPh sb="42" eb="44">
      <t>ギョウム</t>
    </rPh>
    <rPh sb="44" eb="46">
      <t>ナイヨウ</t>
    </rPh>
    <phoneticPr fontId="5"/>
  </si>
  <si>
    <t>12月より評価加算をお願いいたします。つきましては、詳細を下記いたしますので、ご確認願います。</t>
    <rPh sb="2" eb="3">
      <t>ガツ</t>
    </rPh>
    <rPh sb="5" eb="7">
      <t>ヒョウカ</t>
    </rPh>
    <rPh sb="7" eb="9">
      <t>カサン</t>
    </rPh>
    <rPh sb="11" eb="12">
      <t>ネガ</t>
    </rPh>
    <rPh sb="26" eb="28">
      <t>ショウサイ</t>
    </rPh>
    <rPh sb="29" eb="31">
      <t>カキ</t>
    </rPh>
    <rPh sb="40" eb="42">
      <t>カクニン</t>
    </rPh>
    <rPh sb="42" eb="43">
      <t>ネガ</t>
    </rPh>
    <phoneticPr fontId="5"/>
  </si>
  <si>
    <t>　　※生産計画から減産したことを考慮し、過少申告とならない様に、按分する着数を低めに設定。</t>
    <rPh sb="3" eb="5">
      <t>セイサン</t>
    </rPh>
    <rPh sb="5" eb="7">
      <t>ケイカク</t>
    </rPh>
    <rPh sb="9" eb="11">
      <t>ゲンサン</t>
    </rPh>
    <rPh sb="16" eb="18">
      <t>コウリョ</t>
    </rPh>
    <rPh sb="20" eb="22">
      <t>カショウ</t>
    </rPh>
    <rPh sb="22" eb="24">
      <t>シンコク</t>
    </rPh>
    <rPh sb="29" eb="30">
      <t>ヨウ</t>
    </rPh>
    <rPh sb="32" eb="34">
      <t>アンブン</t>
    </rPh>
    <rPh sb="36" eb="37">
      <t>チャク</t>
    </rPh>
    <rPh sb="37" eb="38">
      <t>スウ</t>
    </rPh>
    <rPh sb="39" eb="40">
      <t>ヒク</t>
    </rPh>
    <rPh sb="42" eb="44">
      <t>セッテイ</t>
    </rPh>
    <phoneticPr fontId="5"/>
  </si>
  <si>
    <t>　　（APIC50万着、BTNB45万着)  更に､第三国向け分は考慮せず、係る全額を日本向けにて評価加算。</t>
    <rPh sb="23" eb="24">
      <t>サラ</t>
    </rPh>
    <rPh sb="26" eb="27">
      <t>ダイ</t>
    </rPh>
    <rPh sb="27" eb="29">
      <t>サンゴク</t>
    </rPh>
    <rPh sb="29" eb="30">
      <t>ム</t>
    </rPh>
    <rPh sb="31" eb="32">
      <t>ブン</t>
    </rPh>
    <rPh sb="33" eb="35">
      <t>コウリョ</t>
    </rPh>
    <rPh sb="38" eb="39">
      <t>カカ</t>
    </rPh>
    <rPh sb="40" eb="42">
      <t>ゼンガク</t>
    </rPh>
    <rPh sb="43" eb="45">
      <t>ニホン</t>
    </rPh>
    <rPh sb="45" eb="46">
      <t>ム</t>
    </rPh>
    <rPh sb="49" eb="51">
      <t>ヒョウカ</t>
    </rPh>
    <rPh sb="51" eb="53">
      <t>カサン</t>
    </rPh>
    <phoneticPr fontId="5"/>
  </si>
  <si>
    <t>　　※上記の額が原価や工賃に加算されるわけではなく、あくまでも課税対象の額となります。</t>
    <rPh sb="3" eb="5">
      <t>ジョウキ</t>
    </rPh>
    <rPh sb="6" eb="7">
      <t>ガク</t>
    </rPh>
    <rPh sb="8" eb="10">
      <t>ゲンカ</t>
    </rPh>
    <rPh sb="11" eb="13">
      <t>コウチン</t>
    </rPh>
    <rPh sb="14" eb="16">
      <t>カサン</t>
    </rPh>
    <rPh sb="31" eb="33">
      <t>カゼイ</t>
    </rPh>
    <rPh sb="33" eb="35">
      <t>タイショウ</t>
    </rPh>
    <rPh sb="36" eb="37">
      <t>ガク</t>
    </rPh>
    <phoneticPr fontId="5"/>
  </si>
  <si>
    <t>　　　但し、有税の事案については、上記に関税率を乗じた額が原価に加わることとなります。</t>
    <rPh sb="3" eb="4">
      <t>タダ</t>
    </rPh>
    <rPh sb="6" eb="8">
      <t>ユウゼイ</t>
    </rPh>
    <rPh sb="9" eb="11">
      <t>ジアン</t>
    </rPh>
    <rPh sb="17" eb="19">
      <t>ジョウキ</t>
    </rPh>
    <rPh sb="20" eb="22">
      <t>カンゼイ</t>
    </rPh>
    <rPh sb="22" eb="23">
      <t>リツ</t>
    </rPh>
    <rPh sb="24" eb="25">
      <t>ジョウ</t>
    </rPh>
    <rPh sb="27" eb="28">
      <t>ガク</t>
    </rPh>
    <rPh sb="29" eb="31">
      <t>ゲンカ</t>
    </rPh>
    <rPh sb="32" eb="33">
      <t>クワ</t>
    </rPh>
    <phoneticPr fontId="5"/>
  </si>
  <si>
    <t>　　※年間の評価すべき額の算定については同Excelファイル内の参考シート参照</t>
    <rPh sb="3" eb="5">
      <t>ネンカン</t>
    </rPh>
    <rPh sb="6" eb="8">
      <t>ヒョウカ</t>
    </rPh>
    <rPh sb="11" eb="12">
      <t>ガク</t>
    </rPh>
    <rPh sb="13" eb="15">
      <t>サンテイ</t>
    </rPh>
    <rPh sb="20" eb="21">
      <t>ドウ</t>
    </rPh>
    <rPh sb="30" eb="31">
      <t>ナイ</t>
    </rPh>
    <rPh sb="32" eb="34">
      <t>サンコウ</t>
    </rPh>
    <rPh sb="37" eb="39">
      <t>サンショウ</t>
    </rPh>
    <phoneticPr fontId="5"/>
  </si>
  <si>
    <t>（３）評価加算申告方法</t>
    <rPh sb="3" eb="5">
      <t>ヒョウカ</t>
    </rPh>
    <rPh sb="5" eb="7">
      <t>カサン</t>
    </rPh>
    <rPh sb="7" eb="9">
      <t>シンコク</t>
    </rPh>
    <rPh sb="9" eb="11">
      <t>ホウホウ</t>
    </rPh>
    <phoneticPr fontId="5"/>
  </si>
  <si>
    <t>　インボイスと一緒に評価加算要のエビデンスが皆様に届きますので、乙仲に、インボイスと一緒に</t>
    <rPh sb="7" eb="9">
      <t>イッショ</t>
    </rPh>
    <rPh sb="10" eb="12">
      <t>ヒョウカ</t>
    </rPh>
    <rPh sb="12" eb="14">
      <t>カサン</t>
    </rPh>
    <rPh sb="14" eb="15">
      <t>ヨウ</t>
    </rPh>
    <rPh sb="22" eb="24">
      <t>ミナサマ</t>
    </rPh>
    <rPh sb="25" eb="26">
      <t>トド</t>
    </rPh>
    <rPh sb="32" eb="34">
      <t>オツナカ</t>
    </rPh>
    <rPh sb="42" eb="44">
      <t>イッショ</t>
    </rPh>
    <phoneticPr fontId="5"/>
  </si>
  <si>
    <t>　渡してください。申告額への加算ではなく、評価加算額に計上されるようにお願いいたします。</t>
    <rPh sb="1" eb="2">
      <t>ワタ</t>
    </rPh>
    <rPh sb="9" eb="11">
      <t>シンコク</t>
    </rPh>
    <rPh sb="11" eb="12">
      <t>ガク</t>
    </rPh>
    <rPh sb="14" eb="16">
      <t>カサン</t>
    </rPh>
    <rPh sb="21" eb="23">
      <t>ヒョウカ</t>
    </rPh>
    <rPh sb="23" eb="25">
      <t>カサン</t>
    </rPh>
    <rPh sb="25" eb="26">
      <t>ガク</t>
    </rPh>
    <rPh sb="27" eb="29">
      <t>ケイジョウ</t>
    </rPh>
    <rPh sb="36" eb="37">
      <t>ネガ</t>
    </rPh>
    <phoneticPr fontId="5"/>
  </si>
  <si>
    <r>
      <t>　※エビデンスはあくまでも通関用の資料ですので、</t>
    </r>
    <r>
      <rPr>
        <u/>
        <sz val="11"/>
        <color rgb="FFFF0000"/>
        <rFont val="游ゴシック"/>
        <family val="3"/>
        <charset val="128"/>
        <scheme val="minor"/>
      </rPr>
      <t>支払わないでください。</t>
    </r>
    <r>
      <rPr>
        <sz val="11"/>
        <color rgb="FFFF0000"/>
        <rFont val="游ゴシック"/>
        <family val="3"/>
        <charset val="128"/>
        <scheme val="minor"/>
      </rPr>
      <t>別途業務委託費用として</t>
    </r>
    <rPh sb="13" eb="16">
      <t>ツウカンヨウ</t>
    </rPh>
    <rPh sb="17" eb="19">
      <t>シリョウ</t>
    </rPh>
    <rPh sb="24" eb="26">
      <t>シハライ</t>
    </rPh>
    <rPh sb="35" eb="37">
      <t>ベット</t>
    </rPh>
    <rPh sb="37" eb="39">
      <t>ギョウム</t>
    </rPh>
    <rPh sb="39" eb="41">
      <t>イタク</t>
    </rPh>
    <rPh sb="41" eb="43">
      <t>ヒヨウ</t>
    </rPh>
    <phoneticPr fontId="5"/>
  </si>
  <si>
    <t>　　支払われている費用です。</t>
    <rPh sb="2" eb="4">
      <t>シハラ</t>
    </rPh>
    <rPh sb="9" eb="11">
      <t>ヒヨウ</t>
    </rPh>
    <phoneticPr fontId="5"/>
  </si>
  <si>
    <t>（同内容を入船ダイナミックシッピング、日新運輸、鴻池運輸に弊方より伝達予定。）</t>
    <rPh sb="1" eb="2">
      <t>ドウ</t>
    </rPh>
    <rPh sb="2" eb="4">
      <t>ナイヨウ</t>
    </rPh>
    <rPh sb="5" eb="7">
      <t>イリフネ</t>
    </rPh>
    <rPh sb="19" eb="21">
      <t>ニッシン</t>
    </rPh>
    <rPh sb="21" eb="23">
      <t>ウンユ</t>
    </rPh>
    <rPh sb="24" eb="26">
      <t>コウノイケ</t>
    </rPh>
    <rPh sb="26" eb="28">
      <t>ウンユ</t>
    </rPh>
    <rPh sb="29" eb="31">
      <t>ヘイホウ</t>
    </rPh>
    <rPh sb="33" eb="35">
      <t>デンタツ</t>
    </rPh>
    <rPh sb="35" eb="37">
      <t>ヨテイ</t>
    </rPh>
    <phoneticPr fontId="5"/>
  </si>
  <si>
    <t>　≪問合せ先：アパレル物流課　田中（TEL:080-1529-8014）≫</t>
    <rPh sb="2" eb="4">
      <t>トイアワ</t>
    </rPh>
    <rPh sb="5" eb="6">
      <t>サキ</t>
    </rPh>
    <rPh sb="11" eb="13">
      <t>ブツリュウ</t>
    </rPh>
    <rPh sb="13" eb="14">
      <t>カ</t>
    </rPh>
    <rPh sb="15" eb="17">
      <t>タナカ</t>
    </rPh>
    <phoneticPr fontId="5"/>
  </si>
  <si>
    <t>APIC、BTNB生産の輸入におけるTIVNの業務委託費用 会議</t>
    <rPh sb="9" eb="11">
      <t>セイサン</t>
    </rPh>
    <rPh sb="12" eb="14">
      <t>ユニュウ</t>
    </rPh>
    <rPh sb="23" eb="25">
      <t>ギョウム</t>
    </rPh>
    <rPh sb="25" eb="27">
      <t>イタク</t>
    </rPh>
    <rPh sb="27" eb="29">
      <t>ヒヨウ</t>
    </rPh>
    <rPh sb="30" eb="32">
      <t>カイギ</t>
    </rPh>
    <phoneticPr fontId="5"/>
  </si>
  <si>
    <t>日にち：11/27（月）16：30～</t>
    <rPh sb="0" eb="1">
      <t>ヒ</t>
    </rPh>
    <rPh sb="10" eb="11">
      <t>ゲツ</t>
    </rPh>
    <phoneticPr fontId="5"/>
  </si>
  <si>
    <t>参加者：TIVN 井上副部長、Chanh課長、Thong課長</t>
    <rPh sb="0" eb="3">
      <t>サンカシャ</t>
    </rPh>
    <rPh sb="9" eb="11">
      <t>イノウエ</t>
    </rPh>
    <rPh sb="11" eb="14">
      <t>フクブチョウ</t>
    </rPh>
    <rPh sb="20" eb="22">
      <t>カチョウ</t>
    </rPh>
    <rPh sb="28" eb="30">
      <t>カチョウ</t>
    </rPh>
    <phoneticPr fontId="5"/>
  </si>
  <si>
    <t>　　　　TI　アパレル事業企画推進課 石坂課長、片田課員/アパレル物流課 荒井課員、佐藤課員、田中</t>
    <rPh sb="11" eb="13">
      <t>ジギョウ</t>
    </rPh>
    <rPh sb="13" eb="15">
      <t>キカク</t>
    </rPh>
    <rPh sb="15" eb="17">
      <t>スイシン</t>
    </rPh>
    <rPh sb="17" eb="18">
      <t>カ</t>
    </rPh>
    <rPh sb="19" eb="21">
      <t>イシザカ</t>
    </rPh>
    <rPh sb="21" eb="23">
      <t>カチョウ</t>
    </rPh>
    <rPh sb="24" eb="26">
      <t>カタダ</t>
    </rPh>
    <rPh sb="26" eb="28">
      <t>カイン</t>
    </rPh>
    <phoneticPr fontId="5"/>
  </si>
  <si>
    <t>議題１：課税対象となるTIVN業務委託手数料</t>
    <rPh sb="0" eb="2">
      <t>ギダイ</t>
    </rPh>
    <rPh sb="4" eb="6">
      <t>カゼイ</t>
    </rPh>
    <rPh sb="6" eb="8">
      <t>タイショウ</t>
    </rPh>
    <rPh sb="15" eb="17">
      <t>ギョウム</t>
    </rPh>
    <rPh sb="17" eb="19">
      <t>イタク</t>
    </rPh>
    <rPh sb="19" eb="21">
      <t>テスウ</t>
    </rPh>
    <rPh sb="21" eb="22">
      <t>リョウ</t>
    </rPh>
    <phoneticPr fontId="5"/>
  </si>
  <si>
    <t>（１）評価加算すべき委託業務　6/100 項目</t>
    <rPh sb="3" eb="5">
      <t>ヒョウカ</t>
    </rPh>
    <rPh sb="5" eb="7">
      <t>カサン</t>
    </rPh>
    <rPh sb="10" eb="12">
      <t>イタク</t>
    </rPh>
    <rPh sb="12" eb="14">
      <t>ギョウム</t>
    </rPh>
    <rPh sb="21" eb="23">
      <t>コウモク</t>
    </rPh>
    <phoneticPr fontId="5"/>
  </si>
  <si>
    <t>※同Excelファイル内別シートの参考シート参照</t>
    <rPh sb="1" eb="2">
      <t>ドウ</t>
    </rPh>
    <rPh sb="11" eb="12">
      <t>ナイ</t>
    </rPh>
    <rPh sb="12" eb="13">
      <t>ベツ</t>
    </rPh>
    <rPh sb="17" eb="19">
      <t>サンコウ</t>
    </rPh>
    <rPh sb="22" eb="24">
      <t>サンショウ</t>
    </rPh>
    <phoneticPr fontId="5"/>
  </si>
  <si>
    <t>日本円/150円換算</t>
    <rPh sb="0" eb="3">
      <t>ニホンエン</t>
    </rPh>
    <rPh sb="7" eb="8">
      <t>エン</t>
    </rPh>
    <rPh sb="8" eb="10">
      <t>カンサン</t>
    </rPh>
    <phoneticPr fontId="5"/>
  </si>
  <si>
    <t>/50万着/年≒$0.05★</t>
    <rPh sb="3" eb="5">
      <t>マンチャク</t>
    </rPh>
    <rPh sb="6" eb="7">
      <t>ネン</t>
    </rPh>
    <phoneticPr fontId="5"/>
  </si>
  <si>
    <t>/45万着/年≒$0.02★</t>
    <rPh sb="3" eb="5">
      <t>マンチャク</t>
    </rPh>
    <rPh sb="6" eb="7">
      <t>ネン</t>
    </rPh>
    <phoneticPr fontId="5"/>
  </si>
  <si>
    <t>過少申告とならない様に、按分する着数を低めに設定（APIC50万着、BTNB45万着）、</t>
    <rPh sb="0" eb="2">
      <t>カショウ</t>
    </rPh>
    <rPh sb="2" eb="4">
      <t>シンコク</t>
    </rPh>
    <rPh sb="9" eb="10">
      <t>ヨウ</t>
    </rPh>
    <rPh sb="12" eb="14">
      <t>アンブン</t>
    </rPh>
    <rPh sb="16" eb="17">
      <t>チャク</t>
    </rPh>
    <rPh sb="17" eb="18">
      <t>スウ</t>
    </rPh>
    <rPh sb="19" eb="20">
      <t>ヒク</t>
    </rPh>
    <rPh sb="22" eb="24">
      <t>セッテイ</t>
    </rPh>
    <rPh sb="40" eb="41">
      <t>マン</t>
    </rPh>
    <rPh sb="41" eb="42">
      <t>チャク</t>
    </rPh>
    <phoneticPr fontId="5"/>
  </si>
  <si>
    <t>更に、第三国向け分は考慮せず、係る全額を日本向けにて評価加算。</t>
    <rPh sb="0" eb="1">
      <t>サラ</t>
    </rPh>
    <rPh sb="3" eb="4">
      <t>ダイ</t>
    </rPh>
    <rPh sb="4" eb="6">
      <t>サンゴク</t>
    </rPh>
    <rPh sb="6" eb="7">
      <t>ム</t>
    </rPh>
    <rPh sb="8" eb="9">
      <t>ブン</t>
    </rPh>
    <rPh sb="10" eb="12">
      <t>コウリョ</t>
    </rPh>
    <rPh sb="15" eb="16">
      <t>カカ</t>
    </rPh>
    <rPh sb="17" eb="19">
      <t>ゼンガク</t>
    </rPh>
    <rPh sb="20" eb="22">
      <t>ニホン</t>
    </rPh>
    <rPh sb="22" eb="23">
      <t>ム</t>
    </rPh>
    <rPh sb="26" eb="28">
      <t>ヒョウカ</t>
    </rPh>
    <rPh sb="28" eb="30">
      <t>カサン</t>
    </rPh>
    <phoneticPr fontId="5"/>
  </si>
  <si>
    <t>（３）加算申告方法</t>
    <rPh sb="3" eb="5">
      <t>カサン</t>
    </rPh>
    <rPh sb="5" eb="7">
      <t>シンコク</t>
    </rPh>
    <rPh sb="7" eb="9">
      <t>ホウホウ</t>
    </rPh>
    <phoneticPr fontId="5"/>
  </si>
  <si>
    <t>　1着あたりの加算すべき額(★印分)を、各輸入申告にて評価加算できるようにエビデンスを発行。</t>
    <rPh sb="2" eb="3">
      <t>チャク</t>
    </rPh>
    <rPh sb="7" eb="9">
      <t>カサン</t>
    </rPh>
    <rPh sb="12" eb="13">
      <t>ガク</t>
    </rPh>
    <rPh sb="13" eb="15">
      <t>マイスウ</t>
    </rPh>
    <rPh sb="15" eb="17">
      <t>アンブン</t>
    </rPh>
    <rPh sb="21" eb="23">
      <t>ヒョウカ</t>
    </rPh>
    <rPh sb="23" eb="25">
      <t>カサン</t>
    </rPh>
    <rPh sb="37" eb="39">
      <t>ハッコウ</t>
    </rPh>
    <phoneticPr fontId="5"/>
  </si>
  <si>
    <t>　インボイスに記載すると包括評価申請と異なってしまうため、別途書面を作成する必要有り。</t>
    <rPh sb="7" eb="9">
      <t>キサイ</t>
    </rPh>
    <rPh sb="12" eb="14">
      <t>ホウカツ</t>
    </rPh>
    <rPh sb="14" eb="16">
      <t>ヒョウカ</t>
    </rPh>
    <rPh sb="16" eb="18">
      <t>シンセイ</t>
    </rPh>
    <rPh sb="19" eb="20">
      <t>コト</t>
    </rPh>
    <rPh sb="29" eb="31">
      <t>ベット</t>
    </rPh>
    <rPh sb="31" eb="33">
      <t>ショメン</t>
    </rPh>
    <rPh sb="34" eb="36">
      <t>サクセイ</t>
    </rPh>
    <rPh sb="38" eb="40">
      <t>ヒツヨウ</t>
    </rPh>
    <rPh sb="40" eb="41">
      <t>ア</t>
    </rPh>
    <phoneticPr fontId="5"/>
  </si>
  <si>
    <t>　エビデンスの参考例：当ファイル内の別シートに工場別に格納。</t>
    <rPh sb="7" eb="9">
      <t>サンコウ</t>
    </rPh>
    <rPh sb="9" eb="10">
      <t>レイ</t>
    </rPh>
    <rPh sb="11" eb="12">
      <t>トウ</t>
    </rPh>
    <rPh sb="16" eb="17">
      <t>ナイ</t>
    </rPh>
    <rPh sb="18" eb="19">
      <t>ベツ</t>
    </rPh>
    <rPh sb="23" eb="25">
      <t>コウジョウ</t>
    </rPh>
    <rPh sb="25" eb="26">
      <t>ベツ</t>
    </rPh>
    <rPh sb="27" eb="29">
      <t>カクノウ</t>
    </rPh>
    <phoneticPr fontId="5"/>
  </si>
  <si>
    <t>（４）加算時期</t>
    <rPh sb="3" eb="5">
      <t>カサン</t>
    </rPh>
    <rPh sb="5" eb="7">
      <t>ジキ</t>
    </rPh>
    <phoneticPr fontId="5"/>
  </si>
  <si>
    <t>　2023年度は11月の相当費用を12月の出荷分より反映させていく。来年4月に2023年度分の</t>
    <rPh sb="5" eb="7">
      <t>ネンド</t>
    </rPh>
    <rPh sb="10" eb="11">
      <t>ガツ</t>
    </rPh>
    <rPh sb="12" eb="14">
      <t>ソウトウ</t>
    </rPh>
    <rPh sb="14" eb="16">
      <t>ヒヨウ</t>
    </rPh>
    <rPh sb="19" eb="20">
      <t>ガツ</t>
    </rPh>
    <rPh sb="21" eb="23">
      <t>シュッカ</t>
    </rPh>
    <rPh sb="23" eb="24">
      <t>ブン</t>
    </rPh>
    <rPh sb="26" eb="28">
      <t>ハンエイ</t>
    </rPh>
    <rPh sb="34" eb="36">
      <t>ライネン</t>
    </rPh>
    <rPh sb="37" eb="38">
      <t>ガツ</t>
    </rPh>
    <rPh sb="43" eb="45">
      <t>ネンド</t>
    </rPh>
    <rPh sb="45" eb="46">
      <t>ブン</t>
    </rPh>
    <phoneticPr fontId="5"/>
  </si>
  <si>
    <t>　評価加算が完了し、来年5月より2024年度分の新価格にて評価加算をしていくこととなる。</t>
    <rPh sb="1" eb="3">
      <t>ヒョウカ</t>
    </rPh>
    <rPh sb="3" eb="5">
      <t>カサン</t>
    </rPh>
    <rPh sb="6" eb="8">
      <t>カンリョウ</t>
    </rPh>
    <rPh sb="10" eb="12">
      <t>ライネン</t>
    </rPh>
    <rPh sb="13" eb="14">
      <t>ガツ</t>
    </rPh>
    <rPh sb="20" eb="22">
      <t>ネンド</t>
    </rPh>
    <rPh sb="22" eb="23">
      <t>ブン</t>
    </rPh>
    <rPh sb="24" eb="25">
      <t>シン</t>
    </rPh>
    <rPh sb="25" eb="27">
      <t>カカク</t>
    </rPh>
    <rPh sb="29" eb="31">
      <t>ヒョウカ</t>
    </rPh>
    <rPh sb="31" eb="33">
      <t>カサン</t>
    </rPh>
    <phoneticPr fontId="5"/>
  </si>
  <si>
    <t>（５）今後すべきこと、課題</t>
    <rPh sb="3" eb="5">
      <t>コンゴ</t>
    </rPh>
    <rPh sb="11" eb="13">
      <t>カダイ</t>
    </rPh>
    <phoneticPr fontId="5"/>
  </si>
  <si>
    <t>　・TIVN：①各工場にエビデンス作成を依頼し、遂行できているか確認、管理。</t>
    <rPh sb="8" eb="11">
      <t>カクコウジョウ</t>
    </rPh>
    <rPh sb="17" eb="19">
      <t>サクセイ</t>
    </rPh>
    <rPh sb="20" eb="22">
      <t>イライ</t>
    </rPh>
    <rPh sb="24" eb="26">
      <t>スイコウ</t>
    </rPh>
    <rPh sb="32" eb="34">
      <t>カクニン</t>
    </rPh>
    <rPh sb="35" eb="37">
      <t>カンリ</t>
    </rPh>
    <phoneticPr fontId="5"/>
  </si>
  <si>
    <r>
      <t xml:space="preserve">　　　　　 </t>
    </r>
    <r>
      <rPr>
        <sz val="11"/>
        <color theme="1"/>
        <rFont val="游ゴシック"/>
        <family val="2"/>
        <charset val="128"/>
      </rPr>
      <t>②</t>
    </r>
    <r>
      <rPr>
        <sz val="11"/>
        <color theme="1"/>
        <rFont val="游ゴシック"/>
        <family val="2"/>
        <charset val="128"/>
        <scheme val="minor"/>
      </rPr>
      <t>2024年度の業務分析表作成。その際、実際に業務を行っているかも検討していく。</t>
    </r>
    <rPh sb="11" eb="13">
      <t>ネンド</t>
    </rPh>
    <rPh sb="14" eb="16">
      <t>ギョウム</t>
    </rPh>
    <rPh sb="16" eb="18">
      <t>ブンセキ</t>
    </rPh>
    <rPh sb="18" eb="19">
      <t>ヒョウ</t>
    </rPh>
    <rPh sb="19" eb="21">
      <t>サクセイ</t>
    </rPh>
    <rPh sb="24" eb="25">
      <t>サイ</t>
    </rPh>
    <rPh sb="26" eb="28">
      <t>ジッサイ</t>
    </rPh>
    <rPh sb="29" eb="31">
      <t>ギョウム</t>
    </rPh>
    <rPh sb="32" eb="33">
      <t>オコナ</t>
    </rPh>
    <rPh sb="39" eb="41">
      <t>ケントウ</t>
    </rPh>
    <phoneticPr fontId="5"/>
  </si>
  <si>
    <t>　　　　　 ③現100項目から業務内容に変動がある場合にはTI側に連絡</t>
    <rPh sb="7" eb="8">
      <t>ゲン</t>
    </rPh>
    <rPh sb="11" eb="13">
      <t>コウモク</t>
    </rPh>
    <rPh sb="15" eb="17">
      <t>ギョウム</t>
    </rPh>
    <rPh sb="17" eb="19">
      <t>ナイヨウ</t>
    </rPh>
    <rPh sb="20" eb="22">
      <t>ヘンドウ</t>
    </rPh>
    <rPh sb="25" eb="27">
      <t>バアイ</t>
    </rPh>
    <rPh sb="31" eb="32">
      <t>ガワ</t>
    </rPh>
    <rPh sb="33" eb="35">
      <t>レンラク</t>
    </rPh>
    <phoneticPr fontId="5"/>
  </si>
  <si>
    <r>
      <t>　・</t>
    </r>
    <r>
      <rPr>
        <sz val="9"/>
        <color theme="1"/>
        <rFont val="游ゴシック"/>
        <family val="3"/>
        <charset val="128"/>
        <scheme val="minor"/>
      </rPr>
      <t>AP事業企画推進課：</t>
    </r>
    <r>
      <rPr>
        <sz val="11"/>
        <color theme="1"/>
        <rFont val="游ゴシック"/>
        <family val="2"/>
        <charset val="128"/>
        <scheme val="minor"/>
      </rPr>
      <t>①TIVNの相談窓口</t>
    </r>
    <rPh sb="4" eb="6">
      <t>ジギョウ</t>
    </rPh>
    <rPh sb="6" eb="8">
      <t>キカク</t>
    </rPh>
    <rPh sb="8" eb="10">
      <t>スイシン</t>
    </rPh>
    <rPh sb="10" eb="11">
      <t>カ</t>
    </rPh>
    <rPh sb="18" eb="20">
      <t>ソウダン</t>
    </rPh>
    <rPh sb="20" eb="22">
      <t>マドグチ</t>
    </rPh>
    <phoneticPr fontId="5"/>
  </si>
  <si>
    <t>　　　　　　 　　　 ②2024年度予算策定時のAPIC、BTNB割当費用を管理</t>
    <rPh sb="16" eb="18">
      <t>ネンド</t>
    </rPh>
    <rPh sb="18" eb="20">
      <t>ヨサン</t>
    </rPh>
    <rPh sb="20" eb="22">
      <t>サクテイ</t>
    </rPh>
    <rPh sb="22" eb="23">
      <t>ジ</t>
    </rPh>
    <rPh sb="33" eb="35">
      <t>ワリアテ</t>
    </rPh>
    <rPh sb="35" eb="37">
      <t>ヒヨウ</t>
    </rPh>
    <rPh sb="38" eb="40">
      <t>カンリ</t>
    </rPh>
    <phoneticPr fontId="5"/>
  </si>
  <si>
    <t>　・AP物流課：①営業部、各通関業者への評価加算に関する説明を実施</t>
    <rPh sb="4" eb="6">
      <t>ブツリュウ</t>
    </rPh>
    <rPh sb="6" eb="7">
      <t>カ</t>
    </rPh>
    <rPh sb="9" eb="11">
      <t>エイギョウ</t>
    </rPh>
    <rPh sb="11" eb="12">
      <t>ブ</t>
    </rPh>
    <rPh sb="13" eb="14">
      <t>カク</t>
    </rPh>
    <rPh sb="14" eb="16">
      <t>ツウカン</t>
    </rPh>
    <rPh sb="16" eb="18">
      <t>ギョウシャ</t>
    </rPh>
    <rPh sb="20" eb="22">
      <t>ヒョウカ</t>
    </rPh>
    <rPh sb="22" eb="24">
      <t>カサン</t>
    </rPh>
    <rPh sb="25" eb="26">
      <t>カン</t>
    </rPh>
    <rPh sb="28" eb="30">
      <t>セツメイ</t>
    </rPh>
    <rPh sb="31" eb="33">
      <t>ジッシ</t>
    </rPh>
    <phoneticPr fontId="5"/>
  </si>
  <si>
    <t>　　　　　　　 ②2024年4月を完了した時点で、CCISデータからAPIC・BTNBの各輸入枚数</t>
    <rPh sb="13" eb="14">
      <t>ネン</t>
    </rPh>
    <rPh sb="15" eb="16">
      <t>ガツ</t>
    </rPh>
    <rPh sb="17" eb="19">
      <t>カンリョウ</t>
    </rPh>
    <rPh sb="21" eb="23">
      <t>ジテン</t>
    </rPh>
    <rPh sb="44" eb="45">
      <t>カク</t>
    </rPh>
    <rPh sb="45" eb="47">
      <t>ユニュウ</t>
    </rPh>
    <rPh sb="47" eb="49">
      <t>マイスウ</t>
    </rPh>
    <phoneticPr fontId="5"/>
  </si>
  <si>
    <t>　　　　　　　　（クーリエ、原材料での輸入を除外）の統計を出し、計算根拠となる枚数</t>
    <rPh sb="14" eb="17">
      <t>ゲンザイリョウ</t>
    </rPh>
    <rPh sb="19" eb="21">
      <t>ユニュウ</t>
    </rPh>
    <rPh sb="22" eb="24">
      <t>ジョガイ</t>
    </rPh>
    <rPh sb="26" eb="28">
      <t>トウケイ</t>
    </rPh>
    <rPh sb="29" eb="30">
      <t>ダ</t>
    </rPh>
    <rPh sb="32" eb="34">
      <t>ケイサン</t>
    </rPh>
    <rPh sb="34" eb="36">
      <t>コンキョ</t>
    </rPh>
    <rPh sb="39" eb="41">
      <t>マイスウ</t>
    </rPh>
    <phoneticPr fontId="5"/>
  </si>
  <si>
    <t>　　　　　　　　APIC50万枚、BTNB45万枚を超えていることを確認し、関係者に連絡</t>
    <rPh sb="14" eb="16">
      <t>マンマイ</t>
    </rPh>
    <rPh sb="23" eb="25">
      <t>マンマイ</t>
    </rPh>
    <rPh sb="26" eb="27">
      <t>コ</t>
    </rPh>
    <rPh sb="34" eb="36">
      <t>カクニン</t>
    </rPh>
    <rPh sb="38" eb="41">
      <t>カンケイシャ</t>
    </rPh>
    <rPh sb="42" eb="44">
      <t>レンラク</t>
    </rPh>
    <phoneticPr fontId="5"/>
  </si>
  <si>
    <t>　・全員　　：①2024年度に入る前に、評価加算すべき額を関係者で相談しながら策定</t>
    <rPh sb="2" eb="4">
      <t>ゼンイン</t>
    </rPh>
    <rPh sb="12" eb="14">
      <t>ネンド</t>
    </rPh>
    <rPh sb="15" eb="16">
      <t>ハイ</t>
    </rPh>
    <rPh sb="17" eb="18">
      <t>マエ</t>
    </rPh>
    <rPh sb="20" eb="22">
      <t>ヒョウカ</t>
    </rPh>
    <rPh sb="22" eb="24">
      <t>カサン</t>
    </rPh>
    <rPh sb="27" eb="28">
      <t>ガク</t>
    </rPh>
    <rPh sb="29" eb="32">
      <t>カンケイシャ</t>
    </rPh>
    <rPh sb="33" eb="35">
      <t>ソウダン</t>
    </rPh>
    <rPh sb="39" eb="41">
      <t>サクテイ</t>
    </rPh>
    <phoneticPr fontId="5"/>
  </si>
  <si>
    <t>　　　　　　　②項目、配分の変更について共有</t>
    <rPh sb="8" eb="10">
      <t>コウモク</t>
    </rPh>
    <rPh sb="11" eb="13">
      <t>ハイブン</t>
    </rPh>
    <rPh sb="14" eb="16">
      <t>ヘンコウ</t>
    </rPh>
    <rPh sb="20" eb="22">
      <t>キョウユウ</t>
    </rPh>
    <phoneticPr fontId="5"/>
  </si>
  <si>
    <t>Toray International Inc.Vietnam co.,ltd.</t>
    <phoneticPr fontId="5"/>
  </si>
  <si>
    <t>1905,Saigon Trade Center, 37 Ton Duc Thang Street, District1, Ho Chi Minh City, Vietnam</t>
    <phoneticPr fontId="5"/>
  </si>
  <si>
    <t>To: Toray International Inc.</t>
    <phoneticPr fontId="5"/>
  </si>
  <si>
    <t xml:space="preserve">       1-1,Nihonbashi-Honcho 3-Chome Chuo-ku, TOKYO 103-0023 JAPAN</t>
    <phoneticPr fontId="5"/>
  </si>
  <si>
    <t>Invoice #</t>
    <phoneticPr fontId="5"/>
  </si>
  <si>
    <t>●▼■-1234</t>
    <phoneticPr fontId="5"/>
  </si>
  <si>
    <t>Date</t>
    <phoneticPr fontId="5"/>
  </si>
  <si>
    <t>31,OCT,2023</t>
    <phoneticPr fontId="5"/>
  </si>
  <si>
    <t>INVOICE</t>
    <phoneticPr fontId="5"/>
  </si>
  <si>
    <t>contruct#</t>
    <phoneticPr fontId="5"/>
  </si>
  <si>
    <t>style #</t>
    <phoneticPr fontId="5"/>
  </si>
  <si>
    <t>description</t>
    <phoneticPr fontId="5"/>
  </si>
  <si>
    <t>quantity</t>
    <phoneticPr fontId="5"/>
  </si>
  <si>
    <t>Comission for development,
shipping sample,etc</t>
    <phoneticPr fontId="5"/>
  </si>
  <si>
    <t>unit price</t>
    <phoneticPr fontId="5"/>
  </si>
  <si>
    <t>sub total</t>
    <phoneticPr fontId="5"/>
  </si>
  <si>
    <t>PC23-105</t>
    <phoneticPr fontId="5"/>
  </si>
  <si>
    <t>123a</t>
    <phoneticPr fontId="5"/>
  </si>
  <si>
    <t>Men's Jacket</t>
    <phoneticPr fontId="5"/>
  </si>
  <si>
    <t>456b</t>
    <phoneticPr fontId="5"/>
  </si>
  <si>
    <t>Men's Pants</t>
    <phoneticPr fontId="5"/>
  </si>
  <si>
    <t>789c</t>
    <phoneticPr fontId="5"/>
  </si>
  <si>
    <t>Women's Jacket</t>
    <phoneticPr fontId="5"/>
  </si>
  <si>
    <t>000d</t>
    <phoneticPr fontId="5"/>
  </si>
  <si>
    <t>Women's Pants</t>
    <phoneticPr fontId="5"/>
  </si>
  <si>
    <t>GRAND TOTAL</t>
    <phoneticPr fontId="5"/>
  </si>
  <si>
    <t>Purpose for customs valuation only.</t>
  </si>
  <si>
    <t>sign</t>
    <phoneticPr fontId="5"/>
  </si>
  <si>
    <t>工数</t>
    <rPh sb="0" eb="2">
      <t>コウスウ</t>
    </rPh>
    <phoneticPr fontId="5"/>
  </si>
  <si>
    <t>金額（千USD）※１</t>
    <rPh sb="0" eb="2">
      <t>キンガク</t>
    </rPh>
    <rPh sb="3" eb="4">
      <t>セン</t>
    </rPh>
    <phoneticPr fontId="5"/>
  </si>
  <si>
    <t>(予算ヒアリング補足資料からの編集版）</t>
    <rPh sb="1" eb="3">
      <t>ヨサン</t>
    </rPh>
    <rPh sb="8" eb="10">
      <t>ホソク</t>
    </rPh>
    <rPh sb="10" eb="12">
      <t>シリョウ</t>
    </rPh>
    <rPh sb="15" eb="17">
      <t>ヘンシュウ</t>
    </rPh>
    <rPh sb="17" eb="18">
      <t>バン</t>
    </rPh>
    <phoneticPr fontId="16"/>
  </si>
  <si>
    <t>一人当たり</t>
    <rPh sb="0" eb="2">
      <t>ヒトリ</t>
    </rPh>
    <rPh sb="2" eb="3">
      <t>ア</t>
    </rPh>
    <phoneticPr fontId="5"/>
  </si>
  <si>
    <t>小計</t>
    <rPh sb="0" eb="2">
      <t>ショウケイ</t>
    </rPh>
    <phoneticPr fontId="5"/>
  </si>
  <si>
    <t>東レインターナショナル㈱</t>
    <rPh sb="0" eb="1">
      <t>ヒガシ</t>
    </rPh>
    <phoneticPr fontId="5"/>
  </si>
  <si>
    <t>日本人管理者</t>
    <rPh sb="0" eb="3">
      <t>ニホンジン</t>
    </rPh>
    <rPh sb="3" eb="6">
      <t>カンリシャ</t>
    </rPh>
    <phoneticPr fontId="5"/>
  </si>
  <si>
    <t>ナショナルスタッフ/管理グループ</t>
    <rPh sb="10" eb="12">
      <t>カンリ</t>
    </rPh>
    <phoneticPr fontId="5"/>
  </si>
  <si>
    <t>APIC TIVNスタッフ業務分析表/2023年度業務委託料配分</t>
  </si>
  <si>
    <t>ナショナルスタッフ/技術グループ</t>
    <rPh sb="10" eb="12">
      <t>ギジュツ</t>
    </rPh>
    <phoneticPr fontId="5"/>
  </si>
  <si>
    <t>※1：資料「(1)②TIVN業務委託費用配分」より抜粋</t>
    <rPh sb="3" eb="5">
      <t>シリョウ</t>
    </rPh>
    <rPh sb="25" eb="27">
      <t>バッスイ</t>
    </rPh>
    <phoneticPr fontId="5"/>
  </si>
  <si>
    <t>TIVN本社ﾏﾈｰｼﾞﾒﾝﾄ※2</t>
    <phoneticPr fontId="5"/>
  </si>
  <si>
    <t>※2：出張アテンドや配車手配</t>
    <phoneticPr fontId="5"/>
  </si>
  <si>
    <t>合計</t>
    <rPh sb="0" eb="2">
      <t>ゴウケイ</t>
    </rPh>
    <phoneticPr fontId="5"/>
  </si>
  <si>
    <t>-</t>
    <phoneticPr fontId="5"/>
  </si>
  <si>
    <t>→</t>
    <phoneticPr fontId="5"/>
  </si>
  <si>
    <t>/月</t>
    <rPh sb="1" eb="2">
      <t>ツキ</t>
    </rPh>
    <phoneticPr fontId="5"/>
  </si>
  <si>
    <t>≒</t>
    <phoneticPr fontId="5"/>
  </si>
  <si>
    <t>/月(\135/USD換算）</t>
    <rPh sb="1" eb="2">
      <t>ツキ</t>
    </rPh>
    <rPh sb="11" eb="13">
      <t>カンサン</t>
    </rPh>
    <phoneticPr fontId="5"/>
  </si>
  <si>
    <t>単位/千USD</t>
    <rPh sb="0" eb="2">
      <t>タンイ</t>
    </rPh>
    <rPh sb="3" eb="4">
      <t>セン</t>
    </rPh>
    <phoneticPr fontId="5"/>
  </si>
  <si>
    <t>日本人管理者</t>
    <rPh sb="0" eb="2">
      <t>ニホン</t>
    </rPh>
    <rPh sb="2" eb="3">
      <t>ジン</t>
    </rPh>
    <rPh sb="3" eb="6">
      <t>カンリシャ</t>
    </rPh>
    <phoneticPr fontId="5"/>
  </si>
  <si>
    <t>管理グループ</t>
    <rPh sb="0" eb="2">
      <t>カンリ</t>
    </rPh>
    <phoneticPr fontId="16"/>
  </si>
  <si>
    <t>技術グループ</t>
    <rPh sb="0" eb="2">
      <t>ギジュツ</t>
    </rPh>
    <phoneticPr fontId="16"/>
  </si>
  <si>
    <t>TIVN本社ﾏﾈｰｼﾞﾒﾝﾄ(出張･配車手配）</t>
    <rPh sb="15" eb="17">
      <t>シュッチョウ</t>
    </rPh>
    <rPh sb="18" eb="20">
      <t>ハイシャ</t>
    </rPh>
    <rPh sb="20" eb="22">
      <t>テハイ</t>
    </rPh>
    <phoneticPr fontId="5"/>
  </si>
  <si>
    <t>総計</t>
    <rPh sb="0" eb="2">
      <t>ソウケイ</t>
    </rPh>
    <phoneticPr fontId="5"/>
  </si>
  <si>
    <t>Inoue</t>
    <phoneticPr fontId="5"/>
  </si>
  <si>
    <t>Fukuda</t>
  </si>
  <si>
    <t>計</t>
    <rPh sb="0" eb="1">
      <t>ケイ</t>
    </rPh>
    <phoneticPr fontId="5"/>
  </si>
  <si>
    <t>Chanh</t>
    <phoneticPr fontId="16"/>
  </si>
  <si>
    <t>Cuong</t>
    <phoneticPr fontId="16"/>
  </si>
  <si>
    <t>Hien</t>
    <phoneticPr fontId="16"/>
  </si>
  <si>
    <t>Huy</t>
  </si>
  <si>
    <t>Khanh</t>
  </si>
  <si>
    <t>Luan</t>
    <phoneticPr fontId="16"/>
  </si>
  <si>
    <t>Nhu</t>
    <phoneticPr fontId="16"/>
  </si>
  <si>
    <t>Cau</t>
    <phoneticPr fontId="16"/>
  </si>
  <si>
    <t>計</t>
    <rPh sb="0" eb="1">
      <t>ケイ</t>
    </rPh>
    <phoneticPr fontId="16"/>
  </si>
  <si>
    <t>Vy</t>
    <phoneticPr fontId="16"/>
  </si>
  <si>
    <t>Quyen</t>
    <phoneticPr fontId="16"/>
  </si>
  <si>
    <t>Phuong</t>
    <phoneticPr fontId="16"/>
  </si>
  <si>
    <t>Luu</t>
    <phoneticPr fontId="16"/>
  </si>
  <si>
    <t>-</t>
    <phoneticPr fontId="16"/>
  </si>
  <si>
    <t>金額</t>
    <rPh sb="0" eb="2">
      <t>キンガク</t>
    </rPh>
    <phoneticPr fontId="5"/>
  </si>
  <si>
    <t>該否</t>
    <rPh sb="0" eb="2">
      <t>ガイヒ</t>
    </rPh>
    <phoneticPr fontId="5"/>
  </si>
  <si>
    <t>課税価格参入金額</t>
    <rPh sb="0" eb="2">
      <t>カゼイ</t>
    </rPh>
    <rPh sb="2" eb="4">
      <t>カカク</t>
    </rPh>
    <rPh sb="4" eb="6">
      <t>サンニュウ</t>
    </rPh>
    <rPh sb="6" eb="8">
      <t>キンガク</t>
    </rPh>
    <phoneticPr fontId="5"/>
  </si>
  <si>
    <t>分類</t>
    <rPh sb="0" eb="2">
      <t>ブンルイ</t>
    </rPh>
    <phoneticPr fontId="16"/>
  </si>
  <si>
    <t>工程</t>
    <rPh sb="0" eb="2">
      <t>コウテイ</t>
    </rPh>
    <phoneticPr fontId="16"/>
  </si>
  <si>
    <t>作業</t>
    <rPh sb="0" eb="2">
      <t>サギョウ</t>
    </rPh>
    <phoneticPr fontId="16"/>
  </si>
  <si>
    <t>作業内容</t>
    <rPh sb="0" eb="2">
      <t>サギョウ</t>
    </rPh>
    <rPh sb="2" eb="4">
      <t>ナイヨウ</t>
    </rPh>
    <phoneticPr fontId="16"/>
  </si>
  <si>
    <t>発生頻度</t>
    <rPh sb="0" eb="2">
      <t>ハッセイ</t>
    </rPh>
    <rPh sb="2" eb="4">
      <t>ヒンド</t>
    </rPh>
    <phoneticPr fontId="16"/>
  </si>
  <si>
    <t>総括</t>
    <rPh sb="0" eb="2">
      <t>ソウカツ</t>
    </rPh>
    <phoneticPr fontId="16"/>
  </si>
  <si>
    <t>契約管理</t>
    <rPh sb="2" eb="4">
      <t>カンリ</t>
    </rPh>
    <phoneticPr fontId="16"/>
  </si>
  <si>
    <t>Debit Note</t>
    <phoneticPr fontId="16"/>
  </si>
  <si>
    <t>Debit Note確認、実績踏まえ更新交渉</t>
    <rPh sb="10" eb="12">
      <t>カクニン</t>
    </rPh>
    <rPh sb="13" eb="15">
      <t>ジッセキ</t>
    </rPh>
    <rPh sb="15" eb="16">
      <t>フ</t>
    </rPh>
    <rPh sb="18" eb="20">
      <t>コウシン</t>
    </rPh>
    <rPh sb="20" eb="22">
      <t>コウショウ</t>
    </rPh>
    <phoneticPr fontId="16"/>
  </si>
  <si>
    <t>月次</t>
    <rPh sb="0" eb="2">
      <t>ゲツジ</t>
    </rPh>
    <phoneticPr fontId="16"/>
  </si>
  <si>
    <t>-</t>
  </si>
  <si>
    <t>●</t>
    <phoneticPr fontId="5"/>
  </si>
  <si>
    <t>交渉</t>
    <rPh sb="0" eb="2">
      <t>コウショウ</t>
    </rPh>
    <phoneticPr fontId="16"/>
  </si>
  <si>
    <t>出勤管理</t>
    <rPh sb="0" eb="2">
      <t>シュッキン</t>
    </rPh>
    <rPh sb="2" eb="4">
      <t>カンリ</t>
    </rPh>
    <phoneticPr fontId="16"/>
  </si>
  <si>
    <t>月ごとの出勤状況をまとめる</t>
    <rPh sb="0" eb="1">
      <t>ツキ</t>
    </rPh>
    <rPh sb="4" eb="6">
      <t>シュッキン</t>
    </rPh>
    <rPh sb="6" eb="8">
      <t>ジョウキョウ</t>
    </rPh>
    <phoneticPr fontId="16"/>
  </si>
  <si>
    <t>期中変更対応</t>
    <rPh sb="0" eb="2">
      <t>キチュウ</t>
    </rPh>
    <rPh sb="2" eb="4">
      <t>ヘンコウ</t>
    </rPh>
    <rPh sb="4" eb="6">
      <t>タイオウ</t>
    </rPh>
    <phoneticPr fontId="16"/>
  </si>
  <si>
    <t>工場からの業務内容変更要請対応</t>
    <rPh sb="0" eb="2">
      <t>コウジョウ</t>
    </rPh>
    <rPh sb="5" eb="7">
      <t>ギョウム</t>
    </rPh>
    <rPh sb="7" eb="9">
      <t>ナイヨウ</t>
    </rPh>
    <rPh sb="9" eb="11">
      <t>ヘンコウ</t>
    </rPh>
    <rPh sb="11" eb="13">
      <t>ヨウセイ</t>
    </rPh>
    <rPh sb="13" eb="15">
      <t>タイオウ</t>
    </rPh>
    <phoneticPr fontId="16"/>
  </si>
  <si>
    <t>不定期（頻度低）</t>
    <rPh sb="0" eb="3">
      <t>フテイキ</t>
    </rPh>
    <rPh sb="4" eb="6">
      <t>ヒンド</t>
    </rPh>
    <rPh sb="6" eb="7">
      <t>テイ</t>
    </rPh>
    <phoneticPr fontId="16"/>
  </si>
  <si>
    <t>生産計画調整</t>
    <rPh sb="0" eb="2">
      <t>セイサン</t>
    </rPh>
    <rPh sb="2" eb="4">
      <t>ケイカク</t>
    </rPh>
    <rPh sb="4" eb="6">
      <t>チョウセイ</t>
    </rPh>
    <phoneticPr fontId="16"/>
  </si>
  <si>
    <t>工場との生産計画調整・決定</t>
    <rPh sb="0" eb="2">
      <t>コウジョウ</t>
    </rPh>
    <rPh sb="4" eb="6">
      <t>セイサン</t>
    </rPh>
    <rPh sb="6" eb="8">
      <t>ケイカク</t>
    </rPh>
    <rPh sb="8" eb="10">
      <t>チョウセイ</t>
    </rPh>
    <rPh sb="11" eb="13">
      <t>ケッテイ</t>
    </rPh>
    <phoneticPr fontId="16"/>
  </si>
  <si>
    <t>週次</t>
    <rPh sb="0" eb="2">
      <t>シュウジ</t>
    </rPh>
    <phoneticPr fontId="16"/>
  </si>
  <si>
    <t>残業要請</t>
    <rPh sb="0" eb="2">
      <t>ザンギョウ</t>
    </rPh>
    <rPh sb="2" eb="4">
      <t>ヨウセイ</t>
    </rPh>
    <phoneticPr fontId="16"/>
  </si>
  <si>
    <t>Air代負担交渉</t>
    <rPh sb="3" eb="4">
      <t>ダイ</t>
    </rPh>
    <rPh sb="4" eb="6">
      <t>フタン</t>
    </rPh>
    <rPh sb="6" eb="8">
      <t>コウショウ</t>
    </rPh>
    <phoneticPr fontId="16"/>
  </si>
  <si>
    <t>外注工賃交渉</t>
    <rPh sb="0" eb="2">
      <t>ガイチュウ</t>
    </rPh>
    <rPh sb="2" eb="4">
      <t>コウチン</t>
    </rPh>
    <rPh sb="4" eb="6">
      <t>コウショウ</t>
    </rPh>
    <phoneticPr fontId="16"/>
  </si>
  <si>
    <t>AUDIT</t>
  </si>
  <si>
    <t>事前準備</t>
    <rPh sb="0" eb="2">
      <t>ジゼン</t>
    </rPh>
    <rPh sb="2" eb="4">
      <t>ジュンビ</t>
    </rPh>
    <phoneticPr fontId="16"/>
  </si>
  <si>
    <t>提出書類、工場指導</t>
    <rPh sb="0" eb="2">
      <t>テイシュツ</t>
    </rPh>
    <rPh sb="2" eb="4">
      <t>ショルイ</t>
    </rPh>
    <rPh sb="5" eb="7">
      <t>コウジョウ</t>
    </rPh>
    <rPh sb="7" eb="9">
      <t>シドウ</t>
    </rPh>
    <phoneticPr fontId="16"/>
  </si>
  <si>
    <t>※１</t>
    <phoneticPr fontId="5"/>
  </si>
  <si>
    <t>当日対応</t>
    <rPh sb="0" eb="2">
      <t>トウジツ</t>
    </rPh>
    <rPh sb="2" eb="4">
      <t>タイオウ</t>
    </rPh>
    <phoneticPr fontId="16"/>
  </si>
  <si>
    <t>来客、</t>
    <rPh sb="0" eb="2">
      <t>ライキャク</t>
    </rPh>
    <phoneticPr fontId="16"/>
  </si>
  <si>
    <t>移動</t>
    <rPh sb="0" eb="2">
      <t>イドウ</t>
    </rPh>
    <phoneticPr fontId="16"/>
  </si>
  <si>
    <t>車、ホテル手配</t>
    <rPh sb="0" eb="1">
      <t>クルマ</t>
    </rPh>
    <rPh sb="5" eb="7">
      <t>テハイ</t>
    </rPh>
    <phoneticPr fontId="16"/>
  </si>
  <si>
    <t>不定期（頻度高）</t>
    <rPh sb="0" eb="3">
      <t>フテイキ</t>
    </rPh>
    <rPh sb="4" eb="6">
      <t>ヒンド</t>
    </rPh>
    <rPh sb="6" eb="7">
      <t>タカ</t>
    </rPh>
    <phoneticPr fontId="16"/>
  </si>
  <si>
    <t>出張対応</t>
    <rPh sb="0" eb="2">
      <t>シュッチョウ</t>
    </rPh>
    <rPh sb="2" eb="4">
      <t>タイオウ</t>
    </rPh>
    <phoneticPr fontId="16"/>
  </si>
  <si>
    <t>工場アテンド</t>
    <rPh sb="0" eb="2">
      <t>コウジョウ</t>
    </rPh>
    <phoneticPr fontId="16"/>
  </si>
  <si>
    <t>案内、食事</t>
    <rPh sb="0" eb="2">
      <t>アンナイ</t>
    </rPh>
    <rPh sb="3" eb="5">
      <t>ショクジ</t>
    </rPh>
    <phoneticPr fontId="16"/>
  </si>
  <si>
    <t>安全管理</t>
    <rPh sb="0" eb="2">
      <t>アンゼン</t>
    </rPh>
    <rPh sb="2" eb="4">
      <t>カンリ</t>
    </rPh>
    <phoneticPr fontId="16"/>
  </si>
  <si>
    <t>行程把握、緊急時対応</t>
    <rPh sb="0" eb="2">
      <t>コウテイ</t>
    </rPh>
    <rPh sb="2" eb="4">
      <t>ハアク</t>
    </rPh>
    <rPh sb="5" eb="8">
      <t>キンキュウジ</t>
    </rPh>
    <rPh sb="8" eb="10">
      <t>タイオウ</t>
    </rPh>
    <phoneticPr fontId="16"/>
  </si>
  <si>
    <t>企画</t>
    <rPh sb="0" eb="2">
      <t>キカク</t>
    </rPh>
    <phoneticPr fontId="16"/>
  </si>
  <si>
    <t>開発</t>
    <rPh sb="0" eb="2">
      <t>カイハツ</t>
    </rPh>
    <phoneticPr fontId="16"/>
  </si>
  <si>
    <t>商品開発</t>
    <rPh sb="0" eb="2">
      <t>ショウヒン</t>
    </rPh>
    <rPh sb="2" eb="4">
      <t>カイハツ</t>
    </rPh>
    <phoneticPr fontId="16"/>
  </si>
  <si>
    <t>新規素材、加工技術調査、サンプル試作</t>
    <rPh sb="0" eb="2">
      <t>シンキ</t>
    </rPh>
    <rPh sb="2" eb="4">
      <t>ソザイ</t>
    </rPh>
    <rPh sb="5" eb="7">
      <t>カコウ</t>
    </rPh>
    <rPh sb="7" eb="9">
      <t>ギジュツ</t>
    </rPh>
    <rPh sb="9" eb="11">
      <t>チョウサ</t>
    </rPh>
    <rPh sb="16" eb="18">
      <t>シサク</t>
    </rPh>
    <phoneticPr fontId="16"/>
  </si>
  <si>
    <t>不定期（頻度中）</t>
    <rPh sb="0" eb="3">
      <t>フテイキ</t>
    </rPh>
    <rPh sb="4" eb="6">
      <t>ヒンド</t>
    </rPh>
    <rPh sb="6" eb="7">
      <t>チュウ</t>
    </rPh>
    <phoneticPr fontId="16"/>
  </si>
  <si>
    <t>加工技術</t>
    <rPh sb="0" eb="2">
      <t>カコウ</t>
    </rPh>
    <rPh sb="2" eb="4">
      <t>ギジュツ</t>
    </rPh>
    <phoneticPr fontId="16"/>
  </si>
  <si>
    <t>溶着縫製、パターン自動機、ダウン充填機設計</t>
    <rPh sb="0" eb="2">
      <t>ヨウチャク</t>
    </rPh>
    <rPh sb="2" eb="4">
      <t>ホウセイ</t>
    </rPh>
    <rPh sb="9" eb="11">
      <t>ジドウ</t>
    </rPh>
    <rPh sb="11" eb="12">
      <t>キ</t>
    </rPh>
    <rPh sb="16" eb="18">
      <t>ジュウテン</t>
    </rPh>
    <rPh sb="18" eb="19">
      <t>キ</t>
    </rPh>
    <rPh sb="19" eb="21">
      <t>セッケイ</t>
    </rPh>
    <phoneticPr fontId="16"/>
  </si>
  <si>
    <t>●</t>
  </si>
  <si>
    <t>生産技術</t>
    <rPh sb="0" eb="2">
      <t>セイサン</t>
    </rPh>
    <rPh sb="2" eb="4">
      <t>ギジュツ</t>
    </rPh>
    <phoneticPr fontId="16"/>
  </si>
  <si>
    <t>IE、ライン設計</t>
    <rPh sb="6" eb="8">
      <t>セッケイ</t>
    </rPh>
    <phoneticPr fontId="16"/>
  </si>
  <si>
    <t>管理技術</t>
    <rPh sb="0" eb="2">
      <t>カンリ</t>
    </rPh>
    <rPh sb="2" eb="4">
      <t>ギジュツ</t>
    </rPh>
    <phoneticPr fontId="16"/>
  </si>
  <si>
    <t>工程分析、進捗ばらつき、QC管理手法</t>
    <rPh sb="0" eb="2">
      <t>コウテイ</t>
    </rPh>
    <rPh sb="2" eb="4">
      <t>ブンセキ</t>
    </rPh>
    <phoneticPr fontId="16"/>
  </si>
  <si>
    <t>評価技術</t>
    <rPh sb="0" eb="2">
      <t>ヒョウカ</t>
    </rPh>
    <rPh sb="2" eb="4">
      <t>ギジュツ</t>
    </rPh>
    <phoneticPr fontId="16"/>
  </si>
  <si>
    <t>機能性評価、商品評価、物性試験等</t>
    <rPh sb="0" eb="3">
      <t>キノウセイ</t>
    </rPh>
    <rPh sb="3" eb="5">
      <t>ヒョウカ</t>
    </rPh>
    <rPh sb="6" eb="8">
      <t>ショウヒン</t>
    </rPh>
    <rPh sb="8" eb="10">
      <t>ヒョウカ</t>
    </rPh>
    <rPh sb="11" eb="13">
      <t>ブッセイ</t>
    </rPh>
    <rPh sb="13" eb="15">
      <t>シケン</t>
    </rPh>
    <rPh sb="15" eb="16">
      <t>トウ</t>
    </rPh>
    <phoneticPr fontId="16"/>
  </si>
  <si>
    <t>前段取り</t>
    <rPh sb="0" eb="1">
      <t>マエ</t>
    </rPh>
    <rPh sb="1" eb="3">
      <t>ダンド</t>
    </rPh>
    <phoneticPr fontId="16"/>
  </si>
  <si>
    <t>生産計画</t>
    <rPh sb="0" eb="2">
      <t>セイサン</t>
    </rPh>
    <rPh sb="2" eb="4">
      <t>ケイカク</t>
    </rPh>
    <phoneticPr fontId="16"/>
  </si>
  <si>
    <t>プランテーブル</t>
  </si>
  <si>
    <t>長期生産計画</t>
    <rPh sb="0" eb="2">
      <t>チョウキ</t>
    </rPh>
    <rPh sb="2" eb="4">
      <t>セイサン</t>
    </rPh>
    <rPh sb="4" eb="6">
      <t>ケイカク</t>
    </rPh>
    <phoneticPr fontId="16"/>
  </si>
  <si>
    <t>明細連絡</t>
    <rPh sb="0" eb="2">
      <t>メイサイ</t>
    </rPh>
    <rPh sb="2" eb="4">
      <t>レンラク</t>
    </rPh>
    <phoneticPr fontId="16"/>
  </si>
  <si>
    <t>SKU明細を工場へ連絡する</t>
    <rPh sb="3" eb="5">
      <t>メイサイ</t>
    </rPh>
    <rPh sb="6" eb="8">
      <t>コウジョウ</t>
    </rPh>
    <rPh sb="9" eb="11">
      <t>レンラク</t>
    </rPh>
    <phoneticPr fontId="16"/>
  </si>
  <si>
    <t>日次</t>
    <rPh sb="0" eb="2">
      <t>ニチジ</t>
    </rPh>
    <phoneticPr fontId="16"/>
  </si>
  <si>
    <t>工場生産計画</t>
    <rPh sb="0" eb="2">
      <t>コウジョウ</t>
    </rPh>
    <rPh sb="2" eb="4">
      <t>セイサン</t>
    </rPh>
    <rPh sb="4" eb="6">
      <t>ケイカク</t>
    </rPh>
    <phoneticPr fontId="16"/>
  </si>
  <si>
    <t>中期生産計画</t>
    <rPh sb="0" eb="2">
      <t>チュウキ</t>
    </rPh>
    <rPh sb="2" eb="4">
      <t>セイサン</t>
    </rPh>
    <rPh sb="4" eb="6">
      <t>ケイカク</t>
    </rPh>
    <phoneticPr fontId="16"/>
  </si>
  <si>
    <t>資材進捗</t>
    <rPh sb="0" eb="2">
      <t>シザイ</t>
    </rPh>
    <rPh sb="2" eb="4">
      <t>シンチョク</t>
    </rPh>
    <phoneticPr fontId="16"/>
  </si>
  <si>
    <t>材料の進捗状況を確認し工場へ報告する</t>
    <rPh sb="0" eb="2">
      <t>ザイリョウ</t>
    </rPh>
    <rPh sb="3" eb="5">
      <t>シンチョク</t>
    </rPh>
    <rPh sb="5" eb="7">
      <t>ジョウキョウ</t>
    </rPh>
    <rPh sb="8" eb="10">
      <t>カクニン</t>
    </rPh>
    <rPh sb="11" eb="13">
      <t>コウジョウ</t>
    </rPh>
    <rPh sb="14" eb="16">
      <t>ホウコク</t>
    </rPh>
    <phoneticPr fontId="16"/>
  </si>
  <si>
    <t>注意連絡</t>
    <rPh sb="0" eb="2">
      <t>チュウイ</t>
    </rPh>
    <rPh sb="2" eb="4">
      <t>レ</t>
    </rPh>
    <phoneticPr fontId="16"/>
  </si>
  <si>
    <t>特別に注視する内容を工場へ連絡</t>
    <rPh sb="0" eb="2">
      <t>トクベツ</t>
    </rPh>
    <rPh sb="3" eb="5">
      <t>チュウシ</t>
    </rPh>
    <rPh sb="7" eb="9">
      <t>ナイヨウ</t>
    </rPh>
    <rPh sb="10" eb="12">
      <t>コウジョウ</t>
    </rPh>
    <rPh sb="13" eb="15">
      <t>レ</t>
    </rPh>
    <phoneticPr fontId="16"/>
  </si>
  <si>
    <t>サンプル</t>
    <phoneticPr fontId="16"/>
  </si>
  <si>
    <t>受注</t>
    <rPh sb="0" eb="2">
      <t>ジュチュウ</t>
    </rPh>
    <phoneticPr fontId="16"/>
  </si>
  <si>
    <t>営業オーダー受注。サンプル管理表への記入</t>
    <rPh sb="0" eb="2">
      <t>エイギョウ</t>
    </rPh>
    <rPh sb="6" eb="8">
      <t>ジュチュウ</t>
    </rPh>
    <rPh sb="13" eb="15">
      <t>カンリ</t>
    </rPh>
    <rPh sb="15" eb="16">
      <t>ヒョウ</t>
    </rPh>
    <rPh sb="18" eb="20">
      <t>キニュウ</t>
    </rPh>
    <phoneticPr fontId="16"/>
  </si>
  <si>
    <t>工場指示</t>
    <rPh sb="0" eb="2">
      <t>コウジョウ</t>
    </rPh>
    <rPh sb="2" eb="4">
      <t>シジ</t>
    </rPh>
    <phoneticPr fontId="16"/>
  </si>
  <si>
    <t>日本からのサンプル依頼を工場へ連絡</t>
    <rPh sb="0" eb="2">
      <t>ニホン</t>
    </rPh>
    <rPh sb="9" eb="11">
      <t>イライ</t>
    </rPh>
    <rPh sb="12" eb="14">
      <t>コウジョウ</t>
    </rPh>
    <rPh sb="15" eb="17">
      <t>レ</t>
    </rPh>
    <phoneticPr fontId="16"/>
  </si>
  <si>
    <t>納期回答</t>
    <rPh sb="0" eb="2">
      <t>ノウキ</t>
    </rPh>
    <rPh sb="2" eb="4">
      <t>カイトウ</t>
    </rPh>
    <phoneticPr fontId="16"/>
  </si>
  <si>
    <t>工場スケジューリング、納期回答</t>
    <rPh sb="0" eb="2">
      <t>コウジョウ</t>
    </rPh>
    <rPh sb="11" eb="13">
      <t>ノウキ</t>
    </rPh>
    <rPh sb="13" eb="15">
      <t>カイトウ</t>
    </rPh>
    <phoneticPr fontId="16"/>
  </si>
  <si>
    <t>仕様</t>
    <rPh sb="0" eb="2">
      <t>シヨウ</t>
    </rPh>
    <phoneticPr fontId="16"/>
  </si>
  <si>
    <t>仕様書の受領、翻訳</t>
    <rPh sb="0" eb="3">
      <t>シヨウショ</t>
    </rPh>
    <rPh sb="4" eb="6">
      <t>ジュリョウ</t>
    </rPh>
    <rPh sb="7" eb="9">
      <t>ホンヤク</t>
    </rPh>
    <phoneticPr fontId="16"/>
  </si>
  <si>
    <t>パターンチェック</t>
    <phoneticPr fontId="16"/>
  </si>
  <si>
    <t>パターンの受領、寸法チェック</t>
    <rPh sb="5" eb="7">
      <t>ジュリョウ</t>
    </rPh>
    <rPh sb="8" eb="10">
      <t>スンポウ</t>
    </rPh>
    <phoneticPr fontId="16"/>
  </si>
  <si>
    <t>用尺計算</t>
    <rPh sb="0" eb="2">
      <t>ヨウジャク</t>
    </rPh>
    <rPh sb="2" eb="4">
      <t>ケイサン</t>
    </rPh>
    <phoneticPr fontId="16"/>
  </si>
  <si>
    <t>工場の作成したマーカー図のチェック、修正依頼</t>
    <rPh sb="0" eb="2">
      <t>コウジョウ</t>
    </rPh>
    <rPh sb="3" eb="5">
      <t>サクセイ</t>
    </rPh>
    <rPh sb="11" eb="12">
      <t>ズ</t>
    </rPh>
    <rPh sb="18" eb="20">
      <t>シュウセイ</t>
    </rPh>
    <rPh sb="20" eb="22">
      <t>イライ</t>
    </rPh>
    <phoneticPr fontId="19"/>
  </si>
  <si>
    <t>資材不足確認</t>
    <rPh sb="0" eb="2">
      <t>シザイ</t>
    </rPh>
    <rPh sb="2" eb="4">
      <t>フソク</t>
    </rPh>
    <rPh sb="4" eb="6">
      <t>カクニン</t>
    </rPh>
    <phoneticPr fontId="16"/>
  </si>
  <si>
    <t>不足資材を確認してTIへ連絡する</t>
    <rPh sb="0" eb="2">
      <t>フソク</t>
    </rPh>
    <rPh sb="2" eb="4">
      <t>シザイ</t>
    </rPh>
    <rPh sb="5" eb="7">
      <t>カクニン</t>
    </rPh>
    <rPh sb="12" eb="14">
      <t>レンラク</t>
    </rPh>
    <phoneticPr fontId="16"/>
  </si>
  <si>
    <t>進捗フォロー</t>
    <rPh sb="0" eb="2">
      <t>シンチョク</t>
    </rPh>
    <phoneticPr fontId="16"/>
  </si>
  <si>
    <t>サンプルラインへの進捗フォロー</t>
    <rPh sb="9" eb="11">
      <t>シンチョク</t>
    </rPh>
    <phoneticPr fontId="16"/>
  </si>
  <si>
    <t>週3回程度</t>
    <rPh sb="0" eb="1">
      <t>シュウ</t>
    </rPh>
    <rPh sb="2" eb="3">
      <t>カイ</t>
    </rPh>
    <rPh sb="3" eb="5">
      <t>テイド</t>
    </rPh>
    <phoneticPr fontId="16"/>
  </si>
  <si>
    <t>諸確認</t>
    <rPh sb="0" eb="1">
      <t>ショ</t>
    </rPh>
    <rPh sb="1" eb="3">
      <t>カクニン</t>
    </rPh>
    <phoneticPr fontId="16"/>
  </si>
  <si>
    <t>サンプル班からの問合せ・質問対応</t>
    <rPh sb="4" eb="5">
      <t>ハン</t>
    </rPh>
    <rPh sb="8" eb="9">
      <t>ト</t>
    </rPh>
    <rPh sb="9" eb="10">
      <t>ア</t>
    </rPh>
    <rPh sb="12" eb="14">
      <t>シツモン</t>
    </rPh>
    <rPh sb="14" eb="16">
      <t>タイオウ</t>
    </rPh>
    <phoneticPr fontId="16"/>
  </si>
  <si>
    <t>問題抽出・改善提案</t>
    <rPh sb="0" eb="2">
      <t>モンダイ</t>
    </rPh>
    <rPh sb="2" eb="4">
      <t>チュウシュツ</t>
    </rPh>
    <rPh sb="5" eb="7">
      <t>カイゼン</t>
    </rPh>
    <rPh sb="7" eb="9">
      <t>テイアン</t>
    </rPh>
    <phoneticPr fontId="16"/>
  </si>
  <si>
    <t>仕様・素材に不具合があればアラート・改善提案する。</t>
    <rPh sb="0" eb="2">
      <t>シヨウ</t>
    </rPh>
    <rPh sb="3" eb="5">
      <t>ソザイ</t>
    </rPh>
    <rPh sb="6" eb="9">
      <t>フグアイ</t>
    </rPh>
    <rPh sb="18" eb="20">
      <t>カイゼン</t>
    </rPh>
    <rPh sb="20" eb="22">
      <t>テイアン</t>
    </rPh>
    <phoneticPr fontId="16"/>
  </si>
  <si>
    <t>コメント連絡</t>
    <rPh sb="4" eb="6">
      <t>レンラク</t>
    </rPh>
    <phoneticPr fontId="16"/>
  </si>
  <si>
    <t>サンプルコメント・採寸表の記入と連絡</t>
    <rPh sb="9" eb="11">
      <t>サイスン</t>
    </rPh>
    <rPh sb="11" eb="12">
      <t>ヒョウ</t>
    </rPh>
    <rPh sb="13" eb="15">
      <t>キニュウ</t>
    </rPh>
    <rPh sb="16" eb="18">
      <t>レンラク</t>
    </rPh>
    <phoneticPr fontId="16"/>
  </si>
  <si>
    <t>二次加工</t>
    <rPh sb="0" eb="2">
      <t>ニジ</t>
    </rPh>
    <rPh sb="2" eb="4">
      <t>カコウ</t>
    </rPh>
    <phoneticPr fontId="16"/>
  </si>
  <si>
    <t>外部工場の見本に関してバルクでの問題点を確認・連絡</t>
    <rPh sb="0" eb="2">
      <t>ガイブ</t>
    </rPh>
    <rPh sb="2" eb="4">
      <t>コウジョウ</t>
    </rPh>
    <rPh sb="5" eb="7">
      <t>ミホン</t>
    </rPh>
    <rPh sb="8" eb="9">
      <t>カン</t>
    </rPh>
    <rPh sb="16" eb="19">
      <t>モンダイテン</t>
    </rPh>
    <rPh sb="20" eb="22">
      <t>カ</t>
    </rPh>
    <rPh sb="23" eb="25">
      <t>レ</t>
    </rPh>
    <phoneticPr fontId="16"/>
  </si>
  <si>
    <t>出荷連絡</t>
    <rPh sb="0" eb="2">
      <t>シュッカ</t>
    </rPh>
    <rPh sb="2" eb="4">
      <t>レンラク</t>
    </rPh>
    <phoneticPr fontId="16"/>
  </si>
  <si>
    <t>出荷明細、送り状NoをTIへ連絡する</t>
    <rPh sb="0" eb="2">
      <t>シュッカ</t>
    </rPh>
    <rPh sb="2" eb="4">
      <t>メイサイ</t>
    </rPh>
    <rPh sb="14" eb="16">
      <t>レンラク</t>
    </rPh>
    <phoneticPr fontId="16"/>
  </si>
  <si>
    <t>発送</t>
    <rPh sb="0" eb="2">
      <t>ハッソウ</t>
    </rPh>
    <phoneticPr fontId="16"/>
  </si>
  <si>
    <t>サンプル発送</t>
    <rPh sb="4" eb="6">
      <t>ハッソウ</t>
    </rPh>
    <phoneticPr fontId="16"/>
  </si>
  <si>
    <t>生産条件設定</t>
    <rPh sb="0" eb="2">
      <t>セイサン</t>
    </rPh>
    <rPh sb="2" eb="4">
      <t>ジョウケン</t>
    </rPh>
    <rPh sb="4" eb="6">
      <t>セッテイ</t>
    </rPh>
    <phoneticPr fontId="16"/>
  </si>
  <si>
    <t>接着・シーム条件検討。機能性検査・記録</t>
    <rPh sb="0" eb="2">
      <t>セッチャク</t>
    </rPh>
    <rPh sb="6" eb="8">
      <t>ジョウケン</t>
    </rPh>
    <rPh sb="8" eb="10">
      <t>ケントウ</t>
    </rPh>
    <rPh sb="11" eb="14">
      <t>キノウセイ</t>
    </rPh>
    <rPh sb="14" eb="16">
      <t>ケンサ</t>
    </rPh>
    <rPh sb="17" eb="19">
      <t>キロク</t>
    </rPh>
    <phoneticPr fontId="16"/>
  </si>
  <si>
    <t>工程分析</t>
    <rPh sb="0" eb="2">
      <t>コウテイ</t>
    </rPh>
    <rPh sb="2" eb="4">
      <t>ブンセキ</t>
    </rPh>
    <phoneticPr fontId="16"/>
  </si>
  <si>
    <t>生産能力・コスト試算</t>
    <rPh sb="0" eb="2">
      <t>セイサン</t>
    </rPh>
    <rPh sb="2" eb="4">
      <t>ノウリョク</t>
    </rPh>
    <rPh sb="8" eb="10">
      <t>シサン</t>
    </rPh>
    <phoneticPr fontId="16"/>
  </si>
  <si>
    <t>元見本管理</t>
    <rPh sb="0" eb="1">
      <t>モト</t>
    </rPh>
    <rPh sb="1" eb="3">
      <t>ミホン</t>
    </rPh>
    <rPh sb="3" eb="5">
      <t>カンリ</t>
    </rPh>
    <phoneticPr fontId="16"/>
  </si>
  <si>
    <t>元見本台帳を作成し入出庫を管理する</t>
    <rPh sb="0" eb="1">
      <t>モト</t>
    </rPh>
    <rPh sb="1" eb="3">
      <t>ミホン</t>
    </rPh>
    <rPh sb="3" eb="5">
      <t>ダイチョウ</t>
    </rPh>
    <rPh sb="6" eb="8">
      <t>サクセイ</t>
    </rPh>
    <rPh sb="9" eb="10">
      <t>イ</t>
    </rPh>
    <rPh sb="10" eb="12">
      <t>シュッコ</t>
    </rPh>
    <rPh sb="13" eb="15">
      <t>カンリ</t>
    </rPh>
    <phoneticPr fontId="16"/>
  </si>
  <si>
    <t>仕様書</t>
    <rPh sb="0" eb="3">
      <t>シヨウショ</t>
    </rPh>
    <phoneticPr fontId="16"/>
  </si>
  <si>
    <t>ファイル作成</t>
    <rPh sb="4" eb="6">
      <t>サクセイ</t>
    </rPh>
    <phoneticPr fontId="16"/>
  </si>
  <si>
    <t>仕様書をプリントアウトしブランド・シーズン別にファイルを作成</t>
    <rPh sb="0" eb="3">
      <t>シヨウショ</t>
    </rPh>
    <rPh sb="21" eb="22">
      <t>ベツ</t>
    </rPh>
    <rPh sb="28" eb="30">
      <t>サクセイ</t>
    </rPh>
    <phoneticPr fontId="16"/>
  </si>
  <si>
    <t>翻訳</t>
    <rPh sb="0" eb="2">
      <t>ホンヤク</t>
    </rPh>
    <phoneticPr fontId="16"/>
  </si>
  <si>
    <t>ベトナム語への翻訳</t>
    <rPh sb="4" eb="5">
      <t>ゴ</t>
    </rPh>
    <rPh sb="7" eb="9">
      <t>ホンヤク</t>
    </rPh>
    <phoneticPr fontId="16"/>
  </si>
  <si>
    <t>チェック</t>
    <phoneticPr fontId="16"/>
  </si>
  <si>
    <t>パターンや元見本と違ったり問題があった場合、TIへ連絡する</t>
    <rPh sb="5" eb="6">
      <t>モト</t>
    </rPh>
    <rPh sb="6" eb="8">
      <t>ミホン</t>
    </rPh>
    <rPh sb="9" eb="10">
      <t>チガ</t>
    </rPh>
    <rPh sb="13" eb="15">
      <t>モンダイ</t>
    </rPh>
    <rPh sb="19" eb="21">
      <t>バアイ</t>
    </rPh>
    <rPh sb="25" eb="27">
      <t>レンラク</t>
    </rPh>
    <phoneticPr fontId="16"/>
  </si>
  <si>
    <t>修正連絡</t>
    <rPh sb="0" eb="2">
      <t>シュウセイ</t>
    </rPh>
    <rPh sb="2" eb="4">
      <t>レンラク</t>
    </rPh>
    <phoneticPr fontId="16"/>
  </si>
  <si>
    <t>修正があれば修正仕様書を翻訳し工場へ連絡する</t>
    <rPh sb="0" eb="2">
      <t>シュウセイ</t>
    </rPh>
    <rPh sb="6" eb="8">
      <t>シュウセイ</t>
    </rPh>
    <rPh sb="8" eb="11">
      <t>シヨウショ</t>
    </rPh>
    <rPh sb="12" eb="14">
      <t>ホンヤク</t>
    </rPh>
    <rPh sb="18" eb="20">
      <t>レンラク</t>
    </rPh>
    <phoneticPr fontId="16"/>
  </si>
  <si>
    <t>パターン</t>
    <phoneticPr fontId="16"/>
  </si>
  <si>
    <t>パターン連絡</t>
    <rPh sb="4" eb="6">
      <t>レンラク</t>
    </rPh>
    <phoneticPr fontId="16"/>
  </si>
  <si>
    <t>パターンデータを工場に転送する</t>
    <rPh sb="11" eb="13">
      <t>テンソウ</t>
    </rPh>
    <phoneticPr fontId="16"/>
  </si>
  <si>
    <t>チェック</t>
  </si>
  <si>
    <t>仕様書と違ったり問題があった場合、TIへ連絡する</t>
    <rPh sb="0" eb="3">
      <t>シヨウショ</t>
    </rPh>
    <rPh sb="4" eb="5">
      <t>チガ</t>
    </rPh>
    <rPh sb="8" eb="10">
      <t>モンダイ</t>
    </rPh>
    <rPh sb="14" eb="16">
      <t>バアイ</t>
    </rPh>
    <rPh sb="20" eb="22">
      <t>レンラク</t>
    </rPh>
    <phoneticPr fontId="16"/>
  </si>
  <si>
    <t>修正</t>
    <rPh sb="0" eb="2">
      <t>シュウセイ</t>
    </rPh>
    <phoneticPr fontId="16"/>
  </si>
  <si>
    <t>一部不具合を工場で修正するように指示</t>
    <rPh sb="0" eb="2">
      <t>イチブ</t>
    </rPh>
    <rPh sb="2" eb="5">
      <t>フグアイ</t>
    </rPh>
    <rPh sb="6" eb="8">
      <t>コウジョウ</t>
    </rPh>
    <rPh sb="9" eb="11">
      <t>シュウセイ</t>
    </rPh>
    <rPh sb="16" eb="18">
      <t>シジ</t>
    </rPh>
    <phoneticPr fontId="16"/>
  </si>
  <si>
    <t>資材管理</t>
    <rPh sb="0" eb="2">
      <t>シザイ</t>
    </rPh>
    <rPh sb="2" eb="4">
      <t>カンリ</t>
    </rPh>
    <phoneticPr fontId="16"/>
  </si>
  <si>
    <t>資材着荷確認</t>
    <rPh sb="0" eb="2">
      <t>シザイ</t>
    </rPh>
    <rPh sb="2" eb="4">
      <t>チャッカ</t>
    </rPh>
    <rPh sb="4" eb="6">
      <t>カクニン</t>
    </rPh>
    <phoneticPr fontId="16"/>
  </si>
  <si>
    <t>BL、P/L、DHL No などを工場へ連絡する</t>
    <rPh sb="20" eb="22">
      <t>レンラク</t>
    </rPh>
    <phoneticPr fontId="16"/>
  </si>
  <si>
    <t>工場からのバランスシートをもとにTIへ不足連絡をする</t>
    <rPh sb="0" eb="2">
      <t>コウジョウ</t>
    </rPh>
    <rPh sb="19" eb="21">
      <t>フソク</t>
    </rPh>
    <rPh sb="21" eb="23">
      <t>レンラク</t>
    </rPh>
    <phoneticPr fontId="16"/>
  </si>
  <si>
    <t>生地不良確認</t>
    <rPh sb="0" eb="2">
      <t>キジ</t>
    </rPh>
    <rPh sb="2" eb="4">
      <t>フリョウ</t>
    </rPh>
    <rPh sb="4" eb="6">
      <t>カクニン</t>
    </rPh>
    <phoneticPr fontId="16"/>
  </si>
  <si>
    <t>工場から検反報告をもらい不良内容をTIへ確認する</t>
    <rPh sb="0" eb="2">
      <t>コウジョウ</t>
    </rPh>
    <rPh sb="4" eb="5">
      <t>ケン</t>
    </rPh>
    <rPh sb="5" eb="6">
      <t>タン</t>
    </rPh>
    <rPh sb="6" eb="8">
      <t>ホウコク</t>
    </rPh>
    <rPh sb="12" eb="14">
      <t>フリョウ</t>
    </rPh>
    <rPh sb="14" eb="16">
      <t>ナイヨウ</t>
    </rPh>
    <rPh sb="20" eb="22">
      <t>カクニン</t>
    </rPh>
    <phoneticPr fontId="19"/>
  </si>
  <si>
    <t>本生産</t>
    <rPh sb="0" eb="1">
      <t>ホン</t>
    </rPh>
    <rPh sb="1" eb="3">
      <t>セイサン</t>
    </rPh>
    <phoneticPr fontId="16"/>
  </si>
  <si>
    <t>裁断</t>
    <rPh sb="0" eb="2">
      <t>サイダン</t>
    </rPh>
    <phoneticPr fontId="16"/>
  </si>
  <si>
    <t>明細確認</t>
    <rPh sb="0" eb="2">
      <t>メイサイ</t>
    </rPh>
    <rPh sb="2" eb="4">
      <t>カクニン</t>
    </rPh>
    <phoneticPr fontId="16"/>
  </si>
  <si>
    <t>工場が作成した裁断明細を入手しチェックする</t>
    <rPh sb="0" eb="2">
      <t>コウジョウ</t>
    </rPh>
    <rPh sb="3" eb="5">
      <t>サクセイ</t>
    </rPh>
    <rPh sb="7" eb="9">
      <t>サイダン</t>
    </rPh>
    <rPh sb="9" eb="11">
      <t>メイサイ</t>
    </rPh>
    <rPh sb="12" eb="14">
      <t>ニュウシュ</t>
    </rPh>
    <phoneticPr fontId="16"/>
  </si>
  <si>
    <t>要尺確認</t>
    <rPh sb="0" eb="1">
      <t>ヨウ</t>
    </rPh>
    <rPh sb="1" eb="2">
      <t>シャク</t>
    </rPh>
    <rPh sb="2" eb="4">
      <t>カクニン</t>
    </rPh>
    <phoneticPr fontId="16"/>
  </si>
  <si>
    <t>サンプル要尺を確認してTIへ連絡する</t>
    <rPh sb="4" eb="5">
      <t>ヨウ</t>
    </rPh>
    <rPh sb="5" eb="6">
      <t>シャク</t>
    </rPh>
    <rPh sb="7" eb="9">
      <t>カクニン</t>
    </rPh>
    <rPh sb="14" eb="16">
      <t>レンラク</t>
    </rPh>
    <phoneticPr fontId="16"/>
  </si>
  <si>
    <t>トラブル対応</t>
    <rPh sb="4" eb="6">
      <t>タイオウ</t>
    </rPh>
    <phoneticPr fontId="16"/>
  </si>
  <si>
    <t>色違い・収縮等のトラブル発生時の対応</t>
    <rPh sb="0" eb="1">
      <t>イロ</t>
    </rPh>
    <rPh sb="1" eb="2">
      <t>チガ</t>
    </rPh>
    <rPh sb="4" eb="6">
      <t>シュウシュク</t>
    </rPh>
    <rPh sb="6" eb="7">
      <t>トウ</t>
    </rPh>
    <rPh sb="12" eb="14">
      <t>ハッセイ</t>
    </rPh>
    <rPh sb="14" eb="15">
      <t>ジ</t>
    </rPh>
    <rPh sb="16" eb="18">
      <t>タイオウ</t>
    </rPh>
    <phoneticPr fontId="16"/>
  </si>
  <si>
    <t>刺繍</t>
    <rPh sb="0" eb="2">
      <t>シシュウ</t>
    </rPh>
    <phoneticPr fontId="16"/>
  </si>
  <si>
    <t>刺繍データを入手し、刺繍屋に連絡する</t>
    <rPh sb="0" eb="2">
      <t>シシュウ</t>
    </rPh>
    <rPh sb="6" eb="8">
      <t>ニュウシュ</t>
    </rPh>
    <rPh sb="10" eb="12">
      <t>シシュウ</t>
    </rPh>
    <rPh sb="12" eb="13">
      <t>ヤ</t>
    </rPh>
    <rPh sb="14" eb="16">
      <t>レンラク</t>
    </rPh>
    <phoneticPr fontId="16"/>
  </si>
  <si>
    <t>※2</t>
    <phoneticPr fontId="5"/>
  </si>
  <si>
    <t>プリント</t>
  </si>
  <si>
    <t>プリントデータを入手し、プリント屋に連絡する</t>
    <rPh sb="8" eb="10">
      <t>ニュウシュ</t>
    </rPh>
    <rPh sb="16" eb="17">
      <t>ヤ</t>
    </rPh>
    <rPh sb="18" eb="20">
      <t>レンラク</t>
    </rPh>
    <phoneticPr fontId="16"/>
  </si>
  <si>
    <t>キルト</t>
    <phoneticPr fontId="16"/>
  </si>
  <si>
    <t>依頼内容のバルク展開可否判断</t>
    <rPh sb="0" eb="2">
      <t>イライ</t>
    </rPh>
    <rPh sb="2" eb="4">
      <t>ナイヨウ</t>
    </rPh>
    <rPh sb="8" eb="10">
      <t>テンカイ</t>
    </rPh>
    <rPh sb="10" eb="12">
      <t>カヒ</t>
    </rPh>
    <rPh sb="12" eb="14">
      <t>ハンダン</t>
    </rPh>
    <phoneticPr fontId="16"/>
  </si>
  <si>
    <t>品位確認・評価</t>
    <rPh sb="0" eb="2">
      <t>ヒンイ</t>
    </rPh>
    <rPh sb="2" eb="4">
      <t>カクニン</t>
    </rPh>
    <rPh sb="5" eb="7">
      <t>ヒョウカ</t>
    </rPh>
    <phoneticPr fontId="16"/>
  </si>
  <si>
    <t>現物確認、客先個別試験</t>
    <rPh sb="0" eb="2">
      <t>ゲンブツ</t>
    </rPh>
    <rPh sb="2" eb="4">
      <t>カクニン</t>
    </rPh>
    <rPh sb="5" eb="7">
      <t>キャクサキ</t>
    </rPh>
    <rPh sb="7" eb="9">
      <t>コベツ</t>
    </rPh>
    <rPh sb="9" eb="11">
      <t>シケン</t>
    </rPh>
    <phoneticPr fontId="16"/>
  </si>
  <si>
    <t>生産</t>
    <rPh sb="0" eb="2">
      <t>セイサン</t>
    </rPh>
    <phoneticPr fontId="16"/>
  </si>
  <si>
    <t>仕様確認</t>
    <rPh sb="0" eb="2">
      <t>シヨウ</t>
    </rPh>
    <rPh sb="2" eb="4">
      <t>カクニン</t>
    </rPh>
    <phoneticPr fontId="16"/>
  </si>
  <si>
    <t>TIとの量産品の仕様確認</t>
    <rPh sb="4" eb="6">
      <t>リョウサン</t>
    </rPh>
    <rPh sb="6" eb="7">
      <t>ヒン</t>
    </rPh>
    <rPh sb="8" eb="10">
      <t>シヨウ</t>
    </rPh>
    <rPh sb="10" eb="12">
      <t>カクニン</t>
    </rPh>
    <phoneticPr fontId="16"/>
  </si>
  <si>
    <t>縫製指導</t>
    <rPh sb="0" eb="2">
      <t>ホウセイ</t>
    </rPh>
    <rPh sb="2" eb="4">
      <t>シドウ</t>
    </rPh>
    <phoneticPr fontId="16"/>
  </si>
  <si>
    <t>現場での縫製指導</t>
    <rPh sb="0" eb="2">
      <t>ゲンバ</t>
    </rPh>
    <rPh sb="4" eb="6">
      <t>ホウセイ</t>
    </rPh>
    <rPh sb="6" eb="8">
      <t>シドウ</t>
    </rPh>
    <phoneticPr fontId="16"/>
  </si>
  <si>
    <t>シーム・溶着指導</t>
    <rPh sb="4" eb="6">
      <t>ヨウチャク</t>
    </rPh>
    <rPh sb="6" eb="8">
      <t>シドウ</t>
    </rPh>
    <phoneticPr fontId="5"/>
  </si>
  <si>
    <t>日次</t>
    <rPh sb="0" eb="1">
      <t>ニチ</t>
    </rPh>
    <rPh sb="1" eb="2">
      <t>ジ</t>
    </rPh>
    <phoneticPr fontId="5"/>
  </si>
  <si>
    <t>納期管理</t>
    <rPh sb="0" eb="2">
      <t>ノウキ</t>
    </rPh>
    <rPh sb="2" eb="4">
      <t>カンリ</t>
    </rPh>
    <phoneticPr fontId="16"/>
  </si>
  <si>
    <t>生産日報、進捗の確認</t>
    <rPh sb="0" eb="2">
      <t>セイサン</t>
    </rPh>
    <rPh sb="2" eb="4">
      <t>ニッポウ</t>
    </rPh>
    <rPh sb="5" eb="7">
      <t>シンチョク</t>
    </rPh>
    <rPh sb="8" eb="10">
      <t>カクニン</t>
    </rPh>
    <phoneticPr fontId="16"/>
  </si>
  <si>
    <t>トラブルシュート</t>
  </si>
  <si>
    <t>各種トラブル対応(段取り、計画、工程、品質)</t>
    <rPh sb="0" eb="2">
      <t>カクシュ</t>
    </rPh>
    <rPh sb="6" eb="8">
      <t>タイオウ</t>
    </rPh>
    <rPh sb="9" eb="11">
      <t>ダンド</t>
    </rPh>
    <rPh sb="13" eb="15">
      <t>ケイカク</t>
    </rPh>
    <rPh sb="16" eb="18">
      <t>コウテイ</t>
    </rPh>
    <rPh sb="19" eb="21">
      <t>ヒンシツ</t>
    </rPh>
    <phoneticPr fontId="16"/>
  </si>
  <si>
    <t>生産結果記録</t>
    <rPh sb="0" eb="2">
      <t>セイサン</t>
    </rPh>
    <rPh sb="2" eb="4">
      <t>ケッカ</t>
    </rPh>
    <rPh sb="4" eb="6">
      <t>キロク</t>
    </rPh>
    <phoneticPr fontId="16"/>
  </si>
  <si>
    <t>問題・対策内容の記録と類似生産への水平展開</t>
  </si>
  <si>
    <t>技術者MTG</t>
    <rPh sb="0" eb="3">
      <t>ギジュツシャ</t>
    </rPh>
    <phoneticPr fontId="16"/>
  </si>
  <si>
    <t>工場の投入前MTGに参加し注意事項の確認</t>
    <rPh sb="0" eb="2">
      <t>コウジョウ</t>
    </rPh>
    <rPh sb="3" eb="5">
      <t>トウニュウ</t>
    </rPh>
    <rPh sb="5" eb="6">
      <t>マエ</t>
    </rPh>
    <rPh sb="10" eb="12">
      <t>サンカ</t>
    </rPh>
    <rPh sb="13" eb="15">
      <t>チュウイ</t>
    </rPh>
    <rPh sb="15" eb="17">
      <t>ジコウ</t>
    </rPh>
    <rPh sb="18" eb="20">
      <t>カ</t>
    </rPh>
    <phoneticPr fontId="16"/>
  </si>
  <si>
    <t>検査</t>
    <rPh sb="0" eb="2">
      <t>ケンサ</t>
    </rPh>
    <phoneticPr fontId="16"/>
  </si>
  <si>
    <t>検査目合わせ</t>
    <rPh sb="0" eb="2">
      <t>ケンサ</t>
    </rPh>
    <rPh sb="2" eb="3">
      <t>メ</t>
    </rPh>
    <rPh sb="3" eb="4">
      <t>ア</t>
    </rPh>
    <phoneticPr fontId="16"/>
  </si>
  <si>
    <t>投入後、最初に上がった製品の基準目合わせ</t>
    <rPh sb="0" eb="2">
      <t>トウニュウ</t>
    </rPh>
    <rPh sb="2" eb="3">
      <t>ゴ</t>
    </rPh>
    <rPh sb="4" eb="6">
      <t>サイショ</t>
    </rPh>
    <rPh sb="7" eb="8">
      <t>ア</t>
    </rPh>
    <rPh sb="11" eb="13">
      <t>セイヒン</t>
    </rPh>
    <rPh sb="14" eb="16">
      <t>キジュン</t>
    </rPh>
    <rPh sb="16" eb="17">
      <t>メ</t>
    </rPh>
    <rPh sb="17" eb="18">
      <t>ア</t>
    </rPh>
    <phoneticPr fontId="16"/>
  </si>
  <si>
    <t>※3</t>
    <phoneticPr fontId="5"/>
  </si>
  <si>
    <t>一次検査</t>
    <rPh sb="0" eb="2">
      <t>イチジ</t>
    </rPh>
    <rPh sb="2" eb="4">
      <t>ケンサ</t>
    </rPh>
    <phoneticPr fontId="16"/>
  </si>
  <si>
    <t>ライン上がり製品の縫製検査</t>
    <rPh sb="3" eb="4">
      <t>ア</t>
    </rPh>
    <rPh sb="6" eb="8">
      <t>セイヒン</t>
    </rPh>
    <rPh sb="9" eb="11">
      <t>ホウセイ</t>
    </rPh>
    <rPh sb="11" eb="13">
      <t>ケンサ</t>
    </rPh>
    <phoneticPr fontId="16"/>
  </si>
  <si>
    <t>二次検査</t>
    <rPh sb="0" eb="2">
      <t>ニジ</t>
    </rPh>
    <rPh sb="2" eb="4">
      <t>ケンサ</t>
    </rPh>
    <phoneticPr fontId="16"/>
  </si>
  <si>
    <t>仕上げ製品の外観検査</t>
    <rPh sb="0" eb="2">
      <t>シア</t>
    </rPh>
    <rPh sb="3" eb="5">
      <t>セイヒン</t>
    </rPh>
    <rPh sb="6" eb="8">
      <t>ガイカン</t>
    </rPh>
    <rPh sb="8" eb="10">
      <t>ケンサ</t>
    </rPh>
    <phoneticPr fontId="16"/>
  </si>
  <si>
    <t>出荷前検査</t>
    <rPh sb="0" eb="2">
      <t>シュッカ</t>
    </rPh>
    <rPh sb="2" eb="3">
      <t>マエ</t>
    </rPh>
    <rPh sb="3" eb="5">
      <t>ケンサ</t>
    </rPh>
    <phoneticPr fontId="16"/>
  </si>
  <si>
    <t>工場検品後の製品の抜取チェック</t>
    <rPh sb="0" eb="2">
      <t>コウジョウ</t>
    </rPh>
    <rPh sb="2" eb="4">
      <t>ケンピン</t>
    </rPh>
    <rPh sb="4" eb="5">
      <t>ゴ</t>
    </rPh>
    <rPh sb="6" eb="8">
      <t>セイヒン</t>
    </rPh>
    <rPh sb="9" eb="11">
      <t>ヌキトリ</t>
    </rPh>
    <phoneticPr fontId="16"/>
  </si>
  <si>
    <t>下札、ﾈｰﾑ確認</t>
    <rPh sb="0" eb="1">
      <t>サ</t>
    </rPh>
    <rPh sb="1" eb="2">
      <t>フダ</t>
    </rPh>
    <rPh sb="6" eb="8">
      <t>カクニン</t>
    </rPh>
    <phoneticPr fontId="16"/>
  </si>
  <si>
    <t>下げ札、ネーム類の印字内容のチェック</t>
    <rPh sb="0" eb="1">
      <t>サ</t>
    </rPh>
    <rPh sb="2" eb="3">
      <t>フダ</t>
    </rPh>
    <rPh sb="7" eb="8">
      <t>ルイ</t>
    </rPh>
    <rPh sb="9" eb="11">
      <t>インジ</t>
    </rPh>
    <rPh sb="11" eb="13">
      <t>ナイヨウ</t>
    </rPh>
    <phoneticPr fontId="16"/>
  </si>
  <si>
    <t>客先検査</t>
    <rPh sb="0" eb="2">
      <t>キャクサキ</t>
    </rPh>
    <rPh sb="2" eb="4">
      <t>ケンサ</t>
    </rPh>
    <phoneticPr fontId="16"/>
  </si>
  <si>
    <t>客先検査結果の工場連絡</t>
    <rPh sb="0" eb="2">
      <t>キャクサキ</t>
    </rPh>
    <rPh sb="2" eb="4">
      <t>ケンサ</t>
    </rPh>
    <rPh sb="4" eb="6">
      <t>ケッカ</t>
    </rPh>
    <rPh sb="7" eb="9">
      <t>コウジョウ</t>
    </rPh>
    <rPh sb="9" eb="11">
      <t>レンラク</t>
    </rPh>
    <phoneticPr fontId="16"/>
  </si>
  <si>
    <t>機能検査</t>
    <rPh sb="0" eb="2">
      <t>キノウ</t>
    </rPh>
    <rPh sb="2" eb="4">
      <t>ケンサ</t>
    </rPh>
    <phoneticPr fontId="16"/>
  </si>
  <si>
    <t>耐水圧・シーム製品抜き取り検査チェック</t>
    <rPh sb="0" eb="2">
      <t>タイスイ</t>
    </rPh>
    <rPh sb="2" eb="3">
      <t>アツ</t>
    </rPh>
    <rPh sb="7" eb="9">
      <t>セイヒン</t>
    </rPh>
    <rPh sb="9" eb="10">
      <t>ヌ</t>
    </rPh>
    <rPh sb="11" eb="12">
      <t>ト</t>
    </rPh>
    <rPh sb="13" eb="15">
      <t>ケンサ</t>
    </rPh>
    <phoneticPr fontId="16"/>
  </si>
  <si>
    <t>第三者検品</t>
    <rPh sb="0" eb="1">
      <t>ダイ</t>
    </rPh>
    <rPh sb="1" eb="3">
      <t>サンシャ</t>
    </rPh>
    <rPh sb="3" eb="5">
      <t>ケンピン</t>
    </rPh>
    <phoneticPr fontId="16"/>
  </si>
  <si>
    <t>外部検査機関との品質基準・日程調整</t>
    <rPh sb="0" eb="2">
      <t>ガイブ</t>
    </rPh>
    <rPh sb="2" eb="4">
      <t>ケンサ</t>
    </rPh>
    <rPh sb="4" eb="6">
      <t>キカン</t>
    </rPh>
    <rPh sb="8" eb="10">
      <t>ヒンシツ</t>
    </rPh>
    <rPh sb="10" eb="12">
      <t>キジュン</t>
    </rPh>
    <rPh sb="13" eb="15">
      <t>ニッテイ</t>
    </rPh>
    <rPh sb="15" eb="17">
      <t>チョウセイ</t>
    </rPh>
    <phoneticPr fontId="16"/>
  </si>
  <si>
    <t>出荷</t>
    <rPh sb="0" eb="2">
      <t>シュッカ</t>
    </rPh>
    <phoneticPr fontId="16"/>
  </si>
  <si>
    <t>P/L管理</t>
    <rPh sb="3" eb="5">
      <t>カンリ</t>
    </rPh>
    <phoneticPr fontId="16"/>
  </si>
  <si>
    <t>出荷後のP/Lチェックし、減産していれば補充確認する</t>
    <rPh sb="0" eb="2">
      <t>シュッカ</t>
    </rPh>
    <rPh sb="2" eb="3">
      <t>ゴ</t>
    </rPh>
    <rPh sb="13" eb="15">
      <t>ゲンサン</t>
    </rPh>
    <rPh sb="20" eb="22">
      <t>ホジュウ</t>
    </rPh>
    <rPh sb="22" eb="24">
      <t>カクニン</t>
    </rPh>
    <phoneticPr fontId="16"/>
  </si>
  <si>
    <t>出荷情報確認、P/L・C/Oを連絡(BL、IVは工場からTIへ連絡）</t>
    <rPh sb="0" eb="2">
      <t>シュッカ</t>
    </rPh>
    <rPh sb="2" eb="4">
      <t>ジョウホウ</t>
    </rPh>
    <rPh sb="4" eb="6">
      <t>カ</t>
    </rPh>
    <rPh sb="15" eb="17">
      <t>レンラク</t>
    </rPh>
    <rPh sb="24" eb="26">
      <t>コウジョウ</t>
    </rPh>
    <rPh sb="31" eb="33">
      <t>レンラク</t>
    </rPh>
    <phoneticPr fontId="16"/>
  </si>
  <si>
    <t>日程調整</t>
    <rPh sb="0" eb="2">
      <t>ニッテイ</t>
    </rPh>
    <rPh sb="2" eb="4">
      <t>チョウセイ</t>
    </rPh>
    <phoneticPr fontId="16"/>
  </si>
  <si>
    <t>出荷日・数量の変更依頼を工場と調整</t>
    <rPh sb="0" eb="2">
      <t>シュッカ</t>
    </rPh>
    <rPh sb="2" eb="3">
      <t>ビ</t>
    </rPh>
    <rPh sb="4" eb="6">
      <t>スウリョウ</t>
    </rPh>
    <rPh sb="7" eb="9">
      <t>ヘンコウ</t>
    </rPh>
    <rPh sb="9" eb="11">
      <t>イライ</t>
    </rPh>
    <rPh sb="12" eb="14">
      <t>コウジョウ</t>
    </rPh>
    <rPh sb="15" eb="17">
      <t>チョウセイ</t>
    </rPh>
    <phoneticPr fontId="16"/>
  </si>
  <si>
    <t>工場管理</t>
    <rPh sb="0" eb="2">
      <t>コウジョウ</t>
    </rPh>
    <rPh sb="2" eb="4">
      <t>カンリ</t>
    </rPh>
    <phoneticPr fontId="16"/>
  </si>
  <si>
    <t>備品管理</t>
    <rPh sb="0" eb="2">
      <t>ビヒン</t>
    </rPh>
    <rPh sb="2" eb="4">
      <t>カンリ</t>
    </rPh>
    <phoneticPr fontId="16"/>
  </si>
  <si>
    <t>消耗品管理</t>
    <rPh sb="0" eb="2">
      <t>ショウモウ</t>
    </rPh>
    <rPh sb="2" eb="3">
      <t>ヒン</t>
    </rPh>
    <rPh sb="3" eb="5">
      <t>カンリ</t>
    </rPh>
    <phoneticPr fontId="16"/>
  </si>
  <si>
    <t>工場で必要な消耗品をTIへ発注し受渡伝票を作成する</t>
    <rPh sb="3" eb="5">
      <t>ヒツヨウ</t>
    </rPh>
    <rPh sb="6" eb="8">
      <t>ショウモウ</t>
    </rPh>
    <rPh sb="8" eb="9">
      <t>ヒン</t>
    </rPh>
    <rPh sb="13" eb="15">
      <t>ハッチュウ</t>
    </rPh>
    <rPh sb="16" eb="18">
      <t>ウケワタシ</t>
    </rPh>
    <rPh sb="18" eb="20">
      <t>デンピョウ</t>
    </rPh>
    <rPh sb="21" eb="23">
      <t>サクセイ</t>
    </rPh>
    <phoneticPr fontId="16"/>
  </si>
  <si>
    <t>労務管理</t>
    <rPh sb="0" eb="2">
      <t>ロウム</t>
    </rPh>
    <rPh sb="2" eb="4">
      <t>カンリ</t>
    </rPh>
    <phoneticPr fontId="16"/>
  </si>
  <si>
    <t>出勤簿管理</t>
    <rPh sb="0" eb="2">
      <t>シュッキン</t>
    </rPh>
    <rPh sb="2" eb="3">
      <t>ボ</t>
    </rPh>
    <rPh sb="3" eb="5">
      <t>カンリ</t>
    </rPh>
    <phoneticPr fontId="16"/>
  </si>
  <si>
    <t>その他</t>
    <rPh sb="2" eb="3">
      <t>タ</t>
    </rPh>
    <phoneticPr fontId="16"/>
  </si>
  <si>
    <t>日次作業</t>
  </si>
  <si>
    <t>業務日報</t>
    <rPh sb="0" eb="2">
      <t>ギョウム</t>
    </rPh>
    <rPh sb="2" eb="4">
      <t>ニッポウ</t>
    </rPh>
    <phoneticPr fontId="16"/>
  </si>
  <si>
    <t>当日の行内容をTI東京へ報告</t>
    <rPh sb="0" eb="2">
      <t>トウジツ</t>
    </rPh>
    <rPh sb="3" eb="4">
      <t>ギョウ</t>
    </rPh>
    <rPh sb="4" eb="6">
      <t>ナイヨウ</t>
    </rPh>
    <rPh sb="9" eb="11">
      <t>トウキョウ</t>
    </rPh>
    <rPh sb="12" eb="14">
      <t>ホウコク</t>
    </rPh>
    <phoneticPr fontId="16"/>
  </si>
  <si>
    <t>進捗報告会</t>
    <rPh sb="0" eb="2">
      <t>シンチョク</t>
    </rPh>
    <rPh sb="2" eb="4">
      <t>ホウコク</t>
    </rPh>
    <rPh sb="4" eb="5">
      <t>カイ</t>
    </rPh>
    <phoneticPr fontId="16"/>
  </si>
  <si>
    <t>前日の生産進捗・工員出欠を各工場長より確認</t>
    <rPh sb="0" eb="2">
      <t>ゼンジツ</t>
    </rPh>
    <rPh sb="3" eb="5">
      <t>セ</t>
    </rPh>
    <rPh sb="5" eb="7">
      <t>シンチョク</t>
    </rPh>
    <rPh sb="8" eb="10">
      <t>コウイン</t>
    </rPh>
    <rPh sb="10" eb="12">
      <t>シュッケツ</t>
    </rPh>
    <rPh sb="13" eb="14">
      <t>カク</t>
    </rPh>
    <rPh sb="14" eb="17">
      <t>コウジョウチョウ</t>
    </rPh>
    <rPh sb="19" eb="21">
      <t>カ</t>
    </rPh>
    <phoneticPr fontId="16"/>
  </si>
  <si>
    <t>技術MTG</t>
    <rPh sb="0" eb="2">
      <t>ギジュツ</t>
    </rPh>
    <phoneticPr fontId="16"/>
  </si>
  <si>
    <t>工場技術・品管リーダーより前日のトピックスを確認</t>
    <rPh sb="0" eb="2">
      <t>コウジョウ</t>
    </rPh>
    <rPh sb="2" eb="4">
      <t>ギジュツ</t>
    </rPh>
    <rPh sb="5" eb="7">
      <t>ヒンカン</t>
    </rPh>
    <rPh sb="13" eb="15">
      <t>ゼンジツ</t>
    </rPh>
    <rPh sb="22" eb="24">
      <t>カ</t>
    </rPh>
    <phoneticPr fontId="16"/>
  </si>
  <si>
    <t>工場ラウンド</t>
  </si>
  <si>
    <t>工場報告内容確認</t>
  </si>
  <si>
    <t>HCMより材料引き取り</t>
    <rPh sb="5" eb="7">
      <t>ザイリョウ</t>
    </rPh>
    <rPh sb="7" eb="8">
      <t>ヒ</t>
    </rPh>
    <rPh sb="9" eb="10">
      <t>ト</t>
    </rPh>
    <phoneticPr fontId="16"/>
  </si>
  <si>
    <t>材料引き取り方法確認</t>
    <rPh sb="2" eb="3">
      <t>ヒ</t>
    </rPh>
    <rPh sb="4" eb="5">
      <t>ト</t>
    </rPh>
    <rPh sb="6" eb="8">
      <t>ホウホウ</t>
    </rPh>
    <rPh sb="8" eb="10">
      <t>カ</t>
    </rPh>
    <phoneticPr fontId="16"/>
  </si>
  <si>
    <t>日次</t>
    <phoneticPr fontId="16"/>
  </si>
  <si>
    <t>週次作業</t>
    <rPh sb="0" eb="2">
      <t>シュウジ</t>
    </rPh>
    <rPh sb="2" eb="4">
      <t>サギョウ</t>
    </rPh>
    <phoneticPr fontId="16"/>
  </si>
  <si>
    <t>生産MTG</t>
    <rPh sb="0" eb="2">
      <t>セ</t>
    </rPh>
    <phoneticPr fontId="16"/>
  </si>
  <si>
    <t>次週以降の生産計画を工場と調整・確認</t>
    <rPh sb="0" eb="2">
      <t>ジシュウ</t>
    </rPh>
    <rPh sb="2" eb="4">
      <t>イコウ</t>
    </rPh>
    <rPh sb="5" eb="7">
      <t>セ</t>
    </rPh>
    <rPh sb="7" eb="9">
      <t>ケイカク</t>
    </rPh>
    <rPh sb="10" eb="12">
      <t>コウジョウ</t>
    </rPh>
    <rPh sb="13" eb="15">
      <t>チョウセイ</t>
    </rPh>
    <rPh sb="16" eb="18">
      <t>カ</t>
    </rPh>
    <phoneticPr fontId="16"/>
  </si>
  <si>
    <t>サンプルMTG</t>
    <phoneticPr fontId="16"/>
  </si>
  <si>
    <t>2府先までのサンプル班計画を調整・確認</t>
    <rPh sb="1" eb="2">
      <t>フ</t>
    </rPh>
    <rPh sb="2" eb="3">
      <t>サキ</t>
    </rPh>
    <rPh sb="10" eb="11">
      <t>ハン</t>
    </rPh>
    <rPh sb="11" eb="13">
      <t>ケイカク</t>
    </rPh>
    <rPh sb="14" eb="16">
      <t>チョウセイ</t>
    </rPh>
    <rPh sb="17" eb="19">
      <t>カ</t>
    </rPh>
    <phoneticPr fontId="16"/>
  </si>
  <si>
    <t>業務週報</t>
    <rPh sb="0" eb="2">
      <t>ギョウム</t>
    </rPh>
    <rPh sb="2" eb="4">
      <t>シュウホウ</t>
    </rPh>
    <phoneticPr fontId="16"/>
  </si>
  <si>
    <t>当週の行内容をTI東京へ報告</t>
    <rPh sb="0" eb="1">
      <t>トウ</t>
    </rPh>
    <rPh sb="1" eb="2">
      <t>シュウ</t>
    </rPh>
    <rPh sb="3" eb="4">
      <t>ギョウ</t>
    </rPh>
    <rPh sb="4" eb="6">
      <t>ナイヨウ</t>
    </rPh>
    <rPh sb="9" eb="11">
      <t>トウキョウ</t>
    </rPh>
    <rPh sb="12" eb="14">
      <t>ホウコク</t>
    </rPh>
    <phoneticPr fontId="16"/>
  </si>
  <si>
    <t>計画修正連絡</t>
    <rPh sb="0" eb="2">
      <t>ケイカク</t>
    </rPh>
    <rPh sb="2" eb="4">
      <t>シュウセイ</t>
    </rPh>
    <rPh sb="4" eb="6">
      <t>レ</t>
    </rPh>
    <phoneticPr fontId="16"/>
  </si>
  <si>
    <t>生産管理課へ計画修正案・空きライン・問題点を連絡</t>
    <rPh sb="0" eb="5">
      <t>セ</t>
    </rPh>
    <rPh sb="6" eb="8">
      <t>ケイカク</t>
    </rPh>
    <rPh sb="8" eb="10">
      <t>シュウセイ</t>
    </rPh>
    <rPh sb="10" eb="11">
      <t>アン</t>
    </rPh>
    <rPh sb="12" eb="13">
      <t>ア</t>
    </rPh>
    <rPh sb="18" eb="21">
      <t>モンダイテン</t>
    </rPh>
    <rPh sb="22" eb="24">
      <t>レ</t>
    </rPh>
    <phoneticPr fontId="16"/>
  </si>
  <si>
    <t>プランテーブル修正</t>
    <rPh sb="7" eb="9">
      <t>シュウセイ</t>
    </rPh>
    <phoneticPr fontId="16"/>
  </si>
  <si>
    <t>生産管理課へ修正計画を盛り込んだプランテーブルを送付</t>
    <rPh sb="0" eb="5">
      <t>セ</t>
    </rPh>
    <rPh sb="6" eb="8">
      <t>シュウセイ</t>
    </rPh>
    <rPh sb="8" eb="10">
      <t>ケイカク</t>
    </rPh>
    <rPh sb="11" eb="12">
      <t>モ</t>
    </rPh>
    <rPh sb="13" eb="14">
      <t>コ</t>
    </rPh>
    <rPh sb="24" eb="26">
      <t>ソウフ</t>
    </rPh>
    <phoneticPr fontId="16"/>
  </si>
  <si>
    <t>Update修正内容確認</t>
    <rPh sb="6" eb="8">
      <t>シュウセイ</t>
    </rPh>
    <rPh sb="8" eb="10">
      <t>ナイヨウ</t>
    </rPh>
    <rPh sb="10" eb="12">
      <t>カ</t>
    </rPh>
    <phoneticPr fontId="16"/>
  </si>
  <si>
    <t>計画修正されたUpdateとプランテーブルの照合</t>
    <rPh sb="0" eb="2">
      <t>ケイカク</t>
    </rPh>
    <rPh sb="2" eb="4">
      <t>シュウセイ</t>
    </rPh>
    <rPh sb="22" eb="24">
      <t>ショウゴウ</t>
    </rPh>
    <phoneticPr fontId="16"/>
  </si>
  <si>
    <t>出勤名簿の抜き打ち確認</t>
    <rPh sb="0" eb="2">
      <t>シュッキン</t>
    </rPh>
    <rPh sb="2" eb="4">
      <t>メイボ</t>
    </rPh>
    <rPh sb="5" eb="6">
      <t>ヌ</t>
    </rPh>
    <rPh sb="7" eb="8">
      <t>ウ</t>
    </rPh>
    <rPh sb="9" eb="11">
      <t>カ</t>
    </rPh>
    <phoneticPr fontId="16"/>
  </si>
  <si>
    <t>工場工員の出勤名簿とラインの抜き打ち照合</t>
    <rPh sb="0" eb="2">
      <t>コウジョウ</t>
    </rPh>
    <rPh sb="2" eb="4">
      <t>コウイン</t>
    </rPh>
    <rPh sb="5" eb="7">
      <t>シュッキン</t>
    </rPh>
    <rPh sb="7" eb="9">
      <t>メイボ</t>
    </rPh>
    <rPh sb="14" eb="15">
      <t>ヌ</t>
    </rPh>
    <rPh sb="16" eb="17">
      <t>ウ</t>
    </rPh>
    <rPh sb="18" eb="20">
      <t>ショウゴウ</t>
    </rPh>
    <phoneticPr fontId="16"/>
  </si>
  <si>
    <t>月次作業</t>
    <rPh sb="0" eb="2">
      <t>ゲツジ</t>
    </rPh>
    <rPh sb="2" eb="4">
      <t>サギョウ</t>
    </rPh>
    <phoneticPr fontId="16"/>
  </si>
  <si>
    <t>業務月報</t>
    <rPh sb="0" eb="2">
      <t>ギョウム</t>
    </rPh>
    <rPh sb="2" eb="4">
      <t>ゲッポウ</t>
    </rPh>
    <phoneticPr fontId="16"/>
  </si>
  <si>
    <t>毎月のトピックス・生産実績・要員情報を報告</t>
    <rPh sb="0" eb="2">
      <t>マイツキ</t>
    </rPh>
    <rPh sb="9" eb="11">
      <t>セイサン</t>
    </rPh>
    <rPh sb="11" eb="13">
      <t>ジッセキ</t>
    </rPh>
    <rPh sb="14" eb="16">
      <t>ヨウイン</t>
    </rPh>
    <rPh sb="16" eb="18">
      <t>ジョウホウ</t>
    </rPh>
    <rPh sb="19" eb="21">
      <t>ホウコク</t>
    </rPh>
    <phoneticPr fontId="16"/>
  </si>
  <si>
    <t>材料在庫管理</t>
    <rPh sb="0" eb="2">
      <t>ザイリョウ</t>
    </rPh>
    <rPh sb="2" eb="4">
      <t>ザイコ</t>
    </rPh>
    <rPh sb="4" eb="6">
      <t>カンリ</t>
    </rPh>
    <phoneticPr fontId="16"/>
  </si>
  <si>
    <t>工場算出の材料在庫数をまとめて報告</t>
    <rPh sb="0" eb="2">
      <t>コウジョウ</t>
    </rPh>
    <rPh sb="2" eb="4">
      <t>サンシュツ</t>
    </rPh>
    <rPh sb="5" eb="7">
      <t>ザイリョウ</t>
    </rPh>
    <rPh sb="7" eb="10">
      <t>ザイコスウ</t>
    </rPh>
    <rPh sb="15" eb="17">
      <t>ホウコク</t>
    </rPh>
    <phoneticPr fontId="16"/>
  </si>
  <si>
    <t>製品在庫管理</t>
    <rPh sb="0" eb="2">
      <t>セイヒン</t>
    </rPh>
    <rPh sb="2" eb="4">
      <t>ザイコ</t>
    </rPh>
    <rPh sb="4" eb="6">
      <t>カンリ</t>
    </rPh>
    <phoneticPr fontId="16"/>
  </si>
  <si>
    <t>工場算出の生産実績日報を必要項目毎に計算して報告</t>
    <rPh sb="0" eb="2">
      <t>コウジョウ</t>
    </rPh>
    <rPh sb="2" eb="4">
      <t>サンシュツ</t>
    </rPh>
    <rPh sb="5" eb="7">
      <t>セ</t>
    </rPh>
    <rPh sb="7" eb="9">
      <t>ジッセキ</t>
    </rPh>
    <rPh sb="9" eb="11">
      <t>ニッポウ</t>
    </rPh>
    <rPh sb="12" eb="14">
      <t>ヒツヨウ</t>
    </rPh>
    <rPh sb="14" eb="16">
      <t>コウモク</t>
    </rPh>
    <rPh sb="16" eb="17">
      <t>マイ</t>
    </rPh>
    <rPh sb="18" eb="20">
      <t>ケイサン</t>
    </rPh>
    <rPh sb="22" eb="24">
      <t>ホウコク</t>
    </rPh>
    <phoneticPr fontId="16"/>
  </si>
  <si>
    <t>生産計画・実績報告</t>
    <rPh sb="0" eb="2">
      <t>セ</t>
    </rPh>
    <rPh sb="2" eb="4">
      <t>ケイカク</t>
    </rPh>
    <rPh sb="5" eb="7">
      <t>ジッセキ</t>
    </rPh>
    <rPh sb="7" eb="9">
      <t>ホウコク</t>
    </rPh>
    <phoneticPr fontId="16"/>
  </si>
  <si>
    <t>前月の生産実績と翌月の生産計画を報告</t>
    <rPh sb="0" eb="2">
      <t>ゼンゲツ</t>
    </rPh>
    <rPh sb="3" eb="5">
      <t>セ</t>
    </rPh>
    <rPh sb="5" eb="7">
      <t>ジッセキ</t>
    </rPh>
    <rPh sb="8" eb="10">
      <t>ヨクゲツ</t>
    </rPh>
    <rPh sb="11" eb="13">
      <t>セ</t>
    </rPh>
    <rPh sb="13" eb="15">
      <t>ケイカク</t>
    </rPh>
    <rPh sb="16" eb="18">
      <t>ホウコク</t>
    </rPh>
    <phoneticPr fontId="16"/>
  </si>
  <si>
    <t>機材管理報告</t>
    <rPh sb="0" eb="2">
      <t>キザイ</t>
    </rPh>
    <rPh sb="2" eb="4">
      <t>カンリ</t>
    </rPh>
    <rPh sb="4" eb="6">
      <t>ホウコク</t>
    </rPh>
    <phoneticPr fontId="16"/>
  </si>
  <si>
    <t>工場へ貸し出している機材明細の報告</t>
    <rPh sb="0" eb="2">
      <t>コウジョウ</t>
    </rPh>
    <rPh sb="3" eb="4">
      <t>カ</t>
    </rPh>
    <rPh sb="5" eb="6">
      <t>ダ</t>
    </rPh>
    <rPh sb="10" eb="12">
      <t>キザイ</t>
    </rPh>
    <rPh sb="12" eb="14">
      <t>メイサイ</t>
    </rPh>
    <rPh sb="15" eb="17">
      <t>ホウコク</t>
    </rPh>
    <phoneticPr fontId="16"/>
  </si>
  <si>
    <t>計画・実績情報報告</t>
    <rPh sb="0" eb="2">
      <t>ケイカク</t>
    </rPh>
    <rPh sb="3" eb="5">
      <t>ジッセキ</t>
    </rPh>
    <rPh sb="5" eb="7">
      <t>ジョウホウ</t>
    </rPh>
    <rPh sb="7" eb="9">
      <t>ホウコク</t>
    </rPh>
    <phoneticPr fontId="16"/>
  </si>
  <si>
    <t>品番毎の計画・実績及び早見表計画日数との比較を報告</t>
    <rPh sb="0" eb="2">
      <t>ヒ</t>
    </rPh>
    <rPh sb="2" eb="3">
      <t>マイ</t>
    </rPh>
    <rPh sb="4" eb="6">
      <t>ケイカク</t>
    </rPh>
    <rPh sb="7" eb="9">
      <t>ジッセキ</t>
    </rPh>
    <rPh sb="9" eb="10">
      <t>オヨ</t>
    </rPh>
    <rPh sb="11" eb="14">
      <t>ハヤミヒョウ</t>
    </rPh>
    <rPh sb="14" eb="16">
      <t>ケイカク</t>
    </rPh>
    <rPh sb="16" eb="18">
      <t>ニッスウ</t>
    </rPh>
    <rPh sb="20" eb="22">
      <t>ヒカク</t>
    </rPh>
    <rPh sb="23" eb="25">
      <t>ホウコク</t>
    </rPh>
    <phoneticPr fontId="16"/>
  </si>
  <si>
    <t>2週間ルール外品番報告</t>
    <rPh sb="1" eb="3">
      <t>シュウカン</t>
    </rPh>
    <rPh sb="6" eb="7">
      <t>ガイ</t>
    </rPh>
    <rPh sb="7" eb="9">
      <t>ヒ</t>
    </rPh>
    <rPh sb="9" eb="11">
      <t>ホウコク</t>
    </rPh>
    <phoneticPr fontId="16"/>
  </si>
  <si>
    <t>工場算出の2週間ルール外品番リストを報告</t>
    <rPh sb="0" eb="2">
      <t>コウジョウ</t>
    </rPh>
    <rPh sb="2" eb="4">
      <t>サンシュツ</t>
    </rPh>
    <rPh sb="6" eb="8">
      <t>シュウカン</t>
    </rPh>
    <rPh sb="11" eb="12">
      <t>ガイ</t>
    </rPh>
    <rPh sb="12" eb="14">
      <t>ヒ</t>
    </rPh>
    <rPh sb="18" eb="20">
      <t>ホウコク</t>
    </rPh>
    <phoneticPr fontId="16"/>
  </si>
  <si>
    <t>品質改善報告会議</t>
    <rPh sb="0" eb="2">
      <t>ヒンシツ</t>
    </rPh>
    <rPh sb="2" eb="4">
      <t>カイゼン</t>
    </rPh>
    <rPh sb="4" eb="6">
      <t>ホウコク</t>
    </rPh>
    <rPh sb="6" eb="8">
      <t>カイギ</t>
    </rPh>
    <phoneticPr fontId="16"/>
  </si>
  <si>
    <t>会議資料作成</t>
    <rPh sb="0" eb="2">
      <t>カイギ</t>
    </rPh>
    <rPh sb="2" eb="4">
      <t>シリョウ</t>
    </rPh>
    <rPh sb="4" eb="6">
      <t>サクセイ</t>
    </rPh>
    <phoneticPr fontId="16"/>
  </si>
  <si>
    <t>会議</t>
    <rPh sb="0" eb="2">
      <t>カイギ</t>
    </rPh>
    <phoneticPr fontId="16"/>
  </si>
  <si>
    <t>出勤名簿・D/N照合</t>
    <rPh sb="0" eb="2">
      <t>シュッキン</t>
    </rPh>
    <rPh sb="2" eb="4">
      <t>メイボ</t>
    </rPh>
    <rPh sb="8" eb="10">
      <t>ショウゴウ</t>
    </rPh>
    <phoneticPr fontId="16"/>
  </si>
  <si>
    <t>工員出勤名簿人数とD/N記載人数の照合</t>
    <rPh sb="0" eb="2">
      <t>コウイン</t>
    </rPh>
    <rPh sb="2" eb="4">
      <t>シュッキン</t>
    </rPh>
    <rPh sb="4" eb="6">
      <t>メイボ</t>
    </rPh>
    <rPh sb="6" eb="8">
      <t>ニンズウ</t>
    </rPh>
    <rPh sb="12" eb="14">
      <t>キサイ</t>
    </rPh>
    <rPh sb="14" eb="16">
      <t>ニンズウ</t>
    </rPh>
    <rPh sb="17" eb="19">
      <t>ショウゴウ</t>
    </rPh>
    <phoneticPr fontId="16"/>
  </si>
  <si>
    <t>TIVNスタッフ労務管理</t>
    <rPh sb="8" eb="10">
      <t>ロウム</t>
    </rPh>
    <rPh sb="10" eb="12">
      <t>カンリ</t>
    </rPh>
    <phoneticPr fontId="16"/>
  </si>
  <si>
    <t>TIVNスタッフのタイムカード確認及び残業時間確認</t>
    <rPh sb="15" eb="17">
      <t>カ</t>
    </rPh>
    <rPh sb="17" eb="18">
      <t>オヨ</t>
    </rPh>
    <rPh sb="19" eb="21">
      <t>ザンギョウ</t>
    </rPh>
    <rPh sb="21" eb="23">
      <t>ジカン</t>
    </rPh>
    <rPh sb="23" eb="25">
      <t>カ</t>
    </rPh>
    <phoneticPr fontId="16"/>
  </si>
  <si>
    <t>合計</t>
    <rPh sb="0" eb="2">
      <t>ゴウケイ</t>
    </rPh>
    <phoneticPr fontId="16"/>
  </si>
  <si>
    <t>※1 再販先からの要望に応じ、生産者として適切かチェックする行為</t>
    <phoneticPr fontId="5"/>
  </si>
  <si>
    <t>※2 あくまでも二次加工の作業自体は工場で実施。必要に応じ日本に連絡。</t>
    <rPh sb="8" eb="10">
      <t>ニジ</t>
    </rPh>
    <rPh sb="10" eb="12">
      <t>カコウ</t>
    </rPh>
    <rPh sb="13" eb="15">
      <t>サギョウ</t>
    </rPh>
    <rPh sb="15" eb="17">
      <t>ジタイ</t>
    </rPh>
    <rPh sb="18" eb="20">
      <t>コウジョウ</t>
    </rPh>
    <rPh sb="21" eb="23">
      <t>ジッシ</t>
    </rPh>
    <rPh sb="24" eb="26">
      <t>ヒツヨウ</t>
    </rPh>
    <rPh sb="27" eb="28">
      <t>オウ</t>
    </rPh>
    <rPh sb="29" eb="31">
      <t>ニホン</t>
    </rPh>
    <rPh sb="32" eb="34">
      <t>レンラク</t>
    </rPh>
    <phoneticPr fontId="5"/>
  </si>
  <si>
    <t>※3 検査の実行者は工場、TIVNは各検査に対し、適切に実施されているかの管理</t>
    <rPh sb="3" eb="5">
      <t>ケンサ</t>
    </rPh>
    <rPh sb="6" eb="9">
      <t>ジッコウシャ</t>
    </rPh>
    <rPh sb="10" eb="12">
      <t>コウジョウ</t>
    </rPh>
    <rPh sb="18" eb="19">
      <t>カク</t>
    </rPh>
    <rPh sb="19" eb="21">
      <t>ケンサ</t>
    </rPh>
    <rPh sb="22" eb="23">
      <t>タイ</t>
    </rPh>
    <rPh sb="25" eb="27">
      <t>テキセツ</t>
    </rPh>
    <rPh sb="28" eb="30">
      <t>ジッシ</t>
    </rPh>
    <rPh sb="37" eb="39">
      <t>カンリ</t>
    </rPh>
    <phoneticPr fontId="5"/>
  </si>
  <si>
    <t>BTNB TIVNスタッフ業務分析表/2023年度業務委託料配分</t>
  </si>
  <si>
    <t>＊進捗管理スタッフは日本営業の現地サポート役と位置付けており、来客対応から各々が全てをブランド括りで業務処理をしている、</t>
    <rPh sb="1" eb="3">
      <t>シンチョク</t>
    </rPh>
    <rPh sb="3" eb="5">
      <t>カンリ</t>
    </rPh>
    <rPh sb="10" eb="12">
      <t>ニホン</t>
    </rPh>
    <rPh sb="12" eb="14">
      <t>エイギョウ</t>
    </rPh>
    <rPh sb="15" eb="17">
      <t>ゲンチ</t>
    </rPh>
    <rPh sb="21" eb="22">
      <t>ヤク</t>
    </rPh>
    <rPh sb="23" eb="25">
      <t>イチ</t>
    </rPh>
    <rPh sb="25" eb="26">
      <t>ツ</t>
    </rPh>
    <rPh sb="31" eb="33">
      <t>ライキャク</t>
    </rPh>
    <rPh sb="33" eb="35">
      <t>タイオウ</t>
    </rPh>
    <rPh sb="37" eb="39">
      <t>オノオノ</t>
    </rPh>
    <rPh sb="40" eb="41">
      <t>スベ</t>
    </rPh>
    <rPh sb="47" eb="48">
      <t>クク</t>
    </rPh>
    <rPh sb="50" eb="52">
      <t>ギョウム</t>
    </rPh>
    <rPh sb="52" eb="54">
      <t>ショリ</t>
    </rPh>
    <phoneticPr fontId="5"/>
  </si>
  <si>
    <t>Inoue</t>
  </si>
  <si>
    <t>Araki</t>
  </si>
  <si>
    <t>Thong</t>
    <phoneticPr fontId="5"/>
  </si>
  <si>
    <t>Tuong</t>
    <phoneticPr fontId="5"/>
  </si>
  <si>
    <t>Nhi</t>
    <phoneticPr fontId="5"/>
  </si>
  <si>
    <t>T_Van</t>
    <phoneticPr fontId="5"/>
  </si>
  <si>
    <t>Tuan</t>
    <phoneticPr fontId="5"/>
  </si>
  <si>
    <t>Trinh</t>
  </si>
  <si>
    <t>H_Van</t>
    <phoneticPr fontId="5"/>
  </si>
  <si>
    <t>Chau</t>
    <phoneticPr fontId="5"/>
  </si>
  <si>
    <t>Minh</t>
    <phoneticPr fontId="5"/>
  </si>
  <si>
    <t>Thu</t>
    <phoneticPr fontId="5"/>
  </si>
  <si>
    <t>Hoa</t>
  </si>
  <si>
    <t>TIVNへの生産管理業委託費予算（案）2023年度</t>
    <rPh sb="6" eb="8">
      <t>セイサン</t>
    </rPh>
    <rPh sb="8" eb="10">
      <t>カンリ</t>
    </rPh>
    <rPh sb="10" eb="11">
      <t>ギョウ</t>
    </rPh>
    <rPh sb="11" eb="13">
      <t>イタク</t>
    </rPh>
    <rPh sb="13" eb="14">
      <t>ヒ</t>
    </rPh>
    <rPh sb="14" eb="16">
      <t>ヨサン</t>
    </rPh>
    <rPh sb="17" eb="18">
      <t>アン</t>
    </rPh>
    <rPh sb="23" eb="24">
      <t>ネン</t>
    </rPh>
    <rPh sb="24" eb="25">
      <t>ド</t>
    </rPh>
    <phoneticPr fontId="5"/>
  </si>
  <si>
    <t>【ベトナム人】</t>
    <rPh sb="5" eb="6">
      <t>ジン</t>
    </rPh>
    <phoneticPr fontId="5"/>
  </si>
  <si>
    <t>APIC</t>
    <phoneticPr fontId="5"/>
  </si>
  <si>
    <t>BTNB</t>
    <phoneticPr fontId="5"/>
  </si>
  <si>
    <t>APIC+BTNB 合計</t>
    <rPh sb="10" eb="12">
      <t>ゴウケイ</t>
    </rPh>
    <phoneticPr fontId="5"/>
  </si>
  <si>
    <t>TIVN QN</t>
    <phoneticPr fontId="5"/>
  </si>
  <si>
    <t>TIVN HCM</t>
    <phoneticPr fontId="5"/>
  </si>
  <si>
    <t>直課業務委託費計</t>
    <rPh sb="0" eb="1">
      <t>チョク</t>
    </rPh>
    <rPh sb="1" eb="2">
      <t>カ</t>
    </rPh>
    <rPh sb="2" eb="4">
      <t>ギョウム</t>
    </rPh>
    <rPh sb="4" eb="6">
      <t>イタク</t>
    </rPh>
    <rPh sb="6" eb="7">
      <t>ヒ</t>
    </rPh>
    <rPh sb="7" eb="8">
      <t>ケイ</t>
    </rPh>
    <phoneticPr fontId="5"/>
  </si>
  <si>
    <t>（単位：千US$）</t>
    <rPh sb="1" eb="3">
      <t>タンイ</t>
    </rPh>
    <rPh sb="4" eb="5">
      <t>セン</t>
    </rPh>
    <phoneticPr fontId="5"/>
  </si>
  <si>
    <t>22予</t>
    <rPh sb="2" eb="3">
      <t>ヨ</t>
    </rPh>
    <phoneticPr fontId="5"/>
  </si>
  <si>
    <t>22実</t>
    <rPh sb="2" eb="3">
      <t>ジツ</t>
    </rPh>
    <phoneticPr fontId="5"/>
  </si>
  <si>
    <t>23予</t>
    <rPh sb="2" eb="3">
      <t>ヨ</t>
    </rPh>
    <phoneticPr fontId="5"/>
  </si>
  <si>
    <t>差異</t>
    <rPh sb="0" eb="2">
      <t>サイ</t>
    </rPh>
    <phoneticPr fontId="5"/>
  </si>
  <si>
    <t>率</t>
    <rPh sb="0" eb="1">
      <t>リツ</t>
    </rPh>
    <phoneticPr fontId="5"/>
  </si>
  <si>
    <t>A</t>
    <phoneticPr fontId="5"/>
  </si>
  <si>
    <t>B</t>
    <phoneticPr fontId="5"/>
  </si>
  <si>
    <t>C</t>
    <phoneticPr fontId="5"/>
  </si>
  <si>
    <t>C-B</t>
    <phoneticPr fontId="5"/>
  </si>
  <si>
    <t>C/B</t>
    <phoneticPr fontId="5"/>
  </si>
  <si>
    <t>要員数（人）</t>
    <rPh sb="0" eb="2">
      <t>ヨウイン</t>
    </rPh>
    <rPh sb="2" eb="3">
      <t>スウ</t>
    </rPh>
    <rPh sb="4" eb="5">
      <t>ニン</t>
    </rPh>
    <phoneticPr fontId="5"/>
  </si>
  <si>
    <t>賃金=22年予算比7％UP</t>
    <rPh sb="0" eb="2">
      <t>チンギン</t>
    </rPh>
    <rPh sb="5" eb="6">
      <t>ネン</t>
    </rPh>
    <rPh sb="6" eb="8">
      <t>ヨサン</t>
    </rPh>
    <rPh sb="8" eb="9">
      <t>ヒ</t>
    </rPh>
    <phoneticPr fontId="5"/>
  </si>
  <si>
    <t>賃金</t>
    <rPh sb="0" eb="2">
      <t>チンギン</t>
    </rPh>
    <phoneticPr fontId="5"/>
  </si>
  <si>
    <t>社会保険</t>
    <rPh sb="0" eb="2">
      <t>シャカイ</t>
    </rPh>
    <rPh sb="2" eb="4">
      <t>ホケン</t>
    </rPh>
    <phoneticPr fontId="5"/>
  </si>
  <si>
    <t>福利厚生費</t>
    <rPh sb="0" eb="2">
      <t>フクリ</t>
    </rPh>
    <rPh sb="2" eb="4">
      <t>コウセイ</t>
    </rPh>
    <rPh sb="4" eb="5">
      <t>ヒ</t>
    </rPh>
    <phoneticPr fontId="5"/>
  </si>
  <si>
    <t>労務費計</t>
    <rPh sb="0" eb="3">
      <t>ロウムヒ</t>
    </rPh>
    <rPh sb="3" eb="4">
      <t>ケイ</t>
    </rPh>
    <phoneticPr fontId="5"/>
  </si>
  <si>
    <t>海外旅費</t>
    <rPh sb="0" eb="2">
      <t>カイガイ</t>
    </rPh>
    <rPh sb="2" eb="4">
      <t>リョヒ</t>
    </rPh>
    <phoneticPr fontId="5"/>
  </si>
  <si>
    <t>国内旅費</t>
    <rPh sb="0" eb="2">
      <t>コクナイ</t>
    </rPh>
    <rPh sb="2" eb="4">
      <t>リョヒ</t>
    </rPh>
    <phoneticPr fontId="5"/>
  </si>
  <si>
    <t>交際・会議費</t>
    <rPh sb="0" eb="2">
      <t>コウサイ</t>
    </rPh>
    <rPh sb="3" eb="5">
      <t>カイギ</t>
    </rPh>
    <rPh sb="5" eb="6">
      <t>ヒ</t>
    </rPh>
    <phoneticPr fontId="5"/>
  </si>
  <si>
    <t>査定経費計</t>
    <rPh sb="0" eb="2">
      <t>サテイ</t>
    </rPh>
    <rPh sb="2" eb="4">
      <t>ケイヒ</t>
    </rPh>
    <rPh sb="4" eb="5">
      <t>ケイ</t>
    </rPh>
    <phoneticPr fontId="5"/>
  </si>
  <si>
    <t>通信費</t>
    <rPh sb="0" eb="2">
      <t>ツウシン</t>
    </rPh>
    <rPh sb="2" eb="3">
      <t>ヒ</t>
    </rPh>
    <phoneticPr fontId="5"/>
  </si>
  <si>
    <t>レンタカー</t>
    <phoneticPr fontId="5"/>
  </si>
  <si>
    <t>光熱費</t>
    <rPh sb="0" eb="3">
      <t>コウネツヒ</t>
    </rPh>
    <phoneticPr fontId="5"/>
  </si>
  <si>
    <t>リース・保守</t>
    <rPh sb="4" eb="6">
      <t>ホシュ</t>
    </rPh>
    <phoneticPr fontId="5"/>
  </si>
  <si>
    <t>消耗品費</t>
    <rPh sb="0" eb="2">
      <t>ショウモウ</t>
    </rPh>
    <rPh sb="2" eb="3">
      <t>ヒン</t>
    </rPh>
    <rPh sb="3" eb="4">
      <t>ヒ</t>
    </rPh>
    <phoneticPr fontId="5"/>
  </si>
  <si>
    <t>雑費</t>
    <rPh sb="0" eb="2">
      <t>ザッピ</t>
    </rPh>
    <phoneticPr fontId="5"/>
  </si>
  <si>
    <t>その他</t>
    <rPh sb="2" eb="3">
      <t>タ</t>
    </rPh>
    <phoneticPr fontId="5"/>
  </si>
  <si>
    <t>一般経費計</t>
    <rPh sb="0" eb="2">
      <t>イッパン</t>
    </rPh>
    <rPh sb="2" eb="4">
      <t>ケイヒ</t>
    </rPh>
    <rPh sb="4" eb="5">
      <t>ケイ</t>
    </rPh>
    <phoneticPr fontId="5"/>
  </si>
  <si>
    <t>経費合計</t>
    <rPh sb="0" eb="2">
      <t>ケイヒ</t>
    </rPh>
    <rPh sb="2" eb="4">
      <t>ゴウケイ</t>
    </rPh>
    <phoneticPr fontId="5"/>
  </si>
  <si>
    <t>【日本人】</t>
    <rPh sb="1" eb="3">
      <t>ニホン</t>
    </rPh>
    <rPh sb="3" eb="4">
      <t>ジン</t>
    </rPh>
    <phoneticPr fontId="5"/>
  </si>
  <si>
    <t>TIVN QN</t>
  </si>
  <si>
    <t>福田 （23年度再計算値）</t>
    <rPh sb="0" eb="2">
      <t>フクダ</t>
    </rPh>
    <rPh sb="6" eb="7">
      <t>ネン</t>
    </rPh>
    <rPh sb="7" eb="8">
      <t>ド</t>
    </rPh>
    <rPh sb="8" eb="9">
      <t>サイ</t>
    </rPh>
    <rPh sb="9" eb="11">
      <t>ケイサン</t>
    </rPh>
    <rPh sb="11" eb="12">
      <t>チ</t>
    </rPh>
    <phoneticPr fontId="5"/>
  </si>
  <si>
    <t>荒木（23年度再計算値）</t>
    <rPh sb="0" eb="2">
      <t>アラキ</t>
    </rPh>
    <rPh sb="5" eb="6">
      <t>ネン</t>
    </rPh>
    <rPh sb="6" eb="7">
      <t>ド</t>
    </rPh>
    <rPh sb="7" eb="8">
      <t>サイ</t>
    </rPh>
    <rPh sb="8" eb="10">
      <t>ケイサン</t>
    </rPh>
    <rPh sb="10" eb="11">
      <t>チ</t>
    </rPh>
    <phoneticPr fontId="5"/>
  </si>
  <si>
    <t>横山　柿沼　荒谷（新規設定）</t>
    <rPh sb="0" eb="2">
      <t>ヨコヤマ</t>
    </rPh>
    <rPh sb="3" eb="5">
      <t>カキヌマ</t>
    </rPh>
    <rPh sb="6" eb="8">
      <t>アラヤ</t>
    </rPh>
    <rPh sb="9" eb="11">
      <t>シンキ</t>
    </rPh>
    <rPh sb="11" eb="13">
      <t>セッテイ</t>
    </rPh>
    <phoneticPr fontId="5"/>
  </si>
  <si>
    <t>泉 井上 山本（前年×5.63%UP)</t>
    <rPh sb="0" eb="1">
      <t>イズミ</t>
    </rPh>
    <rPh sb="2" eb="4">
      <t>イノウエ</t>
    </rPh>
    <rPh sb="5" eb="7">
      <t>ヤマモト</t>
    </rPh>
    <rPh sb="8" eb="10">
      <t>ゼンネン</t>
    </rPh>
    <phoneticPr fontId="5"/>
  </si>
  <si>
    <t>業務委託料（給与）</t>
    <rPh sb="0" eb="2">
      <t>ギョウム</t>
    </rPh>
    <rPh sb="2" eb="4">
      <t>イタク</t>
    </rPh>
    <rPh sb="4" eb="5">
      <t>リョウ</t>
    </rPh>
    <rPh sb="6" eb="8">
      <t>キュウヨ</t>
    </rPh>
    <phoneticPr fontId="5"/>
  </si>
  <si>
    <t>所得税（全世界）</t>
    <rPh sb="0" eb="3">
      <t>ショトクゼイ</t>
    </rPh>
    <rPh sb="4" eb="7">
      <t>ゼンセカイ</t>
    </rPh>
    <phoneticPr fontId="5"/>
  </si>
  <si>
    <t>委託料以外諸費用</t>
    <rPh sb="0" eb="2">
      <t>イタク</t>
    </rPh>
    <rPh sb="2" eb="3">
      <t>リョウ</t>
    </rPh>
    <rPh sb="3" eb="5">
      <t>イガイ</t>
    </rPh>
    <rPh sb="5" eb="6">
      <t>ショ</t>
    </rPh>
    <rPh sb="6" eb="8">
      <t>ヒヨウ</t>
    </rPh>
    <phoneticPr fontId="5"/>
  </si>
  <si>
    <t>外国人契約税</t>
    <rPh sb="0" eb="2">
      <t>ガイコク</t>
    </rPh>
    <rPh sb="2" eb="3">
      <t>ジン</t>
    </rPh>
    <rPh sb="3" eb="5">
      <t>ケイヤク</t>
    </rPh>
    <rPh sb="5" eb="6">
      <t>ゼイ</t>
    </rPh>
    <phoneticPr fontId="5"/>
  </si>
  <si>
    <t>アパート家賃</t>
    <rPh sb="4" eb="6">
      <t>ヤチン</t>
    </rPh>
    <phoneticPr fontId="5"/>
  </si>
  <si>
    <t>委託費(労務費)計</t>
    <rPh sb="0" eb="2">
      <t>イタク</t>
    </rPh>
    <rPh sb="2" eb="3">
      <t>ヒ</t>
    </rPh>
    <rPh sb="4" eb="7">
      <t>ロウムヒ</t>
    </rPh>
    <rPh sb="8" eb="9">
      <t>ケイ</t>
    </rPh>
    <phoneticPr fontId="5"/>
  </si>
  <si>
    <t>リース・保守・家賃</t>
    <rPh sb="4" eb="6">
      <t>ホシュ</t>
    </rPh>
    <rPh sb="7" eb="9">
      <t>ヤチン</t>
    </rPh>
    <phoneticPr fontId="5"/>
  </si>
  <si>
    <t>コンサル費用</t>
    <rPh sb="4" eb="6">
      <t>ヒヨウ</t>
    </rPh>
    <phoneticPr fontId="5"/>
  </si>
  <si>
    <t>労務費合計</t>
    <rPh sb="0" eb="3">
      <t>ロウムヒ</t>
    </rPh>
    <rPh sb="3" eb="5">
      <t>ゴウケイ</t>
    </rPh>
    <phoneticPr fontId="5"/>
  </si>
  <si>
    <t>査定経費合計</t>
    <rPh sb="0" eb="2">
      <t>サテイ</t>
    </rPh>
    <rPh sb="2" eb="4">
      <t>ケイヒ</t>
    </rPh>
    <rPh sb="4" eb="6">
      <t>ゴウケイ</t>
    </rPh>
    <phoneticPr fontId="5"/>
  </si>
  <si>
    <t>一般経費合計</t>
    <rPh sb="0" eb="2">
      <t>イッパン</t>
    </rPh>
    <rPh sb="2" eb="4">
      <t>ケイヒ</t>
    </rPh>
    <rPh sb="4" eb="6">
      <t>ゴウケイ</t>
    </rPh>
    <phoneticPr fontId="5"/>
  </si>
  <si>
    <t>経費総計</t>
    <rPh sb="0" eb="2">
      <t>ケイヒ</t>
    </rPh>
    <rPh sb="2" eb="4">
      <t>ソウケイ</t>
    </rPh>
    <phoneticPr fontId="5"/>
  </si>
  <si>
    <t>TIVNﾏﾈｰｼﾞﾒﾝﾄ</t>
    <phoneticPr fontId="5"/>
  </si>
  <si>
    <t>上期</t>
    <rPh sb="0" eb="2">
      <t>カミキ</t>
    </rPh>
    <phoneticPr fontId="5"/>
  </si>
  <si>
    <t>人数比配賦率</t>
    <rPh sb="0" eb="2">
      <t>ニンズウ</t>
    </rPh>
    <rPh sb="2" eb="3">
      <t>ヒ</t>
    </rPh>
    <rPh sb="3" eb="5">
      <t>ハイフ</t>
    </rPh>
    <rPh sb="5" eb="6">
      <t>リツ</t>
    </rPh>
    <phoneticPr fontId="5"/>
  </si>
  <si>
    <t>下期</t>
    <rPh sb="0" eb="2">
      <t>シモキ</t>
    </rPh>
    <phoneticPr fontId="5"/>
  </si>
  <si>
    <t>TIVNﾏﾈｰｼﾞﾒﾝﾄ　計</t>
    <rPh sb="13" eb="14">
      <t>ケイ</t>
    </rPh>
    <phoneticPr fontId="5"/>
  </si>
  <si>
    <t>マージン</t>
    <phoneticPr fontId="5"/>
  </si>
  <si>
    <t>VAT</t>
    <phoneticPr fontId="5"/>
  </si>
  <si>
    <t>業務委託支払い額</t>
    <rPh sb="0" eb="2">
      <t>ギョウム</t>
    </rPh>
    <rPh sb="2" eb="4">
      <t>イタク</t>
    </rPh>
    <rPh sb="4" eb="6">
      <t>シハラ</t>
    </rPh>
    <rPh sb="7" eb="8">
      <t>ガク</t>
    </rPh>
    <phoneticPr fontId="5"/>
  </si>
  <si>
    <t>BTNB業務委託者22年度比1名減</t>
    <rPh sb="4" eb="6">
      <t>ギョウム</t>
    </rPh>
    <rPh sb="6" eb="8">
      <t>イタク</t>
    </rPh>
    <rPh sb="8" eb="9">
      <t>シャ</t>
    </rPh>
    <rPh sb="11" eb="13">
      <t>ネンド</t>
    </rPh>
    <rPh sb="13" eb="14">
      <t>ヒ</t>
    </rPh>
    <rPh sb="15" eb="16">
      <t>メイ</t>
    </rPh>
    <rPh sb="16" eb="17">
      <t>ゲン</t>
    </rPh>
    <phoneticPr fontId="5"/>
  </si>
  <si>
    <t>APIC BTNB TI出向者2名　HCM移管</t>
    <rPh sb="12" eb="14">
      <t>シュッコウ</t>
    </rPh>
    <rPh sb="14" eb="15">
      <t>シャ</t>
    </rPh>
    <rPh sb="16" eb="17">
      <t>メイ</t>
    </rPh>
    <rPh sb="21" eb="23">
      <t>イカン</t>
    </rPh>
    <phoneticPr fontId="5"/>
  </si>
  <si>
    <t>APIC、BTNB生産の輸入における包括評価関連会議</t>
    <rPh sb="9" eb="11">
      <t>セイサン</t>
    </rPh>
    <rPh sb="12" eb="14">
      <t>ユニュウ</t>
    </rPh>
    <rPh sb="18" eb="20">
      <t>ホウカツ</t>
    </rPh>
    <rPh sb="20" eb="22">
      <t>ヒョウカ</t>
    </rPh>
    <rPh sb="22" eb="24">
      <t>カンレン</t>
    </rPh>
    <rPh sb="24" eb="26">
      <t>カイギ</t>
    </rPh>
    <phoneticPr fontId="5"/>
  </si>
  <si>
    <t>日にち：10/31（火）16：00～</t>
    <rPh sb="0" eb="1">
      <t>ヒ</t>
    </rPh>
    <rPh sb="10" eb="11">
      <t>カ</t>
    </rPh>
    <phoneticPr fontId="5"/>
  </si>
  <si>
    <t>場所　：4階ブース</t>
    <rPh sb="0" eb="2">
      <t>バショ</t>
    </rPh>
    <rPh sb="5" eb="6">
      <t>カイ</t>
    </rPh>
    <phoneticPr fontId="5"/>
  </si>
  <si>
    <t>参加者：アパレル事業企画推進課 石坂課長、片田課員</t>
    <rPh sb="0" eb="3">
      <t>サンカシャ</t>
    </rPh>
    <rPh sb="8" eb="10">
      <t>ジギョウ</t>
    </rPh>
    <rPh sb="10" eb="12">
      <t>キカク</t>
    </rPh>
    <rPh sb="12" eb="14">
      <t>スイシン</t>
    </rPh>
    <rPh sb="14" eb="15">
      <t>カ</t>
    </rPh>
    <rPh sb="16" eb="18">
      <t>イシザカ</t>
    </rPh>
    <rPh sb="18" eb="20">
      <t>カチョウ</t>
    </rPh>
    <rPh sb="21" eb="23">
      <t>カタダ</t>
    </rPh>
    <rPh sb="23" eb="25">
      <t>カイン</t>
    </rPh>
    <phoneticPr fontId="5"/>
  </si>
  <si>
    <t>　　　　アパレル物流課　田中</t>
    <rPh sb="8" eb="10">
      <t>ブツリュウ</t>
    </rPh>
    <rPh sb="10" eb="11">
      <t>カ</t>
    </rPh>
    <rPh sb="12" eb="14">
      <t>タナカ</t>
    </rPh>
    <rPh sb="13" eb="14">
      <t>サダ</t>
    </rPh>
    <phoneticPr fontId="5"/>
  </si>
  <si>
    <t>議題１：これまでの変遷と現段階の進捗、今後の検討事項説明</t>
    <rPh sb="0" eb="2">
      <t>ギダイ</t>
    </rPh>
    <rPh sb="9" eb="11">
      <t>ヘンセン</t>
    </rPh>
    <rPh sb="12" eb="15">
      <t>ゲンダンカイ</t>
    </rPh>
    <rPh sb="16" eb="18">
      <t>シンチョク</t>
    </rPh>
    <rPh sb="19" eb="21">
      <t>コンゴ</t>
    </rPh>
    <rPh sb="22" eb="24">
      <t>ケントウ</t>
    </rPh>
    <rPh sb="24" eb="26">
      <t>ジコウ</t>
    </rPh>
    <rPh sb="26" eb="28">
      <t>セツメイ</t>
    </rPh>
    <phoneticPr fontId="5"/>
  </si>
  <si>
    <t>・10月18日　：神戸税関とTIVNの業務委託費用に係る包括評価申請の協議大詰め</t>
    <rPh sb="3" eb="4">
      <t>ガツ</t>
    </rPh>
    <rPh sb="6" eb="7">
      <t>ニチ</t>
    </rPh>
    <rPh sb="9" eb="11">
      <t>コウベ</t>
    </rPh>
    <rPh sb="11" eb="13">
      <t>ゼイカン</t>
    </rPh>
    <rPh sb="19" eb="21">
      <t>ギョウム</t>
    </rPh>
    <rPh sb="21" eb="23">
      <t>イタク</t>
    </rPh>
    <rPh sb="23" eb="25">
      <t>ヒヨウ</t>
    </rPh>
    <rPh sb="26" eb="27">
      <t>カカ</t>
    </rPh>
    <rPh sb="28" eb="30">
      <t>ホウカツ</t>
    </rPh>
    <rPh sb="30" eb="32">
      <t>ヒョウカ</t>
    </rPh>
    <rPh sb="32" eb="34">
      <t>シンセイ</t>
    </rPh>
    <rPh sb="35" eb="37">
      <t>キョウギ</t>
    </rPh>
    <rPh sb="37" eb="39">
      <t>オオヅ</t>
    </rPh>
    <phoneticPr fontId="5"/>
  </si>
  <si>
    <t>・10月中　　：包括評価申請　正式に提出完了</t>
    <rPh sb="3" eb="4">
      <t>ガツ</t>
    </rPh>
    <rPh sb="4" eb="5">
      <t>チュウ</t>
    </rPh>
    <rPh sb="8" eb="10">
      <t>ホウカツ</t>
    </rPh>
    <rPh sb="10" eb="12">
      <t>ヒョウカ</t>
    </rPh>
    <rPh sb="12" eb="14">
      <t>シンセイ</t>
    </rPh>
    <rPh sb="15" eb="17">
      <t>セイシキ</t>
    </rPh>
    <rPh sb="18" eb="20">
      <t>テイシュツ</t>
    </rPh>
    <rPh sb="20" eb="22">
      <t>カンリョウ</t>
    </rPh>
    <phoneticPr fontId="5"/>
  </si>
  <si>
    <t>・11月中　　：受理される見込み(神戸税関担当官 情報）</t>
    <rPh sb="3" eb="4">
      <t>ガツ</t>
    </rPh>
    <rPh sb="4" eb="5">
      <t>チュウ</t>
    </rPh>
    <rPh sb="8" eb="10">
      <t>ジュリ</t>
    </rPh>
    <rPh sb="13" eb="15">
      <t>ミコ</t>
    </rPh>
    <rPh sb="17" eb="19">
      <t>コウベ</t>
    </rPh>
    <rPh sb="19" eb="21">
      <t>ゼイカン</t>
    </rPh>
    <rPh sb="21" eb="24">
      <t>タントウカン</t>
    </rPh>
    <rPh sb="25" eb="27">
      <t>ジョウホウ</t>
    </rPh>
    <phoneticPr fontId="5"/>
  </si>
  <si>
    <t>・12月～　　：TIVN業務委託費用のうち加算すべき費用の個別評価加算＝納税開始</t>
    <rPh sb="3" eb="4">
      <t>ガツ</t>
    </rPh>
    <rPh sb="12" eb="14">
      <t>ギョウム</t>
    </rPh>
    <rPh sb="14" eb="16">
      <t>イタク</t>
    </rPh>
    <rPh sb="16" eb="18">
      <t>ヒヨウ</t>
    </rPh>
    <rPh sb="21" eb="23">
      <t>カサン</t>
    </rPh>
    <rPh sb="26" eb="28">
      <t>ヒヨウ</t>
    </rPh>
    <rPh sb="29" eb="31">
      <t>コベツ</t>
    </rPh>
    <rPh sb="31" eb="33">
      <t>ヒョウカ</t>
    </rPh>
    <rPh sb="33" eb="35">
      <t>カサン</t>
    </rPh>
    <rPh sb="36" eb="38">
      <t>ノウゼイ</t>
    </rPh>
    <rPh sb="38" eb="40">
      <t>カイシ</t>
    </rPh>
    <phoneticPr fontId="5"/>
  </si>
  <si>
    <t>・将来的　　：インボイスに組込むべきか検討。その場合は包括評価申請の変更届が必要</t>
    <rPh sb="1" eb="4">
      <t>ショウライテキ</t>
    </rPh>
    <rPh sb="13" eb="15">
      <t>クミコ</t>
    </rPh>
    <rPh sb="19" eb="21">
      <t>ケントウ</t>
    </rPh>
    <rPh sb="24" eb="26">
      <t>バアイ</t>
    </rPh>
    <rPh sb="27" eb="29">
      <t>ホウカツ</t>
    </rPh>
    <rPh sb="29" eb="31">
      <t>ヒョウカ</t>
    </rPh>
    <rPh sb="31" eb="33">
      <t>シンセイ</t>
    </rPh>
    <rPh sb="34" eb="36">
      <t>ヘンコウ</t>
    </rPh>
    <rPh sb="36" eb="37">
      <t>トドケ</t>
    </rPh>
    <rPh sb="38" eb="40">
      <t>ヒツヨウ</t>
    </rPh>
    <phoneticPr fontId="5"/>
  </si>
  <si>
    <t>議題２：課税対象となるTIVN業務委託手数料</t>
    <rPh sb="0" eb="2">
      <t>ギダイ</t>
    </rPh>
    <rPh sb="4" eb="6">
      <t>カゼイ</t>
    </rPh>
    <rPh sb="6" eb="8">
      <t>タイショウ</t>
    </rPh>
    <rPh sb="15" eb="17">
      <t>ギョウム</t>
    </rPh>
    <rPh sb="17" eb="19">
      <t>イタク</t>
    </rPh>
    <rPh sb="19" eb="21">
      <t>テスウ</t>
    </rPh>
    <rPh sb="21" eb="22">
      <t>リョウ</t>
    </rPh>
    <phoneticPr fontId="5"/>
  </si>
  <si>
    <t>÷12＝</t>
    <phoneticPr fontId="5"/>
  </si>
  <si>
    <t>★</t>
    <phoneticPr fontId="5"/>
  </si>
  <si>
    <t>　月々の加算すべき額(★印分)を枚数按分し、各輸入申告にて評価加算できるようにエビデンスを発行。</t>
    <rPh sb="1" eb="3">
      <t>ツキヅキ</t>
    </rPh>
    <rPh sb="4" eb="6">
      <t>カサン</t>
    </rPh>
    <rPh sb="9" eb="10">
      <t>ガク</t>
    </rPh>
    <rPh sb="12" eb="13">
      <t>ジルシ</t>
    </rPh>
    <rPh sb="13" eb="14">
      <t>ブン</t>
    </rPh>
    <rPh sb="16" eb="18">
      <t>マイスウ</t>
    </rPh>
    <rPh sb="18" eb="20">
      <t>アンブン</t>
    </rPh>
    <rPh sb="22" eb="23">
      <t>カク</t>
    </rPh>
    <rPh sb="23" eb="25">
      <t>ユニュウ</t>
    </rPh>
    <rPh sb="25" eb="27">
      <t>シンコク</t>
    </rPh>
    <rPh sb="29" eb="31">
      <t>ヒョウカ</t>
    </rPh>
    <rPh sb="31" eb="33">
      <t>カサン</t>
    </rPh>
    <rPh sb="45" eb="47">
      <t>ハッコウ</t>
    </rPh>
    <phoneticPr fontId="5"/>
  </si>
  <si>
    <t>【相談事項】</t>
    <rPh sb="1" eb="3">
      <t>ソウダン</t>
    </rPh>
    <rPh sb="3" eb="5">
      <t>ジコウ</t>
    </rPh>
    <phoneticPr fontId="5"/>
  </si>
  <si>
    <t>　・ライン代と一緒に計算し、書類作成し、インボイスと一緒に提供することが可能かTIVN側で可能か。</t>
    <rPh sb="5" eb="6">
      <t>ダイ</t>
    </rPh>
    <rPh sb="7" eb="9">
      <t>イッショ</t>
    </rPh>
    <rPh sb="10" eb="12">
      <t>ケイサン</t>
    </rPh>
    <rPh sb="14" eb="16">
      <t>ショルイ</t>
    </rPh>
    <rPh sb="16" eb="18">
      <t>サクセイ</t>
    </rPh>
    <rPh sb="26" eb="28">
      <t>イッショ</t>
    </rPh>
    <rPh sb="29" eb="31">
      <t>テイキョウ</t>
    </rPh>
    <rPh sb="36" eb="38">
      <t>カノウ</t>
    </rPh>
    <rPh sb="43" eb="44">
      <t>ガワ</t>
    </rPh>
    <rPh sb="45" eb="47">
      <t>カノウ</t>
    </rPh>
    <phoneticPr fontId="5"/>
  </si>
  <si>
    <t>　・生産or出荷計画枚数とずれ込んだ場合はライン代の様に翌月で調整する形で進められるか。</t>
    <rPh sb="2" eb="4">
      <t>セイサン</t>
    </rPh>
    <rPh sb="6" eb="8">
      <t>シュッカ</t>
    </rPh>
    <rPh sb="8" eb="10">
      <t>ケイカク</t>
    </rPh>
    <rPh sb="10" eb="12">
      <t>マイスウ</t>
    </rPh>
    <rPh sb="15" eb="16">
      <t>コ</t>
    </rPh>
    <rPh sb="18" eb="20">
      <t>バアイ</t>
    </rPh>
    <rPh sb="24" eb="25">
      <t>ダイ</t>
    </rPh>
    <rPh sb="26" eb="27">
      <t>ヨウ</t>
    </rPh>
    <rPh sb="28" eb="30">
      <t>ヨクゲツ</t>
    </rPh>
    <rPh sb="31" eb="33">
      <t>チョウセイ</t>
    </rPh>
    <rPh sb="35" eb="36">
      <t>カタチ</t>
    </rPh>
    <rPh sb="37" eb="38">
      <t>スス</t>
    </rPh>
    <phoneticPr fontId="5"/>
  </si>
  <si>
    <t>　・TIVNが過不足なくエビデンス発行で来ているか自身で確認できるか</t>
    <rPh sb="7" eb="10">
      <t>カフソク</t>
    </rPh>
    <rPh sb="17" eb="19">
      <t>ハッコウ</t>
    </rPh>
    <rPh sb="20" eb="21">
      <t>キ</t>
    </rPh>
    <rPh sb="25" eb="27">
      <t>ジシン</t>
    </rPh>
    <rPh sb="28" eb="30">
      <t>カクニン</t>
    </rPh>
    <phoneticPr fontId="5"/>
  </si>
  <si>
    <t>　・将来的にはインボイスに織り込んだ方が対応しやすいか</t>
    <rPh sb="2" eb="5">
      <t>ショウライテキ</t>
    </rPh>
    <rPh sb="13" eb="14">
      <t>オ</t>
    </rPh>
    <rPh sb="15" eb="16">
      <t>コ</t>
    </rPh>
    <rPh sb="18" eb="19">
      <t>ホウ</t>
    </rPh>
    <rPh sb="20" eb="22">
      <t>タイオウ</t>
    </rPh>
    <phoneticPr fontId="5"/>
  </si>
  <si>
    <t>【補足事項】</t>
    <rPh sb="1" eb="3">
      <t>ホソク</t>
    </rPh>
    <rPh sb="3" eb="5">
      <t>ジコウ</t>
    </rPh>
    <phoneticPr fontId="5"/>
  </si>
  <si>
    <t>　・エビデンスは日本語でもOK。</t>
    <rPh sb="8" eb="11">
      <t>ニホンゴ</t>
    </rPh>
    <phoneticPr fontId="5"/>
  </si>
  <si>
    <t>　・6項目をまとめて”TIVN 業務委託費（開発費用・サンプル発送費用・資材不足確認費用）”としてOK</t>
    <rPh sb="3" eb="5">
      <t>コウモク</t>
    </rPh>
    <rPh sb="16" eb="18">
      <t>ギョウム</t>
    </rPh>
    <rPh sb="18" eb="20">
      <t>イタク</t>
    </rPh>
    <rPh sb="20" eb="21">
      <t>ヒ</t>
    </rPh>
    <rPh sb="22" eb="24">
      <t>カイハツ</t>
    </rPh>
    <rPh sb="24" eb="26">
      <t>ヒヨウ</t>
    </rPh>
    <rPh sb="31" eb="33">
      <t>ハッソウ</t>
    </rPh>
    <rPh sb="33" eb="35">
      <t>ヒヨウ</t>
    </rPh>
    <rPh sb="36" eb="38">
      <t>シザイ</t>
    </rPh>
    <rPh sb="38" eb="40">
      <t>フソク</t>
    </rPh>
    <rPh sb="40" eb="42">
      <t>カクニン</t>
    </rPh>
    <rPh sb="42" eb="44">
      <t>ヒヨウ</t>
    </rPh>
    <phoneticPr fontId="5"/>
  </si>
  <si>
    <t>日にち：9/15（金）10：00～10：40</t>
    <rPh sb="0" eb="1">
      <t>ヒ</t>
    </rPh>
    <rPh sb="9" eb="10">
      <t>キン</t>
    </rPh>
    <phoneticPr fontId="5"/>
  </si>
  <si>
    <t>場所　：TI東京 2-7会議室</t>
    <rPh sb="0" eb="2">
      <t>バショ</t>
    </rPh>
    <rPh sb="6" eb="8">
      <t>トウキョウ</t>
    </rPh>
    <rPh sb="12" eb="15">
      <t>カイギシツ</t>
    </rPh>
    <phoneticPr fontId="5"/>
  </si>
  <si>
    <t>　　　　アパレル物流課　宇都宮課長、佐藤課員、田中</t>
    <rPh sb="8" eb="10">
      <t>ブツリュウ</t>
    </rPh>
    <rPh sb="10" eb="11">
      <t>カ</t>
    </rPh>
    <rPh sb="12" eb="17">
      <t>ウツノミヤカチョウ</t>
    </rPh>
    <rPh sb="18" eb="20">
      <t>サトウ</t>
    </rPh>
    <rPh sb="20" eb="22">
      <t>カイン</t>
    </rPh>
    <rPh sb="23" eb="25">
      <t>タナカ</t>
    </rPh>
    <phoneticPr fontId="5"/>
  </si>
  <si>
    <t>議題１：これまでの変遷と現段階の進捗説明</t>
    <rPh sb="0" eb="2">
      <t>ギダイ</t>
    </rPh>
    <rPh sb="9" eb="11">
      <t>ヘンセン</t>
    </rPh>
    <rPh sb="12" eb="15">
      <t>ゲンダンカイ</t>
    </rPh>
    <rPh sb="16" eb="18">
      <t>シンチョク</t>
    </rPh>
    <rPh sb="18" eb="20">
      <t>セツメイ</t>
    </rPh>
    <phoneticPr fontId="5"/>
  </si>
  <si>
    <t>20年末頃より税関による逆委託加工における手数料の評価加算有漏れの指摘が増加</t>
    <rPh sb="2" eb="3">
      <t>ネン</t>
    </rPh>
    <rPh sb="3" eb="4">
      <t>マツ</t>
    </rPh>
    <rPh sb="4" eb="5">
      <t>コロ</t>
    </rPh>
    <rPh sb="7" eb="9">
      <t>ゼイカン</t>
    </rPh>
    <rPh sb="12" eb="13">
      <t>ギャク</t>
    </rPh>
    <rPh sb="13" eb="15">
      <t>イタク</t>
    </rPh>
    <rPh sb="15" eb="17">
      <t>カコウ</t>
    </rPh>
    <rPh sb="21" eb="24">
      <t>テスウリョウ</t>
    </rPh>
    <rPh sb="25" eb="27">
      <t>ヒョウカ</t>
    </rPh>
    <rPh sb="27" eb="29">
      <t>カサン</t>
    </rPh>
    <rPh sb="29" eb="30">
      <t>ユウ</t>
    </rPh>
    <rPh sb="30" eb="31">
      <t>モ</t>
    </rPh>
    <rPh sb="33" eb="35">
      <t>シテキ</t>
    </rPh>
    <rPh sb="36" eb="38">
      <t>ゾウカ</t>
    </rPh>
    <phoneticPr fontId="5"/>
  </si>
  <si>
    <r>
      <rPr>
        <sz val="11"/>
        <color theme="1"/>
        <rFont val="Segoe UI Symbol"/>
        <family val="2"/>
      </rPr>
      <t>↪</t>
    </r>
    <r>
      <rPr>
        <sz val="11"/>
        <color theme="1"/>
        <rFont val="游ゴシック"/>
        <family val="2"/>
        <charset val="128"/>
        <scheme val="minor"/>
      </rPr>
      <t>APIC・BTNBの生産に係るTIVNの業務委託費用に照準を当て、神戸税関と協議開始</t>
    </r>
    <rPh sb="11" eb="13">
      <t>セイサン</t>
    </rPh>
    <rPh sb="14" eb="15">
      <t>カカ</t>
    </rPh>
    <rPh sb="21" eb="23">
      <t>ギョウム</t>
    </rPh>
    <rPh sb="23" eb="25">
      <t>イタク</t>
    </rPh>
    <rPh sb="25" eb="27">
      <t>ヒヨウ</t>
    </rPh>
    <rPh sb="28" eb="30">
      <t>ショウジュン</t>
    </rPh>
    <rPh sb="31" eb="32">
      <t>ア</t>
    </rPh>
    <rPh sb="34" eb="36">
      <t>コウベ</t>
    </rPh>
    <rPh sb="36" eb="38">
      <t>ゼイカン</t>
    </rPh>
    <rPh sb="39" eb="41">
      <t>キョウギ</t>
    </rPh>
    <rPh sb="40" eb="41">
      <t>ギ</t>
    </rPh>
    <rPh sb="41" eb="43">
      <t>カイシ</t>
    </rPh>
    <phoneticPr fontId="5"/>
  </si>
  <si>
    <r>
      <rPr>
        <sz val="11"/>
        <color theme="1"/>
        <rFont val="Segoe UI Symbol"/>
        <family val="2"/>
      </rPr>
      <t>↪</t>
    </r>
    <r>
      <rPr>
        <sz val="11"/>
        <color theme="1"/>
        <rFont val="游ゴシック"/>
        <family val="2"/>
        <charset val="128"/>
        <scheme val="minor"/>
      </rPr>
      <t>TIVNの業務内容100項目のうち､6項目が加算を要することで帰結</t>
    </r>
    <rPh sb="6" eb="8">
      <t>ギョウム</t>
    </rPh>
    <rPh sb="8" eb="10">
      <t>ナイヨウ</t>
    </rPh>
    <rPh sb="20" eb="22">
      <t>コウモク</t>
    </rPh>
    <rPh sb="23" eb="25">
      <t>カサン</t>
    </rPh>
    <rPh sb="26" eb="27">
      <t>ヨウ</t>
    </rPh>
    <rPh sb="32" eb="34">
      <t>キケツ</t>
    </rPh>
    <phoneticPr fontId="5"/>
  </si>
  <si>
    <r>
      <rPr>
        <sz val="11"/>
        <color theme="1"/>
        <rFont val="Segoe UI Symbol"/>
        <family val="2"/>
      </rPr>
      <t>↪</t>
    </r>
    <r>
      <rPr>
        <sz val="11"/>
        <color theme="1"/>
        <rFont val="Calibri"/>
        <family val="2"/>
      </rPr>
      <t>8</t>
    </r>
    <r>
      <rPr>
        <sz val="11"/>
        <color theme="1"/>
        <rFont val="游ゴシック"/>
        <family val="2"/>
        <charset val="128"/>
        <scheme val="minor"/>
      </rPr>
      <t>月より包括評価申請を開始</t>
    </r>
    <rPh sb="9" eb="11">
      <t>シンセイ</t>
    </rPh>
    <rPh sb="12" eb="14">
      <t>カイシ</t>
    </rPh>
    <phoneticPr fontId="5"/>
  </si>
  <si>
    <r>
      <rPr>
        <sz val="11"/>
        <color theme="1"/>
        <rFont val="Segoe UI Symbol"/>
        <family val="2"/>
      </rPr>
      <t>↪</t>
    </r>
    <r>
      <rPr>
        <sz val="11"/>
        <color theme="1"/>
        <rFont val="游ゴシック"/>
        <family val="2"/>
        <charset val="128"/>
        <scheme val="minor"/>
      </rPr>
      <t>原契約に記載されているAPICの光熱費も生産に不可欠な費用として評価加算を</t>
    </r>
    <rPh sb="33" eb="35">
      <t>ヒョウカ</t>
    </rPh>
    <rPh sb="35" eb="37">
      <t>カサン</t>
    </rPh>
    <phoneticPr fontId="5"/>
  </si>
  <si>
    <t>　要するとして、合わせて申請することを検討。</t>
    <phoneticPr fontId="5"/>
  </si>
  <si>
    <r>
      <rPr>
        <sz val="11"/>
        <color theme="1"/>
        <rFont val="Segoe UI Symbol"/>
        <family val="2"/>
      </rPr>
      <t>↪</t>
    </r>
    <r>
      <rPr>
        <sz val="11"/>
        <color theme="1"/>
        <rFont val="游ゴシック"/>
        <family val="2"/>
        <charset val="128"/>
      </rPr>
      <t>直近の</t>
    </r>
    <r>
      <rPr>
        <sz val="11"/>
        <color theme="1"/>
        <rFont val="游ゴシック"/>
        <family val="2"/>
        <charset val="128"/>
        <scheme val="minor"/>
      </rPr>
      <t>税関の提案ではTIVN業務委託費用、光熱費に合わせて、ライン代も包括申請に</t>
    </r>
    <rPh sb="1" eb="3">
      <t>チョッキン</t>
    </rPh>
    <rPh sb="4" eb="6">
      <t>ゼイカン</t>
    </rPh>
    <rPh sb="7" eb="9">
      <t>テイアン</t>
    </rPh>
    <rPh sb="15" eb="17">
      <t>ギョウム</t>
    </rPh>
    <rPh sb="17" eb="19">
      <t>イタク</t>
    </rPh>
    <rPh sb="19" eb="21">
      <t>ヒヨウ</t>
    </rPh>
    <rPh sb="26" eb="27">
      <t>ア</t>
    </rPh>
    <rPh sb="34" eb="35">
      <t>ダイ</t>
    </rPh>
    <rPh sb="36" eb="38">
      <t>ホウカツ</t>
    </rPh>
    <rPh sb="38" eb="40">
      <t>シンセイ</t>
    </rPh>
    <phoneticPr fontId="5"/>
  </si>
  <si>
    <t>　盛り込む旨が記されていた。RFIDは依然、税関にて評価加算要否を検討中</t>
    <rPh sb="1" eb="2">
      <t>モ</t>
    </rPh>
    <rPh sb="3" eb="4">
      <t>コ</t>
    </rPh>
    <rPh sb="5" eb="6">
      <t>ムネ</t>
    </rPh>
    <rPh sb="7" eb="8">
      <t>シル</t>
    </rPh>
    <rPh sb="19" eb="21">
      <t>イゼン</t>
    </rPh>
    <rPh sb="22" eb="24">
      <t>ゼイカン</t>
    </rPh>
    <rPh sb="26" eb="28">
      <t>ヒョウカ</t>
    </rPh>
    <rPh sb="28" eb="30">
      <t>カサン</t>
    </rPh>
    <rPh sb="30" eb="32">
      <t>ヨウヒ</t>
    </rPh>
    <rPh sb="33" eb="36">
      <t>ケントウチュウ</t>
    </rPh>
    <phoneticPr fontId="5"/>
  </si>
  <si>
    <t>議題２：当社から見た理想の申告方法の検討</t>
    <rPh sb="0" eb="2">
      <t>ギダイ</t>
    </rPh>
    <rPh sb="4" eb="6">
      <t>トウシャ</t>
    </rPh>
    <rPh sb="8" eb="9">
      <t>ミ</t>
    </rPh>
    <rPh sb="10" eb="12">
      <t>リソウ</t>
    </rPh>
    <rPh sb="13" eb="15">
      <t>シンコク</t>
    </rPh>
    <rPh sb="15" eb="17">
      <t>ホウホウ</t>
    </rPh>
    <rPh sb="18" eb="20">
      <t>ケントウ</t>
    </rPh>
    <phoneticPr fontId="5"/>
  </si>
  <si>
    <t>（１）ライン代</t>
    <rPh sb="6" eb="7">
      <t>ダイ</t>
    </rPh>
    <phoneticPr fontId="5"/>
  </si>
  <si>
    <t>　包括評価とすることで､今迄の生産日数・係る工員数を基に割出す公正な価格設定、社内計上が</t>
    <rPh sb="31" eb="33">
      <t>コウセイ</t>
    </rPh>
    <rPh sb="34" eb="36">
      <t>カカク</t>
    </rPh>
    <rPh sb="36" eb="38">
      <t>セッテイ</t>
    </rPh>
    <rPh sb="39" eb="41">
      <t>シャナイ</t>
    </rPh>
    <rPh sb="41" eb="43">
      <t>ケイジョウ</t>
    </rPh>
    <phoneticPr fontId="5"/>
  </si>
  <si>
    <t>　出来なくなるのではないか。これまで通りの方法で続けたい。</t>
    <rPh sb="1" eb="3">
      <t>デキ</t>
    </rPh>
    <rPh sb="18" eb="19">
      <t>ドオ</t>
    </rPh>
    <rPh sb="21" eb="23">
      <t>ホウホウ</t>
    </rPh>
    <rPh sb="24" eb="25">
      <t>ツヅ</t>
    </rPh>
    <phoneticPr fontId="5"/>
  </si>
  <si>
    <t>（２）光熱費　（　BTNBは基本的に発生しておらず、APICのみ請求が来る状況。）</t>
    <phoneticPr fontId="5"/>
  </si>
  <si>
    <t>　　APICとの次回の価格交渉時に、工場が負担すべき費用として当社の支払中止に臨む。</t>
    <rPh sb="8" eb="10">
      <t>ジカイ</t>
    </rPh>
    <rPh sb="11" eb="13">
      <t>カカク</t>
    </rPh>
    <rPh sb="13" eb="16">
      <t>コウショウジ</t>
    </rPh>
    <rPh sb="18" eb="20">
      <t>コウジョウ</t>
    </rPh>
    <rPh sb="21" eb="23">
      <t>フタン</t>
    </rPh>
    <rPh sb="26" eb="28">
      <t>ヒヨウ</t>
    </rPh>
    <rPh sb="31" eb="33">
      <t>トウシャ</t>
    </rPh>
    <rPh sb="34" eb="36">
      <t>シハラ</t>
    </rPh>
    <rPh sb="36" eb="38">
      <t>チュウシ</t>
    </rPh>
    <rPh sb="39" eb="40">
      <t>ノゾ</t>
    </rPh>
    <phoneticPr fontId="5"/>
  </si>
  <si>
    <t>　それまではGORE専用ミシンの要に月々の価格計算時に落とし込んでいくことを検討。</t>
    <rPh sb="10" eb="12">
      <t>センヨウ</t>
    </rPh>
    <rPh sb="16" eb="17">
      <t>ヨウ</t>
    </rPh>
    <rPh sb="18" eb="20">
      <t>ツキヅキ</t>
    </rPh>
    <rPh sb="21" eb="23">
      <t>カカク</t>
    </rPh>
    <rPh sb="23" eb="25">
      <t>ケイサン</t>
    </rPh>
    <rPh sb="25" eb="26">
      <t>ジ</t>
    </rPh>
    <rPh sb="27" eb="28">
      <t>オ</t>
    </rPh>
    <rPh sb="30" eb="31">
      <t>コ</t>
    </rPh>
    <rPh sb="38" eb="40">
      <t>ケントウ</t>
    </rPh>
    <phoneticPr fontId="5"/>
  </si>
  <si>
    <t>　　過去分は今年度の事後調査にて､ミシンなどの設備貸与と一緒に修正申告扱いとしてもらう。</t>
    <rPh sb="2" eb="4">
      <t>カコ</t>
    </rPh>
    <rPh sb="4" eb="5">
      <t>ブン</t>
    </rPh>
    <rPh sb="6" eb="9">
      <t>コンネンド</t>
    </rPh>
    <rPh sb="10" eb="12">
      <t>ジゴ</t>
    </rPh>
    <rPh sb="12" eb="14">
      <t>チョウサ</t>
    </rPh>
    <rPh sb="23" eb="25">
      <t>セツビ</t>
    </rPh>
    <rPh sb="25" eb="27">
      <t>タイヨ</t>
    </rPh>
    <rPh sb="28" eb="30">
      <t>イッショ</t>
    </rPh>
    <rPh sb="31" eb="33">
      <t>シュウセイ</t>
    </rPh>
    <rPh sb="33" eb="35">
      <t>シンコク</t>
    </rPh>
    <rPh sb="35" eb="36">
      <t>アツカ</t>
    </rPh>
    <phoneticPr fontId="5"/>
  </si>
  <si>
    <t>【参考】SAPから抽出したAP2部 APIC、BTNBへの電気代</t>
    <rPh sb="1" eb="3">
      <t>サンコウ</t>
    </rPh>
    <rPh sb="9" eb="11">
      <t>チュウシュツ</t>
    </rPh>
    <rPh sb="16" eb="17">
      <t>ブ</t>
    </rPh>
    <rPh sb="29" eb="32">
      <t>デンキダイ</t>
    </rPh>
    <phoneticPr fontId="5"/>
  </si>
  <si>
    <t>　事後調査直前まで支払った額面を対象に修正してもらいたい。</t>
    <rPh sb="1" eb="3">
      <t>ジゴ</t>
    </rPh>
    <rPh sb="3" eb="5">
      <t>チョウサ</t>
    </rPh>
    <rPh sb="5" eb="7">
      <t>チョクゼン</t>
    </rPh>
    <rPh sb="9" eb="11">
      <t>シハラ</t>
    </rPh>
    <rPh sb="13" eb="14">
      <t>ガク</t>
    </rPh>
    <rPh sb="14" eb="15">
      <t>メン</t>
    </rPh>
    <rPh sb="16" eb="18">
      <t>タイショウ</t>
    </rPh>
    <rPh sb="19" eb="21">
      <t>シュウセイ</t>
    </rPh>
    <phoneticPr fontId="5"/>
  </si>
  <si>
    <t>合計 / 伝票通貨額</t>
  </si>
  <si>
    <t>支払先</t>
  </si>
  <si>
    <t>（３）TIVN 業務委託費用</t>
    <rPh sb="8" eb="10">
      <t>ギョウム</t>
    </rPh>
    <rPh sb="10" eb="12">
      <t>イタク</t>
    </rPh>
    <rPh sb="12" eb="14">
      <t>ヒヨウ</t>
    </rPh>
    <phoneticPr fontId="5"/>
  </si>
  <si>
    <t>年度</t>
  </si>
  <si>
    <t>事業</t>
  </si>
  <si>
    <t>APIC</t>
  </si>
  <si>
    <t>BTNB</t>
  </si>
  <si>
    <t>総計</t>
  </si>
  <si>
    <t>　　協議した経緯を残すべく、包括評価申請にて進めたい。</t>
    <rPh sb="2" eb="4">
      <t>キョウギ</t>
    </rPh>
    <rPh sb="6" eb="8">
      <t>ケイイ</t>
    </rPh>
    <rPh sb="9" eb="10">
      <t>ノコ</t>
    </rPh>
    <rPh sb="14" eb="16">
      <t>ホウカツ</t>
    </rPh>
    <rPh sb="16" eb="18">
      <t>ヒョウカ</t>
    </rPh>
    <rPh sb="18" eb="20">
      <t>シンセイ</t>
    </rPh>
    <rPh sb="22" eb="23">
      <t>スス</t>
    </rPh>
    <phoneticPr fontId="5"/>
  </si>
  <si>
    <t>2020年度</t>
    <phoneticPr fontId="5"/>
  </si>
  <si>
    <t>AD5</t>
  </si>
  <si>
    <t>6月～3月</t>
    <rPh sb="4" eb="5">
      <t>ガツ</t>
    </rPh>
    <phoneticPr fontId="5"/>
  </si>
  <si>
    <t>AD8</t>
  </si>
  <si>
    <t>各自宿題事項</t>
    <rPh sb="0" eb="2">
      <t>カクジ</t>
    </rPh>
    <rPh sb="2" eb="4">
      <t>シュクダイ</t>
    </rPh>
    <rPh sb="4" eb="6">
      <t>ジコウ</t>
    </rPh>
    <phoneticPr fontId="5"/>
  </si>
  <si>
    <t>2020年度 集計</t>
  </si>
  <si>
    <t>（１）アパレル事業企画推進課　※③を優先的にご教示いただけると幸いです。</t>
    <rPh sb="7" eb="9">
      <t>ジギョウ</t>
    </rPh>
    <rPh sb="9" eb="11">
      <t>キカク</t>
    </rPh>
    <rPh sb="11" eb="13">
      <t>スイシン</t>
    </rPh>
    <rPh sb="13" eb="14">
      <t>カ</t>
    </rPh>
    <rPh sb="18" eb="21">
      <t>ユウセンテキ</t>
    </rPh>
    <rPh sb="23" eb="25">
      <t>キョウジ</t>
    </rPh>
    <rPh sb="31" eb="32">
      <t>サイワ</t>
    </rPh>
    <phoneticPr fontId="5"/>
  </si>
  <si>
    <t>2021年度</t>
  </si>
  <si>
    <t>　①2020年度から直近の光熱費が左図の通りで良いか確認（事後調査時は10月まで盛り込みたい）</t>
    <rPh sb="6" eb="8">
      <t>ネンド</t>
    </rPh>
    <rPh sb="10" eb="12">
      <t>チョッキン</t>
    </rPh>
    <rPh sb="13" eb="16">
      <t>コウネツヒ</t>
    </rPh>
    <rPh sb="17" eb="19">
      <t>サズ</t>
    </rPh>
    <rPh sb="20" eb="21">
      <t>トオ</t>
    </rPh>
    <rPh sb="23" eb="24">
      <t>ヨ</t>
    </rPh>
    <rPh sb="26" eb="28">
      <t>カクニン</t>
    </rPh>
    <rPh sb="29" eb="31">
      <t>ジゴ</t>
    </rPh>
    <rPh sb="31" eb="33">
      <t>チョウサ</t>
    </rPh>
    <rPh sb="33" eb="34">
      <t>ジ</t>
    </rPh>
    <rPh sb="37" eb="38">
      <t>ガツ</t>
    </rPh>
    <rPh sb="40" eb="41">
      <t>モ</t>
    </rPh>
    <rPh sb="42" eb="43">
      <t>コ</t>
    </rPh>
    <phoneticPr fontId="5"/>
  </si>
  <si>
    <t>4月～3月</t>
    <rPh sb="1" eb="2">
      <t>ガツ</t>
    </rPh>
    <rPh sb="4" eb="5">
      <t>ガツ</t>
    </rPh>
    <phoneticPr fontId="5"/>
  </si>
  <si>
    <t>　②2020/7/15転記のBTNBへの電気代＄1651.27（左図参照）の用途を確認</t>
    <rPh sb="11" eb="13">
      <t>テンキ</t>
    </rPh>
    <rPh sb="20" eb="23">
      <t>デンキダイ</t>
    </rPh>
    <rPh sb="32" eb="34">
      <t>サズ</t>
    </rPh>
    <rPh sb="34" eb="36">
      <t>サンショウ</t>
    </rPh>
    <rPh sb="38" eb="40">
      <t>ヨウト</t>
    </rPh>
    <rPh sb="41" eb="43">
      <t>カクニン</t>
    </rPh>
    <phoneticPr fontId="5"/>
  </si>
  <si>
    <t>2021年度 集計</t>
  </si>
  <si>
    <t>　③光熱費について今後ライン代と一緒に月々の製品単価出しに落とし込むことが可能か検討</t>
    <rPh sb="2" eb="5">
      <t>コウネツヒ</t>
    </rPh>
    <rPh sb="9" eb="11">
      <t>コンゴ</t>
    </rPh>
    <rPh sb="14" eb="15">
      <t>ダイ</t>
    </rPh>
    <rPh sb="16" eb="18">
      <t>イッショ</t>
    </rPh>
    <rPh sb="19" eb="21">
      <t>ツキヅキ</t>
    </rPh>
    <rPh sb="22" eb="24">
      <t>セイヒン</t>
    </rPh>
    <rPh sb="24" eb="26">
      <t>タンカ</t>
    </rPh>
    <rPh sb="26" eb="27">
      <t>ダ</t>
    </rPh>
    <rPh sb="29" eb="30">
      <t>オ</t>
    </rPh>
    <rPh sb="32" eb="33">
      <t>コ</t>
    </rPh>
    <rPh sb="37" eb="39">
      <t>カノウ</t>
    </rPh>
    <rPh sb="40" eb="42">
      <t>ケントウ</t>
    </rPh>
    <phoneticPr fontId="5"/>
  </si>
  <si>
    <t>2022年度</t>
  </si>
  <si>
    <t>　④将来的にAPICの光熱費支払を止めることを検討</t>
    <rPh sb="2" eb="5">
      <t>ショウライテキ</t>
    </rPh>
    <rPh sb="11" eb="14">
      <t>コウネツヒ</t>
    </rPh>
    <rPh sb="14" eb="16">
      <t>シハライ</t>
    </rPh>
    <rPh sb="17" eb="18">
      <t>ヤ</t>
    </rPh>
    <rPh sb="23" eb="25">
      <t>ケントウ</t>
    </rPh>
    <phoneticPr fontId="5"/>
  </si>
  <si>
    <t>（２）アパレル物流課</t>
    <rPh sb="7" eb="9">
      <t>ブツリュウ</t>
    </rPh>
    <rPh sb="9" eb="10">
      <t>カ</t>
    </rPh>
    <phoneticPr fontId="5"/>
  </si>
  <si>
    <t>2022年度 集計</t>
  </si>
  <si>
    <t>　（１）③が確定次第、議題２の内容を包括評価申請に反映できるか協議開始</t>
    <rPh sb="6" eb="8">
      <t>カクテイ</t>
    </rPh>
    <rPh sb="8" eb="10">
      <t>シダイ</t>
    </rPh>
    <rPh sb="11" eb="13">
      <t>ギダイ</t>
    </rPh>
    <rPh sb="15" eb="17">
      <t>ナイヨウ</t>
    </rPh>
    <rPh sb="18" eb="20">
      <t>ホウカツ</t>
    </rPh>
    <rPh sb="20" eb="22">
      <t>ヒョウカ</t>
    </rPh>
    <rPh sb="22" eb="24">
      <t>シンセイ</t>
    </rPh>
    <rPh sb="25" eb="27">
      <t>ハンエイ</t>
    </rPh>
    <rPh sb="31" eb="33">
      <t>キョウギ</t>
    </rPh>
    <rPh sb="33" eb="35">
      <t>カイシ</t>
    </rPh>
    <phoneticPr fontId="5"/>
  </si>
  <si>
    <t>2023年度</t>
    <phoneticPr fontId="5"/>
  </si>
  <si>
    <t>4月～8月</t>
    <rPh sb="1" eb="2">
      <t>ガツ</t>
    </rPh>
    <rPh sb="4" eb="5">
      <t>ガツ</t>
    </rPh>
    <phoneticPr fontId="5"/>
  </si>
  <si>
    <t>以　　上</t>
    <rPh sb="0" eb="1">
      <t>イ</t>
    </rPh>
    <rPh sb="3" eb="4">
      <t>ウエ</t>
    </rPh>
    <phoneticPr fontId="5"/>
  </si>
  <si>
    <t>2023年度 集計</t>
  </si>
  <si>
    <t>以上</t>
    <rPh sb="0" eb="2">
      <t>イジョウ</t>
    </rPh>
    <phoneticPr fontId="5"/>
  </si>
  <si>
    <t>Toray International Vietnam Co., Ltd</t>
  </si>
  <si>
    <t>Hong</t>
  </si>
  <si>
    <t>BTNB TIVNスタッフ業務分析表/2024年度業務委託料配分</t>
  </si>
  <si>
    <t>TIVN本社ﾏﾈｰｼﾞﾒﾝﾄ※2</t>
  </si>
  <si>
    <t>NEW STAFF</t>
  </si>
  <si>
    <t>総括</t>
  </si>
  <si>
    <t>新規素材、加工技術調査、サンプル試作</t>
  </si>
  <si>
    <t>パターン自動機設計、パターンシマ改善提案</t>
  </si>
  <si>
    <t>生産ラインのレイアウト設定提案</t>
  </si>
  <si>
    <t>特別に注視する内容を工場へ連絡</t>
  </si>
  <si>
    <t>現物確認、客先個別試験</t>
  </si>
  <si>
    <t>工場で必要な消耗品をTIへ発注し受渡伝票を作成する</t>
  </si>
  <si>
    <t>工場工員の出勤名簿とラインの抜き打ち照合</t>
  </si>
  <si>
    <t>経理業務</t>
  </si>
  <si>
    <t>書類の処理、支払い手続き、通信費用の処</t>
  </si>
  <si>
    <t>工員出勤名簿人数とD/N記載人数の照合</t>
  </si>
  <si>
    <t>2024年度</t>
    <rPh sb="4" eb="6">
      <t>ネンド</t>
    </rPh>
    <phoneticPr fontId="5"/>
  </si>
  <si>
    <t>Naito</t>
    <phoneticPr fontId="5"/>
  </si>
  <si>
    <t>　APIC：</t>
  </si>
  <si>
    <t xml:space="preserve">  BTNB：</t>
  </si>
  <si>
    <t>1月</t>
    <rPh sb="1" eb="2">
      <t>ガツ</t>
    </rPh>
    <phoneticPr fontId="5"/>
  </si>
  <si>
    <t>2月</t>
  </si>
  <si>
    <t>3月</t>
  </si>
  <si>
    <t>4月</t>
  </si>
  <si>
    <t>12月</t>
    <rPh sb="2" eb="3">
      <t>ガツ</t>
    </rPh>
    <phoneticPr fontId="5"/>
  </si>
  <si>
    <t>12-4月</t>
    <rPh sb="4" eb="5">
      <t>ガツ</t>
    </rPh>
    <phoneticPr fontId="5"/>
  </si>
  <si>
    <t>/50万着/年≒$0.02★</t>
    <rPh sb="3" eb="5">
      <t>マンチャク</t>
    </rPh>
    <rPh sb="6" eb="7">
      <t>ネン</t>
    </rPh>
    <phoneticPr fontId="5"/>
  </si>
  <si>
    <r>
      <t>（２）評価加算すべき額（2024年</t>
    </r>
    <r>
      <rPr>
        <sz val="11"/>
        <color rgb="FFFF0000"/>
        <rFont val="游ゴシック"/>
        <family val="3"/>
        <charset val="128"/>
        <scheme val="minor"/>
      </rPr>
      <t>5</t>
    </r>
    <r>
      <rPr>
        <sz val="11"/>
        <color theme="1"/>
        <rFont val="游ゴシック"/>
        <family val="2"/>
        <charset val="128"/>
        <scheme val="minor"/>
      </rPr>
      <t>月～2025年4月）</t>
    </r>
    <rPh sb="3" eb="5">
      <t>ヒョウカ</t>
    </rPh>
    <rPh sb="5" eb="7">
      <t>カサン</t>
    </rPh>
    <rPh sb="10" eb="11">
      <t>ガク</t>
    </rPh>
    <rPh sb="16" eb="17">
      <t>ネン</t>
    </rPh>
    <rPh sb="18" eb="19">
      <t>ガツ</t>
    </rPh>
    <rPh sb="24" eb="25">
      <t>ネン</t>
    </rPh>
    <rPh sb="26" eb="27">
      <t>ガツ</t>
    </rPh>
    <phoneticPr fontId="5"/>
  </si>
  <si>
    <t>　APIC：</t>
    <phoneticPr fontId="5"/>
  </si>
  <si>
    <r>
      <t>/60万着/年≒$0.0</t>
    </r>
    <r>
      <rPr>
        <sz val="11"/>
        <color rgb="FFFF0000"/>
        <rFont val="游ゴシック"/>
        <family val="3"/>
        <charset val="128"/>
        <scheme val="minor"/>
      </rPr>
      <t>3</t>
    </r>
    <r>
      <rPr>
        <sz val="11"/>
        <color theme="1"/>
        <rFont val="游ゴシック"/>
        <family val="2"/>
        <charset val="128"/>
        <scheme val="minor"/>
      </rPr>
      <t>★</t>
    </r>
    <rPh sb="3" eb="5">
      <t>マンチャク</t>
    </rPh>
    <rPh sb="6" eb="7">
      <t>ネン</t>
    </rPh>
    <phoneticPr fontId="5"/>
  </si>
  <si>
    <t>レンタルミシン費用　</t>
    <rPh sb="7" eb="9">
      <t>ヒヨウ</t>
    </rPh>
    <phoneticPr fontId="5"/>
  </si>
  <si>
    <t>BTNB</t>
    <phoneticPr fontId="5"/>
  </si>
  <si>
    <t>　TIに請求がくる：課税</t>
    <rPh sb="4" eb="6">
      <t>セイキュウ</t>
    </rPh>
    <rPh sb="10" eb="12">
      <t>カゼイ</t>
    </rPh>
    <phoneticPr fontId="5"/>
  </si>
  <si>
    <t>　BTNB負担　　 ：貨物代金に含まれている</t>
    <rPh sb="5" eb="7">
      <t>フタン</t>
    </rPh>
    <rPh sb="11" eb="13">
      <t>カモツ</t>
    </rPh>
    <rPh sb="13" eb="15">
      <t>ダイキン</t>
    </rPh>
    <rPh sb="16" eb="17">
      <t>フク</t>
    </rPh>
    <phoneticPr fontId="5"/>
  </si>
  <si>
    <t>TIVNへの生産管理業委託費予算（案）2024年度</t>
    <rPh sb="6" eb="8">
      <t>セイサン</t>
    </rPh>
    <rPh sb="8" eb="10">
      <t>カンリ</t>
    </rPh>
    <rPh sb="10" eb="11">
      <t>ギョウ</t>
    </rPh>
    <rPh sb="11" eb="13">
      <t>イタク</t>
    </rPh>
    <rPh sb="13" eb="14">
      <t>ヒ</t>
    </rPh>
    <rPh sb="14" eb="16">
      <t>ヨサン</t>
    </rPh>
    <rPh sb="17" eb="18">
      <t>アン</t>
    </rPh>
    <rPh sb="23" eb="24">
      <t>ネン</t>
    </rPh>
    <rPh sb="24" eb="25">
      <t>ド</t>
    </rPh>
    <phoneticPr fontId="5"/>
  </si>
  <si>
    <t>23実</t>
    <rPh sb="2" eb="3">
      <t>ジツ</t>
    </rPh>
    <phoneticPr fontId="5"/>
  </si>
  <si>
    <t>24予</t>
    <rPh sb="2" eb="3">
      <t>ヨ</t>
    </rPh>
    <phoneticPr fontId="5"/>
  </si>
  <si>
    <t>賃金=23年予算比7％UP</t>
    <rPh sb="0" eb="2">
      <t>チンギン</t>
    </rPh>
    <rPh sb="5" eb="6">
      <t>ネン</t>
    </rPh>
    <rPh sb="6" eb="8">
      <t>ヨサン</t>
    </rPh>
    <rPh sb="8" eb="9">
      <t>ヒ</t>
    </rPh>
    <phoneticPr fontId="5"/>
  </si>
  <si>
    <t>常駐業務委託者なし</t>
    <rPh sb="0" eb="2">
      <t>ジョウチュウ</t>
    </rPh>
    <rPh sb="2" eb="4">
      <t>ギョウム</t>
    </rPh>
    <rPh sb="4" eb="6">
      <t>イタク</t>
    </rPh>
    <rPh sb="6" eb="7">
      <t>シャ</t>
    </rPh>
    <phoneticPr fontId="5"/>
  </si>
  <si>
    <t>荒谷　天方　新規1名</t>
    <rPh sb="0" eb="2">
      <t>アラヤ</t>
    </rPh>
    <rPh sb="3" eb="5">
      <t>アマガタ</t>
    </rPh>
    <rPh sb="6" eb="8">
      <t>シンキ</t>
    </rPh>
    <rPh sb="9" eb="10">
      <t>メイ</t>
    </rPh>
    <phoneticPr fontId="5"/>
  </si>
  <si>
    <t>泉 井上 内藤 堀</t>
    <rPh sb="0" eb="1">
      <t>イズミ</t>
    </rPh>
    <rPh sb="2" eb="4">
      <t>イノウエ</t>
    </rPh>
    <rPh sb="5" eb="7">
      <t>ナイトウ</t>
    </rPh>
    <rPh sb="8" eb="9">
      <t>ホリ</t>
    </rPh>
    <phoneticPr fontId="5"/>
  </si>
  <si>
    <t>　BTNB業務委託者23年度比1名減</t>
    <rPh sb="5" eb="7">
      <t>ギョウム</t>
    </rPh>
    <rPh sb="7" eb="9">
      <t>イタク</t>
    </rPh>
    <rPh sb="9" eb="10">
      <t>シャ</t>
    </rPh>
    <rPh sb="12" eb="14">
      <t>ネンド</t>
    </rPh>
    <rPh sb="14" eb="15">
      <t>ヒ</t>
    </rPh>
    <rPh sb="16" eb="17">
      <t>メイ</t>
    </rPh>
    <rPh sb="17" eb="18">
      <t>ゲン</t>
    </rPh>
    <phoneticPr fontId="5"/>
  </si>
  <si>
    <t>TIVNHCMから日本人各1名遠隔</t>
    <rPh sb="9" eb="12">
      <t>ニホンジン</t>
    </rPh>
    <rPh sb="12" eb="13">
      <t>カク</t>
    </rPh>
    <rPh sb="14" eb="15">
      <t>メイ</t>
    </rPh>
    <rPh sb="15" eb="17">
      <t>エンカク</t>
    </rPh>
    <phoneticPr fontId="5"/>
  </si>
  <si>
    <t>（３）BTNB</t>
    <phoneticPr fontId="5"/>
  </si>
  <si>
    <t>レンタルミシン費用　の評価要否</t>
    <rPh sb="7" eb="9">
      <t>ヒヨウ</t>
    </rPh>
    <rPh sb="11" eb="13">
      <t>ヒョウカ</t>
    </rPh>
    <rPh sb="13" eb="15">
      <t>ヨウヒ</t>
    </rPh>
    <phoneticPr fontId="5"/>
  </si>
  <si>
    <t>日にち：1/30（火）10：30～</t>
    <rPh sb="0" eb="1">
      <t>ヒ</t>
    </rPh>
    <rPh sb="9" eb="10">
      <t>カ</t>
    </rPh>
    <phoneticPr fontId="5"/>
  </si>
  <si>
    <t>　　　　TI　アパレル事業企画推進課 長岡町、石坂さん/アパレル物流課 宇都宮課長、荒井課員、田中</t>
    <rPh sb="11" eb="13">
      <t>ジギョウ</t>
    </rPh>
    <rPh sb="13" eb="15">
      <t>キカク</t>
    </rPh>
    <rPh sb="15" eb="17">
      <t>スイシン</t>
    </rPh>
    <rPh sb="17" eb="18">
      <t>カ</t>
    </rPh>
    <rPh sb="19" eb="22">
      <t>ナガオカチョウ</t>
    </rPh>
    <rPh sb="23" eb="25">
      <t>イシザカ</t>
    </rPh>
    <rPh sb="36" eb="39">
      <t>ウツノミヤ</t>
    </rPh>
    <rPh sb="39" eb="41">
      <t>カチョウ</t>
    </rPh>
    <phoneticPr fontId="5"/>
  </si>
  <si>
    <t>（１）評価加算すべき額（2023年度現行）と評価加算額達成の見通し</t>
    <rPh sb="3" eb="5">
      <t>ヒョウカ</t>
    </rPh>
    <rPh sb="5" eb="7">
      <t>カサン</t>
    </rPh>
    <rPh sb="10" eb="11">
      <t>ガク</t>
    </rPh>
    <rPh sb="16" eb="18">
      <t>ネンド</t>
    </rPh>
    <rPh sb="18" eb="20">
      <t>ゲンコウ</t>
    </rPh>
    <rPh sb="22" eb="24">
      <t>ヒョウカ</t>
    </rPh>
    <rPh sb="24" eb="26">
      <t>カサン</t>
    </rPh>
    <rPh sb="26" eb="27">
      <t>ガク</t>
    </rPh>
    <rPh sb="27" eb="29">
      <t>タッセイ</t>
    </rPh>
    <rPh sb="30" eb="32">
      <t>ミトオ</t>
    </rPh>
    <phoneticPr fontId="5"/>
  </si>
  <si>
    <t>12月-4月</t>
    <rPh sb="2" eb="3">
      <t>ガツ</t>
    </rPh>
    <rPh sb="5" eb="6">
      <t>ガツ</t>
    </rPh>
    <phoneticPr fontId="5"/>
  </si>
  <si>
    <t>過剰枚数</t>
    <rPh sb="0" eb="2">
      <t>カジョウ</t>
    </rPh>
    <rPh sb="2" eb="4">
      <t>マイスウ</t>
    </rPh>
    <phoneticPr fontId="5"/>
  </si>
  <si>
    <t>12-4月分岐枚数</t>
    <rPh sb="4" eb="5">
      <t>ガツ</t>
    </rPh>
    <rPh sb="5" eb="7">
      <t>ブンキ</t>
    </rPh>
    <rPh sb="7" eb="9">
      <t>マイスウ</t>
    </rPh>
    <phoneticPr fontId="5"/>
  </si>
  <si>
    <t>12-4月評価加算額</t>
    <rPh sb="4" eb="5">
      <t>ガツ</t>
    </rPh>
    <rPh sb="5" eb="7">
      <t>ヒョウカ</t>
    </rPh>
    <rPh sb="7" eb="9">
      <t>カサン</t>
    </rPh>
    <rPh sb="9" eb="10">
      <t>ガク</t>
    </rPh>
    <phoneticPr fontId="5"/>
  </si>
  <si>
    <t>？</t>
    <phoneticPr fontId="5"/>
  </si>
  <si>
    <t>評価額</t>
    <rPh sb="0" eb="2">
      <t>ヒョウカ</t>
    </rPh>
    <rPh sb="2" eb="3">
      <t>ガク</t>
    </rPh>
    <phoneticPr fontId="5"/>
  </si>
  <si>
    <t>(BTNBは変更なし）</t>
    <rPh sb="6" eb="8">
      <t>ヘンコウ</t>
    </rPh>
    <phoneticPr fontId="5"/>
  </si>
  <si>
    <t>　TIに請求がくる場合：要課税</t>
    <rPh sb="4" eb="6">
      <t>セイキュウ</t>
    </rPh>
    <rPh sb="9" eb="11">
      <t>バアイ</t>
    </rPh>
    <rPh sb="12" eb="13">
      <t>ヨウ</t>
    </rPh>
    <rPh sb="13" eb="15">
      <t>カゼイ</t>
    </rPh>
    <phoneticPr fontId="5"/>
  </si>
  <si>
    <t>　BTNB負担のまま　：貨物代金に含まれているとして評価加算不要</t>
    <rPh sb="5" eb="7">
      <t>フタン</t>
    </rPh>
    <rPh sb="12" eb="14">
      <t>カモツ</t>
    </rPh>
    <rPh sb="14" eb="16">
      <t>ダイキン</t>
    </rPh>
    <rPh sb="17" eb="18">
      <t>フク</t>
    </rPh>
    <rPh sb="26" eb="28">
      <t>ヒョウカ</t>
    </rPh>
    <rPh sb="28" eb="30">
      <t>カサン</t>
    </rPh>
    <rPh sb="30" eb="32">
      <t>フヨウ</t>
    </rPh>
    <phoneticPr fontId="5"/>
  </si>
  <si>
    <t>　　➡後者のため、何等かのアクションは不要</t>
    <rPh sb="3" eb="5">
      <t>コウシャ</t>
    </rPh>
    <rPh sb="9" eb="11">
      <t>ナンラ</t>
    </rPh>
    <rPh sb="19" eb="21">
      <t>フヨウ</t>
    </rPh>
    <phoneticPr fontId="5"/>
  </si>
  <si>
    <t>（４）QN工場　業務委託費　</t>
    <rPh sb="5" eb="7">
      <t>コウジョウ</t>
    </rPh>
    <rPh sb="8" eb="10">
      <t>ギョウム</t>
    </rPh>
    <rPh sb="10" eb="12">
      <t>イタク</t>
    </rPh>
    <rPh sb="12" eb="13">
      <t>ヒ</t>
    </rPh>
    <phoneticPr fontId="5"/>
  </si>
  <si>
    <t>　　日本人3名の役務に係る費用、23年度、24年度ともに発生。</t>
    <rPh sb="13" eb="15">
      <t>ヒヨウ</t>
    </rPh>
    <rPh sb="18" eb="20">
      <t>ネンド</t>
    </rPh>
    <rPh sb="23" eb="25">
      <t>ネンド</t>
    </rPh>
    <rPh sb="28" eb="30">
      <t>ハッセイ</t>
    </rPh>
    <phoneticPr fontId="5"/>
  </si>
  <si>
    <t>　　業務内容のリストアップ資料はなし。今後、考えていかなくてはならない部分。</t>
    <rPh sb="2" eb="4">
      <t>ギョウム</t>
    </rPh>
    <rPh sb="4" eb="6">
      <t>ナイヨウ</t>
    </rPh>
    <rPh sb="13" eb="15">
      <t>シリョウ</t>
    </rPh>
    <rPh sb="19" eb="21">
      <t>コンゴ</t>
    </rPh>
    <rPh sb="22" eb="23">
      <t>カンガ</t>
    </rPh>
    <rPh sb="35" eb="37">
      <t>ブブン</t>
    </rPh>
    <phoneticPr fontId="5"/>
  </si>
  <si>
    <t>(APIC 0.05➡0.03）</t>
    <phoneticPr fontId="5"/>
  </si>
  <si>
    <t>　➡上記予定通りに進めば、課税価格に参入すべき評価加算額を達成できる見込み。</t>
    <rPh sb="2" eb="4">
      <t>ジョウキ</t>
    </rPh>
    <rPh sb="4" eb="6">
      <t>ヨテイ</t>
    </rPh>
    <rPh sb="6" eb="7">
      <t>ドオ</t>
    </rPh>
    <rPh sb="9" eb="10">
      <t>スス</t>
    </rPh>
    <rPh sb="13" eb="15">
      <t>カゼイ</t>
    </rPh>
    <rPh sb="15" eb="17">
      <t>カカク</t>
    </rPh>
    <rPh sb="18" eb="20">
      <t>サンニュウ</t>
    </rPh>
    <rPh sb="23" eb="25">
      <t>ヒョウカ</t>
    </rPh>
    <rPh sb="25" eb="27">
      <t>カサン</t>
    </rPh>
    <rPh sb="27" eb="28">
      <t>ガク</t>
    </rPh>
    <rPh sb="29" eb="31">
      <t>タッセイ</t>
    </rPh>
    <rPh sb="34" eb="36">
      <t>ミコ</t>
    </rPh>
    <phoneticPr fontId="5"/>
  </si>
  <si>
    <t>（５）TIVN業務委託費用のうち加算すべき年間金額の算出方法</t>
    <rPh sb="7" eb="9">
      <t>ギョウム</t>
    </rPh>
    <rPh sb="9" eb="11">
      <t>イタク</t>
    </rPh>
    <rPh sb="11" eb="13">
      <t>ヒヨウ</t>
    </rPh>
    <rPh sb="16" eb="18">
      <t>カサン</t>
    </rPh>
    <rPh sb="21" eb="23">
      <t>ネンカン</t>
    </rPh>
    <rPh sb="23" eb="25">
      <t>キンガク</t>
    </rPh>
    <rPh sb="24" eb="25">
      <t>ガク</t>
    </rPh>
    <rPh sb="26" eb="28">
      <t>サンシュツ</t>
    </rPh>
    <rPh sb="28" eb="30">
      <t>ホウホウ</t>
    </rPh>
    <phoneticPr fontId="5"/>
  </si>
  <si>
    <t>APIC TIVNスタッフ業務分析表/2024年度業務委託料配分</t>
    <phoneticPr fontId="5"/>
  </si>
  <si>
    <t>　　　　　　　b.APIC・BTNB_TIVNスタッフ業務分析表/2024年度業務委託料配分</t>
    <phoneticPr fontId="5"/>
  </si>
  <si>
    <t>　　工程１：</t>
    <rPh sb="2" eb="4">
      <t>コウテイ</t>
    </rPh>
    <phoneticPr fontId="5"/>
  </si>
  <si>
    <t>　　工程２：</t>
    <rPh sb="2" eb="4">
      <t>コウテイ</t>
    </rPh>
    <phoneticPr fontId="5"/>
  </si>
  <si>
    <t>　　工程３：</t>
    <rPh sb="2" eb="4">
      <t>コウテイ</t>
    </rPh>
    <phoneticPr fontId="5"/>
  </si>
  <si>
    <t>　　工程４：</t>
    <rPh sb="2" eb="4">
      <t>コウテイ</t>
    </rPh>
    <phoneticPr fontId="5"/>
  </si>
  <si>
    <t>　　工程５：</t>
    <rPh sb="2" eb="4">
      <t>コウテイ</t>
    </rPh>
    <phoneticPr fontId="5"/>
  </si>
  <si>
    <t>　　工程６：</t>
    <rPh sb="2" eb="4">
      <t>コウテイ</t>
    </rPh>
    <phoneticPr fontId="5"/>
  </si>
  <si>
    <t>　Ⅰ.必要書類　a.予算策定資料_年間TIVN業務委託費用-USD表記版</t>
    <rPh sb="3" eb="5">
      <t>ヒツヨウ</t>
    </rPh>
    <rPh sb="5" eb="7">
      <t>ショルイ</t>
    </rPh>
    <rPh sb="10" eb="12">
      <t>ヨサン</t>
    </rPh>
    <rPh sb="12" eb="14">
      <t>サクテイ</t>
    </rPh>
    <rPh sb="14" eb="16">
      <t>シリョウ</t>
    </rPh>
    <rPh sb="17" eb="19">
      <t>ネンカン</t>
    </rPh>
    <rPh sb="23" eb="25">
      <t>ギョウム</t>
    </rPh>
    <rPh sb="25" eb="27">
      <t>イタク</t>
    </rPh>
    <rPh sb="27" eb="29">
      <t>ヒヨウ</t>
    </rPh>
    <rPh sb="33" eb="35">
      <t>ヒョウキ</t>
    </rPh>
    <rPh sb="35" eb="36">
      <t>バン</t>
    </rPh>
    <phoneticPr fontId="5"/>
  </si>
  <si>
    <t>　Ⅱ.算出工程　</t>
    <rPh sb="3" eb="5">
      <t>サンシュツ</t>
    </rPh>
    <rPh sb="5" eb="7">
      <t>コウテイ</t>
    </rPh>
    <phoneticPr fontId="5"/>
  </si>
  <si>
    <t>上記Ⅰ.aに記載の数値をbの以下上部にある表に当て込む</t>
    <rPh sb="0" eb="2">
      <t>ジョウキ</t>
    </rPh>
    <rPh sb="6" eb="8">
      <t>キサイ</t>
    </rPh>
    <rPh sb="9" eb="11">
      <t>スウチ</t>
    </rPh>
    <rPh sb="14" eb="16">
      <t>イカ</t>
    </rPh>
    <rPh sb="16" eb="18">
      <t>ジョウブ</t>
    </rPh>
    <rPh sb="21" eb="22">
      <t>ヒョウ</t>
    </rPh>
    <rPh sb="23" eb="24">
      <t>ア</t>
    </rPh>
    <rPh sb="25" eb="26">
      <t>コ</t>
    </rPh>
    <phoneticPr fontId="5"/>
  </si>
  <si>
    <t>①</t>
    <phoneticPr fontId="5"/>
  </si>
  <si>
    <t>TIVNより該当人数分をAPIC、BTNBに振分</t>
    <rPh sb="6" eb="8">
      <t>ガイトウ</t>
    </rPh>
    <rPh sb="8" eb="11">
      <t>ニンズウブン</t>
    </rPh>
    <rPh sb="22" eb="24">
      <t>フリワケ</t>
    </rPh>
    <phoneticPr fontId="5"/>
  </si>
  <si>
    <t>　　　　　　</t>
    <phoneticPr fontId="5"/>
  </si>
  <si>
    <t>注：①＝2024年度はTIVN日本人スタッフ$743÷4名＝＄180.75/人を各工場に配分</t>
    <rPh sb="0" eb="1">
      <t>チュウ</t>
    </rPh>
    <rPh sb="8" eb="10">
      <t>ネンド</t>
    </rPh>
    <rPh sb="15" eb="18">
      <t>ニホンジン</t>
    </rPh>
    <rPh sb="28" eb="29">
      <t>メイ</t>
    </rPh>
    <rPh sb="38" eb="39">
      <t>ヒト</t>
    </rPh>
    <rPh sb="40" eb="43">
      <t>カクコウジョウ</t>
    </rPh>
    <rPh sb="44" eb="46">
      <t>ハイブン</t>
    </rPh>
    <phoneticPr fontId="5"/>
  </si>
  <si>
    <t>　　②=2024年度はAPIC：295.83÷13名＝$22.76、BTNB：$335.87÷11名＝$30.53</t>
    <rPh sb="8" eb="10">
      <t>ネンド</t>
    </rPh>
    <rPh sb="25" eb="26">
      <t>メイ</t>
    </rPh>
    <rPh sb="49" eb="50">
      <t>メイ</t>
    </rPh>
    <phoneticPr fontId="5"/>
  </si>
  <si>
    <t>　　③＝2024年度はAPIC：＄91.50、BTNB：＄91.50</t>
    <rPh sb="8" eb="10">
      <t>ネンド</t>
    </rPh>
    <phoneticPr fontId="5"/>
  </si>
  <si>
    <t>工数は当ファイル内2024年度のbの資料より自動で入力される形式にしているが、</t>
    <rPh sb="0" eb="2">
      <t>コウスウ</t>
    </rPh>
    <rPh sb="3" eb="4">
      <t>トウ</t>
    </rPh>
    <rPh sb="8" eb="9">
      <t>ナイ</t>
    </rPh>
    <rPh sb="13" eb="15">
      <t>ネンド</t>
    </rPh>
    <rPh sb="18" eb="20">
      <t>シリョウ</t>
    </rPh>
    <rPh sb="22" eb="24">
      <t>ジドウ</t>
    </rPh>
    <rPh sb="25" eb="27">
      <t>ニュウリョク</t>
    </rPh>
    <rPh sb="30" eb="32">
      <t>ケイシキ</t>
    </rPh>
    <phoneticPr fontId="5"/>
  </si>
  <si>
    <t>念のため確認する</t>
    <rPh sb="0" eb="1">
      <t>ネン</t>
    </rPh>
    <rPh sb="4" eb="6">
      <t>カクニン</t>
    </rPh>
    <phoneticPr fontId="5"/>
  </si>
  <si>
    <t>小計の自動計算が合っているか確認する</t>
    <rPh sb="0" eb="2">
      <t>ショウケイ</t>
    </rPh>
    <rPh sb="3" eb="5">
      <t>ジドウ</t>
    </rPh>
    <rPh sb="5" eb="7">
      <t>ケイサン</t>
    </rPh>
    <rPh sb="8" eb="9">
      <t>ア</t>
    </rPh>
    <rPh sb="14" eb="16">
      <t>カクニン</t>
    </rPh>
    <phoneticPr fontId="5"/>
  </si>
  <si>
    <t>工程３で算出された総計と業務分析表の総計が一致しているか確認</t>
    <rPh sb="0" eb="2">
      <t>コウテイ</t>
    </rPh>
    <rPh sb="4" eb="6">
      <t>サンシュツ</t>
    </rPh>
    <rPh sb="9" eb="11">
      <t>ソウケイ</t>
    </rPh>
    <rPh sb="12" eb="14">
      <t>ギョウム</t>
    </rPh>
    <rPh sb="14" eb="16">
      <t>ブンセキ</t>
    </rPh>
    <rPh sb="16" eb="17">
      <t>ヒョウ</t>
    </rPh>
    <rPh sb="18" eb="20">
      <t>ソウケイ</t>
    </rPh>
    <rPh sb="21" eb="23">
      <t>イッチ</t>
    </rPh>
    <rPh sb="28" eb="30">
      <t>カクニン</t>
    </rPh>
    <phoneticPr fontId="5"/>
  </si>
  <si>
    <t>業務分析表の右端最下部の課税価格参入金額総計が各工場､1年当りの評価加算額(自動計算)となる｡</t>
    <rPh sb="0" eb="4">
      <t>ギョウムブンセキ</t>
    </rPh>
    <rPh sb="4" eb="5">
      <t>ヒョウ</t>
    </rPh>
    <rPh sb="6" eb="8">
      <t>ミギハジ</t>
    </rPh>
    <rPh sb="8" eb="11">
      <t>サイカブ</t>
    </rPh>
    <rPh sb="12" eb="14">
      <t>カゼイ</t>
    </rPh>
    <rPh sb="14" eb="16">
      <t>カカク</t>
    </rPh>
    <rPh sb="16" eb="18">
      <t>サンニュウ</t>
    </rPh>
    <rPh sb="18" eb="20">
      <t>キンガク</t>
    </rPh>
    <rPh sb="20" eb="22">
      <t>ソウケイ</t>
    </rPh>
    <rPh sb="23" eb="26">
      <t>カクコウジョウ</t>
    </rPh>
    <rPh sb="28" eb="29">
      <t>ネン</t>
    </rPh>
    <rPh sb="29" eb="30">
      <t>アタ</t>
    </rPh>
    <rPh sb="32" eb="34">
      <t>ヒョウカ</t>
    </rPh>
    <rPh sb="34" eb="36">
      <t>カサン</t>
    </rPh>
    <rPh sb="36" eb="37">
      <t>ガク</t>
    </rPh>
    <rPh sb="38" eb="40">
      <t>ジドウ</t>
    </rPh>
    <rPh sb="40" eb="42">
      <t>ケイサン</t>
    </rPh>
    <phoneticPr fontId="5"/>
  </si>
  <si>
    <t>工程５の数値が千USD単位なので、1000を乗じる</t>
    <rPh sb="0" eb="2">
      <t>コウテイ</t>
    </rPh>
    <rPh sb="4" eb="6">
      <t>スウチ</t>
    </rPh>
    <rPh sb="7" eb="8">
      <t>セン</t>
    </rPh>
    <rPh sb="11" eb="13">
      <t>タンイ</t>
    </rPh>
    <rPh sb="22" eb="23">
      <t>ジョウ</t>
    </rPh>
    <phoneticPr fontId="5"/>
  </si>
  <si>
    <t>　　工程７：</t>
    <rPh sb="2" eb="4">
      <t>コウテイ</t>
    </rPh>
    <phoneticPr fontId="5"/>
  </si>
  <si>
    <t>　　加算すべき費用があった場合、2024年10月のAPIC、BTNBにおけるTIVN業務委託費用の</t>
    <rPh sb="2" eb="4">
      <t>カサン</t>
    </rPh>
    <rPh sb="7" eb="9">
      <t>ヒヨウ</t>
    </rPh>
    <rPh sb="13" eb="15">
      <t>バアイ</t>
    </rPh>
    <rPh sb="20" eb="21">
      <t>ネン</t>
    </rPh>
    <rPh sb="23" eb="24">
      <t>ガツ</t>
    </rPh>
    <rPh sb="42" eb="44">
      <t>ギョウム</t>
    </rPh>
    <rPh sb="44" eb="46">
      <t>イタク</t>
    </rPh>
    <rPh sb="46" eb="48">
      <t>ヒヨウ</t>
    </rPh>
    <phoneticPr fontId="5"/>
  </si>
  <si>
    <t>　　包括評価申請と合わせて行うか</t>
    <phoneticPr fontId="5"/>
  </si>
  <si>
    <t>工程6の数値を年間生産枚数で除算（上記（１）、（２）参照）し当該年度の1着当りの加算単価の算出完了。</t>
    <rPh sb="0" eb="2">
      <t>コウテイ</t>
    </rPh>
    <rPh sb="4" eb="6">
      <t>スウチ</t>
    </rPh>
    <rPh sb="7" eb="9">
      <t>ネンカン</t>
    </rPh>
    <rPh sb="9" eb="11">
      <t>セイサン</t>
    </rPh>
    <rPh sb="11" eb="13">
      <t>マイスウ</t>
    </rPh>
    <rPh sb="14" eb="16">
      <t>ジョサン</t>
    </rPh>
    <rPh sb="17" eb="19">
      <t>ジョウキ</t>
    </rPh>
    <rPh sb="26" eb="28">
      <t>サンショウ</t>
    </rPh>
    <rPh sb="30" eb="32">
      <t>トウガイ</t>
    </rPh>
    <rPh sb="32" eb="34">
      <t>ネンド</t>
    </rPh>
    <rPh sb="36" eb="37">
      <t>チャク</t>
    </rPh>
    <rPh sb="37" eb="38">
      <t>アタ</t>
    </rPh>
    <rPh sb="40" eb="42">
      <t>カサン</t>
    </rPh>
    <rPh sb="42" eb="44">
      <t>タンカ</t>
    </rPh>
    <rPh sb="45" eb="47">
      <t>サンシュツ</t>
    </rPh>
    <rPh sb="47" eb="49">
      <t>カンリョウ</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</si>
</sst>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6" formatCode="&quot;¥&quot;#,##0;[Red]&quot;¥&quot;\-#,##0"/>
    <numFmt numFmtId="176" formatCode="[$$-409]#,##0.00;[$$-409]#,##0.00"/>
    <numFmt numFmtId="177" formatCode="0.00_);[Red]\(0.00\)"/>
    <numFmt numFmtId="178" formatCode="yyyy/m/d;@"/>
    <numFmt numFmtId="179" formatCode="#,##0_ ;[Red]\-#,##0\ "/>
    <numFmt numFmtId="180" formatCode="0;&quot;▲ &quot;0"/>
    <numFmt numFmtId="181" formatCode="0%;&quot;▲ &quot;0%"/>
    <numFmt numFmtId="182" formatCode="#,##0.0000;[Red]\-#,##0.0000"/>
    <numFmt numFmtId="183" formatCode="#,##0.000;[Red]\-#,##0.000"/>
    <numFmt numFmtId="184" formatCode="0_);[Red]\(0\)"/>
    <numFmt numFmtId="185" formatCode="[$$-409]#,##0.00;\-[$$-409]#,##0.00"/>
    <numFmt numFmtId="186" formatCode="[$$-409]#,##0.0000;\-[$$-409]#,##0.0000"/>
    <numFmt numFmtId="192" formatCode="0.00000"/>
    <numFmt numFmtId="193" formatCode="#,##0.00000;[Red]\-#,##0.00000"/>
    <numFmt numFmtId="197" formatCode="0.000000"/>
    <numFmt numFmtId="198" formatCode="0.000;&quot;▲ &quot;0.000"/>
    <numFmt numFmtId="199" formatCode="#,##0&quot;枚&quot;"/>
    <numFmt numFmtId="201" formatCode="0.00;&quot;▲ &quot;0.00"/>
    <numFmt numFmtId="203" formatCode="0.0000_);[Red]\(0.0000\)"/>
  </numFmts>
  <fonts count="30" x14ac:knownFonts="1">
    <font>
      <sz val="11"/>
      <color theme="1"/>
      <name val="游ゴシック"/>
      <family val="2"/>
      <charset val="128"/>
      <scheme val="minor"/>
    </font>
    <font>
      <b/>
      <sz val="11"/>
      <color theme="0"/>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11"/>
      <color theme="1"/>
      <name val="游ゴシック"/>
      <family val="2"/>
      <charset val="128"/>
    </font>
    <font>
      <sz val="6"/>
      <name val="游ゴシック"/>
      <family val="2"/>
      <charset val="128"/>
      <scheme val="minor"/>
    </font>
    <font>
      <u/>
      <sz val="11"/>
      <color theme="1"/>
      <name val="游ゴシック"/>
      <family val="2"/>
      <charset val="128"/>
      <scheme val="minor"/>
    </font>
    <font>
      <u/>
      <sz val="11"/>
      <color theme="1"/>
      <name val="游ゴシック"/>
      <family val="3"/>
      <charset val="128"/>
      <scheme val="minor"/>
    </font>
    <font>
      <b/>
      <sz val="11"/>
      <color theme="1"/>
      <name val="游ゴシック"/>
      <family val="3"/>
      <charset val="128"/>
      <scheme val="minor"/>
    </font>
    <font>
      <sz val="11"/>
      <color theme="1"/>
      <name val="Segoe UI Symbol"/>
      <family val="2"/>
    </font>
    <font>
      <sz val="11"/>
      <color theme="1"/>
      <name val="Calibri"/>
      <family val="2"/>
    </font>
    <font>
      <sz val="11"/>
      <color theme="1"/>
      <name val="游ゴシック"/>
      <family val="2"/>
      <charset val="128"/>
      <scheme val="minor"/>
    </font>
    <font>
      <sz val="11"/>
      <color rgb="FFFF0000"/>
      <name val="游ゴシック"/>
      <family val="2"/>
      <charset val="128"/>
    </font>
    <font>
      <sz val="11"/>
      <color rgb="FFFF0000"/>
      <name val="游ゴシック"/>
      <family val="3"/>
      <charset val="128"/>
      <scheme val="minor"/>
    </font>
    <font>
      <sz val="10"/>
      <name val="ＭＳ Ｐゴシック"/>
      <family val="3"/>
      <charset val="128"/>
    </font>
    <font>
      <sz val="10"/>
      <color theme="1"/>
      <name val="游ゴシック"/>
      <family val="2"/>
      <charset val="128"/>
      <scheme val="minor"/>
    </font>
    <font>
      <sz val="6"/>
      <name val="ＭＳ Ｐゴシック"/>
      <family val="3"/>
      <charset val="128"/>
    </font>
    <font>
      <sz val="11"/>
      <name val="游ゴシック"/>
      <family val="3"/>
      <charset val="128"/>
      <scheme val="minor"/>
    </font>
    <font>
      <b/>
      <sz val="16"/>
      <name val="ＭＳ Ｐゴシック"/>
      <family val="3"/>
      <charset val="128"/>
    </font>
    <font>
      <b/>
      <sz val="10"/>
      <name val="ＭＳ Ｐゴシック"/>
      <family val="3"/>
      <charset val="128"/>
    </font>
    <font>
      <b/>
      <sz val="9"/>
      <name val="ＭＳ Ｐゴシック"/>
      <family val="3"/>
      <charset val="128"/>
    </font>
    <font>
      <b/>
      <sz val="10"/>
      <color theme="1"/>
      <name val="游ゴシック"/>
      <family val="3"/>
      <charset val="128"/>
      <scheme val="minor"/>
    </font>
    <font>
      <sz val="10"/>
      <color theme="1"/>
      <name val="游ゴシック"/>
      <family val="3"/>
      <charset val="128"/>
      <scheme val="minor"/>
    </font>
    <font>
      <sz val="9"/>
      <color theme="1"/>
      <name val="游ゴシック"/>
      <family val="2"/>
      <charset val="128"/>
      <scheme val="minor"/>
    </font>
    <font>
      <sz val="14"/>
      <name val="游ゴシック"/>
      <family val="2"/>
      <charset val="128"/>
      <scheme val="minor"/>
    </font>
    <font>
      <sz val="11"/>
      <color rgb="FFFF0000"/>
      <name val="游ゴシック"/>
      <family val="2"/>
      <scheme val="minor"/>
    </font>
    <font>
      <sz val="11"/>
      <color rgb="FFFF0000"/>
      <name val="游ゴシック"/>
      <family val="2"/>
      <charset val="128"/>
      <scheme val="minor"/>
    </font>
    <font>
      <sz val="9"/>
      <color theme="1"/>
      <name val="游ゴシック"/>
      <family val="3"/>
      <charset val="128"/>
      <scheme val="minor"/>
    </font>
    <font>
      <u/>
      <sz val="11"/>
      <color rgb="FFFF0000"/>
      <name val="游ゴシック"/>
      <family val="3"/>
      <charset val="128"/>
      <scheme val="minor"/>
    </font>
    <font>
      <sz val="9"/>
      <name val="游ゴシック"/>
      <family val="3"/>
      <charset val="128"/>
      <scheme val="minor"/>
    </font>
  </fonts>
  <fills count="13">
    <fill>
      <patternFill patternType="none"/>
    </fill>
    <fill>
      <patternFill patternType="gray125"/>
    </fill>
    <fill>
      <patternFill patternType="solid">
        <fgColor theme="4" tint="-0.249977111117893"/>
        <bgColor theme="4" tint="-0.249977111117893"/>
      </patternFill>
    </fill>
    <fill>
      <patternFill patternType="solid">
        <fgColor theme="4" tint="0.39997558519241921"/>
        <bgColor theme="4" tint="0.39997558519241921"/>
      </patternFill>
    </fill>
    <fill>
      <patternFill patternType="solid">
        <fgColor theme="5" tint="0.79998168889431442"/>
        <bgColor indexed="64"/>
      </patternFill>
    </fill>
    <fill>
      <patternFill patternType="solid">
        <fgColor theme="2"/>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9" tint="0.79998168889431442"/>
        <bgColor indexed="64"/>
      </patternFill>
    </fill>
  </fills>
  <borders count="101">
    <border>
      <left/>
      <right/>
      <top/>
      <bottom/>
      <diagonal/>
    </border>
    <border>
      <left/>
      <right/>
      <top/>
      <bottom style="thin">
        <color theme="4" tint="-0.249977111117893"/>
      </bottom>
      <diagonal/>
    </border>
    <border>
      <left/>
      <right/>
      <top style="thin">
        <color theme="4" tint="-0.249977111117893"/>
      </top>
      <bottom style="thin">
        <color theme="4" tint="0.79998168889431442"/>
      </bottom>
      <diagonal/>
    </border>
    <border>
      <left/>
      <right/>
      <top style="thin">
        <color theme="4" tint="-0.249977111117893"/>
      </top>
      <bottom style="thin">
        <color theme="4" tint="0.59999389629810485"/>
      </bottom>
      <diagonal/>
    </border>
    <border>
      <left/>
      <right/>
      <top style="thin">
        <color theme="4" tint="0.79998168889431442"/>
      </top>
      <bottom style="thin">
        <color theme="4" tint="0.39997558519241921"/>
      </bottom>
      <diagonal/>
    </border>
    <border>
      <left/>
      <right/>
      <top style="thin">
        <color theme="4" tint="0.79998168889431442"/>
      </top>
      <bottom style="thin">
        <color theme="4" tint="0.79998168889431442"/>
      </bottom>
      <diagonal/>
    </border>
    <border>
      <left/>
      <right/>
      <top style="thin">
        <color theme="4" tint="0.39997558519241921"/>
      </top>
      <bottom style="thin">
        <color theme="4" tint="0.79998168889431442"/>
      </bottom>
      <diagonal/>
    </border>
    <border>
      <left/>
      <right/>
      <top style="double">
        <color theme="4" tint="-0.249977111117893"/>
      </top>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bottom/>
      <diagonal/>
    </border>
    <border>
      <left style="thin">
        <color indexed="64"/>
      </left>
      <right style="medium">
        <color indexed="64"/>
      </right>
      <top/>
      <bottom/>
      <diagonal/>
    </border>
    <border>
      <left style="medium">
        <color indexed="64"/>
      </left>
      <right style="thin">
        <color indexed="64"/>
      </right>
      <top style="double">
        <color indexed="64"/>
      </top>
      <bottom/>
      <diagonal/>
    </border>
    <border>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medium">
        <color indexed="64"/>
      </left>
      <right style="thin">
        <color indexed="64"/>
      </right>
      <top/>
      <bottom style="double">
        <color indexed="64"/>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style="thin">
        <color indexed="64"/>
      </left>
      <right style="medium">
        <color indexed="64"/>
      </right>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diagonal/>
    </border>
    <border diagonalDown="1">
      <left style="thin">
        <color indexed="64"/>
      </left>
      <right/>
      <top style="thin">
        <color indexed="64"/>
      </top>
      <bottom/>
      <diagonal style="thin">
        <color indexed="64"/>
      </diagonal>
    </border>
    <border diagonalDown="1">
      <left/>
      <right/>
      <top style="thin">
        <color indexed="64"/>
      </top>
      <bottom/>
      <diagonal style="thin">
        <color indexed="64"/>
      </diagonal>
    </border>
    <border diagonalDown="1">
      <left/>
      <right style="thin">
        <color indexed="64"/>
      </right>
      <top style="thin">
        <color indexed="64"/>
      </top>
      <bottom/>
      <diagonal style="thin">
        <color indexed="64"/>
      </diagonal>
    </border>
    <border diagonalDown="1">
      <left style="thin">
        <color indexed="64"/>
      </left>
      <right/>
      <top/>
      <bottom style="thin">
        <color indexed="64"/>
      </bottom>
      <diagonal style="thin">
        <color indexed="64"/>
      </diagonal>
    </border>
    <border diagonalDown="1">
      <left/>
      <right/>
      <top/>
      <bottom style="thin">
        <color indexed="64"/>
      </bottom>
      <diagonal style="thin">
        <color indexed="64"/>
      </diagonal>
    </border>
    <border diagonalDown="1">
      <left/>
      <right style="thin">
        <color indexed="64"/>
      </right>
      <top/>
      <bottom style="thin">
        <color indexed="64"/>
      </bottom>
      <diagonal style="thin">
        <color indexed="64"/>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right/>
      <top/>
      <bottom style="thin">
        <color indexed="64"/>
      </bottom>
      <diagonal/>
    </border>
    <border>
      <left/>
      <right style="thin">
        <color indexed="64"/>
      </right>
      <top style="medium">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diagonalDown="1">
      <left style="medium">
        <color indexed="64"/>
      </left>
      <right style="thin">
        <color indexed="64"/>
      </right>
      <top style="thin">
        <color indexed="64"/>
      </top>
      <bottom style="thin">
        <color indexed="64"/>
      </bottom>
      <diagonal style="thin">
        <color indexed="64"/>
      </diagonal>
    </border>
    <border diagonalDown="1">
      <left style="thin">
        <color indexed="64"/>
      </left>
      <right/>
      <top style="thin">
        <color indexed="64"/>
      </top>
      <bottom style="thin">
        <color indexed="64"/>
      </bottom>
      <diagonal style="thin">
        <color indexed="64"/>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s>
  <cellStyleXfs count="4">
    <xf numFmtId="0" fontId="0" fillId="0" borderId="0">
      <alignment vertical="center"/>
    </xf>
    <xf numFmtId="38" fontId="11" fillId="0" borderId="0" applyFont="0" applyFill="0" applyBorder="0" applyAlignment="0" applyProtection="0">
      <alignment vertical="center"/>
    </xf>
    <xf numFmtId="6" fontId="11" fillId="0" borderId="0" applyFont="0" applyFill="0" applyBorder="0" applyAlignment="0" applyProtection="0">
      <alignment vertical="center"/>
    </xf>
    <xf numFmtId="9" fontId="11" fillId="0" borderId="0" applyFont="0" applyFill="0" applyBorder="0" applyAlignment="0" applyProtection="0">
      <alignment vertical="center"/>
    </xf>
  </cellStyleXfs>
  <cellXfs count="686">
    <xf numFmtId="0" fontId="0" fillId="0" borderId="0" xfId="0">
      <alignment vertical="center"/>
    </xf>
    <xf numFmtId="14" fontId="0" fillId="0" borderId="0" xfId="0" applyNumberFormat="1">
      <alignment vertical="center"/>
    </xf>
    <xf numFmtId="0" fontId="8" fillId="0" borderId="0" xfId="0" applyFont="1">
      <alignment vertical="center"/>
    </xf>
    <xf numFmtId="0" fontId="1" fillId="2" borderId="1" xfId="0" applyFont="1" applyFill="1" applyBorder="1">
      <alignment vertical="center"/>
    </xf>
    <xf numFmtId="0" fontId="3" fillId="2" borderId="1" xfId="0" applyFont="1" applyFill="1" applyBorder="1">
      <alignment vertical="center"/>
    </xf>
    <xf numFmtId="0" fontId="3" fillId="2" borderId="2" xfId="0" applyFont="1" applyFill="1" applyBorder="1">
      <alignment vertical="center"/>
    </xf>
    <xf numFmtId="0" fontId="3" fillId="2" borderId="3" xfId="0" applyFont="1" applyFill="1" applyBorder="1">
      <alignment vertical="center"/>
    </xf>
    <xf numFmtId="0" fontId="3" fillId="3" borderId="4" xfId="0" applyFont="1" applyFill="1" applyBorder="1">
      <alignment vertical="center"/>
    </xf>
    <xf numFmtId="0" fontId="0" fillId="0" borderId="5" xfId="0" applyBorder="1">
      <alignment vertical="center"/>
    </xf>
    <xf numFmtId="0" fontId="3" fillId="3" borderId="6" xfId="0" applyFont="1" applyFill="1" applyBorder="1">
      <alignment vertical="center"/>
    </xf>
    <xf numFmtId="0" fontId="1" fillId="3" borderId="5" xfId="0" applyFont="1" applyFill="1" applyBorder="1">
      <alignment vertical="center"/>
    </xf>
    <xf numFmtId="0" fontId="2" fillId="0" borderId="7" xfId="0" applyFont="1" applyBorder="1">
      <alignment vertical="center"/>
    </xf>
    <xf numFmtId="176" fontId="0" fillId="0" borderId="5" xfId="0" applyNumberFormat="1" applyBorder="1">
      <alignment vertical="center"/>
    </xf>
    <xf numFmtId="176" fontId="2" fillId="3" borderId="5" xfId="0" applyNumberFormat="1" applyFont="1" applyFill="1" applyBorder="1">
      <alignment vertical="center"/>
    </xf>
    <xf numFmtId="176" fontId="2" fillId="0" borderId="7" xfId="0" applyNumberFormat="1" applyFont="1" applyBorder="1">
      <alignment vertical="center"/>
    </xf>
    <xf numFmtId="0" fontId="8" fillId="4" borderId="0" xfId="0" applyFont="1" applyFill="1">
      <alignment vertical="center"/>
    </xf>
    <xf numFmtId="0" fontId="0" fillId="4" borderId="0" xfId="0" applyFill="1">
      <alignment vertical="center"/>
    </xf>
    <xf numFmtId="0" fontId="6" fillId="0" borderId="0" xfId="0" applyFont="1" applyAlignment="1">
      <alignment horizontal="center" vertical="center"/>
    </xf>
    <xf numFmtId="0" fontId="7" fillId="0" borderId="0" xfId="0" applyFont="1" applyAlignment="1">
      <alignment horizontal="center" vertical="center"/>
    </xf>
    <xf numFmtId="0" fontId="4" fillId="0" borderId="0" xfId="0" applyFont="1">
      <alignment vertical="center"/>
    </xf>
    <xf numFmtId="0" fontId="12" fillId="0" borderId="0" xfId="0" applyFont="1">
      <alignment vertical="center"/>
    </xf>
    <xf numFmtId="0" fontId="13" fillId="0" borderId="0" xfId="0" applyFont="1">
      <alignment vertical="center"/>
    </xf>
    <xf numFmtId="0" fontId="15" fillId="0" borderId="0" xfId="0" applyFont="1">
      <alignment vertical="center"/>
    </xf>
    <xf numFmtId="0" fontId="14" fillId="6" borderId="0" xfId="0" applyFont="1" applyFill="1" applyAlignment="1">
      <alignment horizontal="left" vertical="center"/>
    </xf>
    <xf numFmtId="0" fontId="14" fillId="6" borderId="0" xfId="0" applyFont="1" applyFill="1" applyAlignment="1">
      <alignment horizontal="left" vertical="top" shrinkToFit="1"/>
    </xf>
    <xf numFmtId="0" fontId="14" fillId="6" borderId="0" xfId="0" applyFont="1" applyFill="1" applyAlignment="1">
      <alignment horizontal="center" vertical="top" shrinkToFit="1"/>
    </xf>
    <xf numFmtId="0" fontId="14" fillId="6" borderId="0" xfId="0" applyFont="1" applyFill="1" applyAlignment="1">
      <alignment horizontal="left" vertical="top"/>
    </xf>
    <xf numFmtId="0" fontId="14" fillId="0" borderId="0" xfId="0" applyFont="1" applyAlignment="1">
      <alignment horizontal="left" vertical="top"/>
    </xf>
    <xf numFmtId="177" fontId="14" fillId="6" borderId="0" xfId="0" applyNumberFormat="1" applyFont="1" applyFill="1" applyAlignment="1">
      <alignment horizontal="right" vertical="center"/>
    </xf>
    <xf numFmtId="0" fontId="17" fillId="6" borderId="0" xfId="0" applyFont="1" applyFill="1">
      <alignment vertical="center"/>
    </xf>
    <xf numFmtId="0" fontId="18" fillId="6" borderId="0" xfId="0" applyFont="1" applyFill="1" applyAlignment="1">
      <alignment vertical="top"/>
    </xf>
    <xf numFmtId="0" fontId="18" fillId="6" borderId="0" xfId="0" applyFont="1" applyFill="1" applyAlignment="1">
      <alignment horizontal="left" vertical="top"/>
    </xf>
    <xf numFmtId="0" fontId="19" fillId="6" borderId="0" xfId="0" applyFont="1" applyFill="1" applyAlignment="1">
      <alignment horizontal="left" vertical="top"/>
    </xf>
    <xf numFmtId="0" fontId="19" fillId="6" borderId="0" xfId="0" applyFont="1" applyFill="1" applyAlignment="1">
      <alignment horizontal="center" vertical="top"/>
    </xf>
    <xf numFmtId="0" fontId="19" fillId="6" borderId="0" xfId="0" applyFont="1" applyFill="1" applyAlignment="1">
      <alignment horizontal="left" vertical="top" shrinkToFit="1"/>
    </xf>
    <xf numFmtId="0" fontId="0" fillId="7" borderId="0" xfId="0" applyFill="1">
      <alignment vertical="center"/>
    </xf>
    <xf numFmtId="177" fontId="19" fillId="6" borderId="0" xfId="0" applyNumberFormat="1" applyFont="1" applyFill="1" applyAlignment="1">
      <alignment horizontal="center" vertical="center"/>
    </xf>
    <xf numFmtId="177" fontId="19" fillId="6" borderId="0" xfId="0" applyNumberFormat="1" applyFont="1" applyFill="1" applyAlignment="1">
      <alignment horizontal="right" vertical="center"/>
    </xf>
    <xf numFmtId="0" fontId="14" fillId="6" borderId="13" xfId="0" applyFont="1" applyFill="1" applyBorder="1" applyAlignment="1">
      <alignment horizontal="left" vertical="center"/>
    </xf>
    <xf numFmtId="0" fontId="14" fillId="6" borderId="14" xfId="0" applyFont="1" applyFill="1" applyBorder="1" applyAlignment="1">
      <alignment horizontal="left" vertical="top" shrinkToFit="1"/>
    </xf>
    <xf numFmtId="0" fontId="14" fillId="6" borderId="14" xfId="0" applyFont="1" applyFill="1" applyBorder="1" applyAlignment="1">
      <alignment horizontal="center" vertical="top" shrinkToFit="1"/>
    </xf>
    <xf numFmtId="0" fontId="14" fillId="6" borderId="15" xfId="0" applyFont="1" applyFill="1" applyBorder="1" applyAlignment="1">
      <alignment horizontal="left" vertical="top"/>
    </xf>
    <xf numFmtId="0" fontId="14" fillId="6" borderId="23" xfId="0" applyFont="1" applyFill="1" applyBorder="1" applyAlignment="1">
      <alignment horizontal="left" vertical="center" shrinkToFit="1"/>
    </xf>
    <xf numFmtId="0" fontId="14" fillId="6" borderId="24" xfId="0" applyFont="1" applyFill="1" applyBorder="1" applyAlignment="1">
      <alignment horizontal="right" vertical="top" shrinkToFit="1"/>
    </xf>
    <xf numFmtId="0" fontId="14" fillId="0" borderId="29" xfId="0" applyFont="1" applyBorder="1" applyAlignment="1">
      <alignment horizontal="center" vertical="center" shrinkToFit="1"/>
    </xf>
    <xf numFmtId="0" fontId="14" fillId="0" borderId="30" xfId="0" applyFont="1" applyBorder="1" applyAlignment="1">
      <alignment horizontal="center" vertical="center" shrinkToFit="1"/>
    </xf>
    <xf numFmtId="0" fontId="14" fillId="7" borderId="30" xfId="0" applyFont="1" applyFill="1" applyBorder="1" applyAlignment="1">
      <alignment horizontal="center" vertical="top" shrinkToFit="1"/>
    </xf>
    <xf numFmtId="0" fontId="14" fillId="7" borderId="31" xfId="0" applyFont="1" applyFill="1" applyBorder="1" applyAlignment="1">
      <alignment horizontal="center" vertical="top" shrinkToFit="1"/>
    </xf>
    <xf numFmtId="177" fontId="14" fillId="6" borderId="29" xfId="0" applyNumberFormat="1" applyFont="1" applyFill="1" applyBorder="1" applyAlignment="1">
      <alignment horizontal="center" vertical="center" shrinkToFit="1"/>
    </xf>
    <xf numFmtId="177" fontId="14" fillId="6" borderId="30" xfId="0" applyNumberFormat="1" applyFont="1" applyFill="1" applyBorder="1" applyAlignment="1">
      <alignment horizontal="center" vertical="center" shrinkToFit="1"/>
    </xf>
    <xf numFmtId="177" fontId="14" fillId="7" borderId="30" xfId="0" applyNumberFormat="1" applyFont="1" applyFill="1" applyBorder="1" applyAlignment="1">
      <alignment horizontal="center" vertical="center" shrinkToFit="1"/>
    </xf>
    <xf numFmtId="177" fontId="14" fillId="7" borderId="32" xfId="0" applyNumberFormat="1" applyFont="1" applyFill="1" applyBorder="1" applyAlignment="1">
      <alignment horizontal="center" vertical="center" shrinkToFit="1"/>
    </xf>
    <xf numFmtId="177" fontId="14" fillId="7" borderId="31" xfId="0" applyNumberFormat="1" applyFont="1" applyFill="1" applyBorder="1" applyAlignment="1">
      <alignment horizontal="center" vertical="center" shrinkToFit="1"/>
    </xf>
    <xf numFmtId="0" fontId="22" fillId="8" borderId="29" xfId="0" applyFont="1" applyFill="1" applyBorder="1" applyAlignment="1">
      <alignment horizontal="center" vertical="center"/>
    </xf>
    <xf numFmtId="0" fontId="22" fillId="8" borderId="31" xfId="0" applyFont="1" applyFill="1" applyBorder="1" applyAlignment="1">
      <alignment horizontal="center" vertical="center"/>
    </xf>
    <xf numFmtId="0" fontId="0" fillId="9" borderId="9" xfId="0" applyFill="1" applyBorder="1">
      <alignment vertical="center"/>
    </xf>
    <xf numFmtId="0" fontId="0" fillId="0" borderId="9" xfId="0" applyBorder="1">
      <alignment vertical="center"/>
    </xf>
    <xf numFmtId="0" fontId="14" fillId="6" borderId="33" xfId="0" applyFont="1" applyFill="1" applyBorder="1" applyAlignment="1">
      <alignment horizontal="left" vertical="center"/>
    </xf>
    <xf numFmtId="0" fontId="14" fillId="6" borderId="34" xfId="0" applyFont="1" applyFill="1" applyBorder="1" applyAlignment="1">
      <alignment horizontal="left" vertical="top" shrinkToFit="1"/>
    </xf>
    <xf numFmtId="0" fontId="14" fillId="6" borderId="34" xfId="0" applyFont="1" applyFill="1" applyBorder="1" applyAlignment="1">
      <alignment horizontal="center" vertical="top" shrinkToFit="1"/>
    </xf>
    <xf numFmtId="0" fontId="14" fillId="6" borderId="35" xfId="0" applyFont="1" applyFill="1" applyBorder="1" applyAlignment="1">
      <alignment horizontal="left" vertical="top"/>
    </xf>
    <xf numFmtId="177" fontId="14" fillId="0" borderId="36" xfId="0" applyNumberFormat="1" applyFont="1" applyBorder="1" applyAlignment="1">
      <alignment horizontal="right" vertical="top"/>
    </xf>
    <xf numFmtId="177" fontId="14" fillId="0" borderId="37" xfId="0" applyNumberFormat="1" applyFont="1" applyBorder="1" applyAlignment="1">
      <alignment horizontal="right" vertical="top"/>
    </xf>
    <xf numFmtId="177" fontId="14" fillId="7" borderId="37" xfId="0" applyNumberFormat="1" applyFont="1" applyFill="1" applyBorder="1" applyAlignment="1">
      <alignment horizontal="right" vertical="top"/>
    </xf>
    <xf numFmtId="177" fontId="14" fillId="7" borderId="38" xfId="0" applyNumberFormat="1" applyFont="1" applyFill="1" applyBorder="1" applyAlignment="1">
      <alignment horizontal="right" vertical="top"/>
    </xf>
    <xf numFmtId="177" fontId="14" fillId="6" borderId="36" xfId="0" applyNumberFormat="1" applyFont="1" applyFill="1" applyBorder="1">
      <alignment vertical="center"/>
    </xf>
    <xf numFmtId="177" fontId="14" fillId="6" borderId="37" xfId="0" applyNumberFormat="1" applyFont="1" applyFill="1" applyBorder="1">
      <alignment vertical="center"/>
    </xf>
    <xf numFmtId="177" fontId="14" fillId="7" borderId="37" xfId="0" applyNumberFormat="1" applyFont="1" applyFill="1" applyBorder="1">
      <alignment vertical="center"/>
    </xf>
    <xf numFmtId="177" fontId="14" fillId="7" borderId="39" xfId="0" applyNumberFormat="1" applyFont="1" applyFill="1" applyBorder="1">
      <alignment vertical="center"/>
    </xf>
    <xf numFmtId="177" fontId="15" fillId="7" borderId="38" xfId="0" applyNumberFormat="1" applyFont="1" applyFill="1" applyBorder="1">
      <alignment vertical="center"/>
    </xf>
    <xf numFmtId="2" fontId="15" fillId="7" borderId="39" xfId="0" applyNumberFormat="1" applyFont="1" applyFill="1" applyBorder="1">
      <alignment vertical="center"/>
    </xf>
    <xf numFmtId="177" fontId="22" fillId="8" borderId="36" xfId="0" applyNumberFormat="1" applyFont="1" applyFill="1" applyBorder="1">
      <alignment vertical="center"/>
    </xf>
    <xf numFmtId="177" fontId="22" fillId="8" borderId="38" xfId="0" applyNumberFormat="1" applyFont="1" applyFill="1" applyBorder="1">
      <alignment vertical="center"/>
    </xf>
    <xf numFmtId="0" fontId="14" fillId="6" borderId="40" xfId="0" applyFont="1" applyFill="1" applyBorder="1" applyAlignment="1">
      <alignment horizontal="left" vertical="center"/>
    </xf>
    <xf numFmtId="0" fontId="14" fillId="6" borderId="41" xfId="0" applyFont="1" applyFill="1" applyBorder="1" applyAlignment="1">
      <alignment horizontal="left" vertical="top" shrinkToFit="1"/>
    </xf>
    <xf numFmtId="0" fontId="14" fillId="6" borderId="41" xfId="0" applyFont="1" applyFill="1" applyBorder="1" applyAlignment="1">
      <alignment horizontal="center" vertical="top" shrinkToFit="1"/>
    </xf>
    <xf numFmtId="0" fontId="14" fillId="6" borderId="42" xfId="0" applyFont="1" applyFill="1" applyBorder="1" applyAlignment="1">
      <alignment horizontal="left" vertical="top" shrinkToFit="1"/>
    </xf>
    <xf numFmtId="0" fontId="14" fillId="6" borderId="43" xfId="0" applyFont="1" applyFill="1" applyBorder="1" applyAlignment="1">
      <alignment horizontal="left" vertical="top" wrapText="1"/>
    </xf>
    <xf numFmtId="177" fontId="14" fillId="0" borderId="44" xfId="0" applyNumberFormat="1" applyFont="1" applyBorder="1" applyAlignment="1">
      <alignment horizontal="right" vertical="top" wrapText="1"/>
    </xf>
    <xf numFmtId="177" fontId="14" fillId="0" borderId="41" xfId="0" applyNumberFormat="1" applyFont="1" applyBorder="1" applyAlignment="1">
      <alignment horizontal="right" vertical="top" wrapText="1"/>
    </xf>
    <xf numFmtId="177" fontId="14" fillId="7" borderId="41" xfId="0" applyNumberFormat="1" applyFont="1" applyFill="1" applyBorder="1" applyAlignment="1">
      <alignment horizontal="right" vertical="top" wrapText="1"/>
    </xf>
    <xf numFmtId="177" fontId="14" fillId="7" borderId="42" xfId="0" applyNumberFormat="1" applyFont="1" applyFill="1" applyBorder="1" applyAlignment="1">
      <alignment horizontal="right" vertical="top" wrapText="1"/>
    </xf>
    <xf numFmtId="177" fontId="14" fillId="6" borderId="44" xfId="0" applyNumberFormat="1" applyFont="1" applyFill="1" applyBorder="1" applyAlignment="1">
      <alignment horizontal="right" vertical="center"/>
    </xf>
    <xf numFmtId="177" fontId="14" fillId="6" borderId="41" xfId="0" applyNumberFormat="1" applyFont="1" applyFill="1" applyBorder="1" applyAlignment="1">
      <alignment horizontal="right" vertical="center"/>
    </xf>
    <xf numFmtId="177" fontId="14" fillId="7" borderId="41" xfId="0" applyNumberFormat="1" applyFont="1" applyFill="1" applyBorder="1">
      <alignment vertical="center"/>
    </xf>
    <xf numFmtId="177" fontId="14" fillId="7" borderId="43" xfId="0" applyNumberFormat="1" applyFont="1" applyFill="1" applyBorder="1">
      <alignment vertical="center"/>
    </xf>
    <xf numFmtId="40" fontId="0" fillId="7" borderId="42" xfId="1" applyNumberFormat="1" applyFont="1" applyFill="1" applyBorder="1">
      <alignment vertical="center"/>
    </xf>
    <xf numFmtId="2" fontId="15" fillId="7" borderId="43" xfId="0" applyNumberFormat="1" applyFont="1" applyFill="1" applyBorder="1">
      <alignment vertical="center"/>
    </xf>
    <xf numFmtId="2" fontId="22" fillId="8" borderId="44" xfId="0" applyNumberFormat="1" applyFont="1" applyFill="1" applyBorder="1">
      <alignment vertical="center"/>
    </xf>
    <xf numFmtId="2" fontId="22" fillId="8" borderId="42" xfId="0" applyNumberFormat="1" applyFont="1" applyFill="1" applyBorder="1">
      <alignment vertical="center"/>
    </xf>
    <xf numFmtId="0" fontId="14" fillId="6" borderId="45" xfId="0" applyFont="1" applyFill="1" applyBorder="1" applyAlignment="1">
      <alignment horizontal="left" vertical="top" shrinkToFit="1"/>
    </xf>
    <xf numFmtId="0" fontId="14" fillId="6" borderId="45" xfId="0" applyFont="1" applyFill="1" applyBorder="1" applyAlignment="1">
      <alignment horizontal="center" vertical="top" shrinkToFit="1"/>
    </xf>
    <xf numFmtId="0" fontId="14" fillId="6" borderId="26" xfId="0" applyFont="1" applyFill="1" applyBorder="1" applyAlignment="1">
      <alignment horizontal="left" vertical="top" wrapText="1"/>
    </xf>
    <xf numFmtId="177" fontId="14" fillId="0" borderId="25" xfId="0" applyNumberFormat="1" applyFont="1" applyBorder="1" applyAlignment="1">
      <alignment horizontal="right" vertical="top" wrapText="1"/>
    </xf>
    <xf numFmtId="177" fontId="14" fillId="0" borderId="9" xfId="0" applyNumberFormat="1" applyFont="1" applyBorder="1" applyAlignment="1">
      <alignment horizontal="right" vertical="top" wrapText="1"/>
    </xf>
    <xf numFmtId="177" fontId="14" fillId="7" borderId="9" xfId="0" applyNumberFormat="1" applyFont="1" applyFill="1" applyBorder="1" applyAlignment="1">
      <alignment horizontal="right" vertical="top" wrapText="1"/>
    </xf>
    <xf numFmtId="177" fontId="14" fillId="7" borderId="10" xfId="0" applyNumberFormat="1" applyFont="1" applyFill="1" applyBorder="1" applyAlignment="1">
      <alignment horizontal="right" vertical="top" wrapText="1"/>
    </xf>
    <xf numFmtId="177" fontId="14" fillId="6" borderId="25" xfId="0" applyNumberFormat="1" applyFont="1" applyFill="1" applyBorder="1" applyAlignment="1">
      <alignment horizontal="right" vertical="center"/>
    </xf>
    <xf numFmtId="177" fontId="14" fillId="6" borderId="9" xfId="0" applyNumberFormat="1" applyFont="1" applyFill="1" applyBorder="1" applyAlignment="1">
      <alignment horizontal="right" vertical="center"/>
    </xf>
    <xf numFmtId="177" fontId="14" fillId="7" borderId="9" xfId="0" applyNumberFormat="1" applyFont="1" applyFill="1" applyBorder="1">
      <alignment vertical="center"/>
    </xf>
    <xf numFmtId="177" fontId="14" fillId="7" borderId="26" xfId="0" applyNumberFormat="1" applyFont="1" applyFill="1" applyBorder="1">
      <alignment vertical="center"/>
    </xf>
    <xf numFmtId="40" fontId="0" fillId="7" borderId="10" xfId="1" applyNumberFormat="1" applyFont="1" applyFill="1" applyBorder="1">
      <alignment vertical="center"/>
    </xf>
    <xf numFmtId="2" fontId="15" fillId="7" borderId="26" xfId="0" applyNumberFormat="1" applyFont="1" applyFill="1" applyBorder="1">
      <alignment vertical="center"/>
    </xf>
    <xf numFmtId="2" fontId="22" fillId="8" borderId="25" xfId="0" applyNumberFormat="1" applyFont="1" applyFill="1" applyBorder="1">
      <alignment vertical="center"/>
    </xf>
    <xf numFmtId="2" fontId="22" fillId="8" borderId="10" xfId="0" applyNumberFormat="1" applyFont="1" applyFill="1" applyBorder="1">
      <alignment vertical="center"/>
    </xf>
    <xf numFmtId="0" fontId="14" fillId="6" borderId="46" xfId="0" applyFont="1" applyFill="1" applyBorder="1" applyAlignment="1">
      <alignment horizontal="center" vertical="top" shrinkToFit="1"/>
    </xf>
    <xf numFmtId="0" fontId="14" fillId="6" borderId="47" xfId="0" applyFont="1" applyFill="1" applyBorder="1" applyAlignment="1">
      <alignment horizontal="left" vertical="top" shrinkToFit="1"/>
    </xf>
    <xf numFmtId="0" fontId="14" fillId="0" borderId="45" xfId="0" applyFont="1" applyBorder="1" applyAlignment="1">
      <alignment horizontal="center" vertical="top" shrinkToFit="1"/>
    </xf>
    <xf numFmtId="0" fontId="14" fillId="0" borderId="41" xfId="0" applyFont="1" applyBorder="1" applyAlignment="1">
      <alignment horizontal="left" vertical="top" shrinkToFit="1"/>
    </xf>
    <xf numFmtId="0" fontId="14" fillId="0" borderId="42" xfId="0" applyFont="1" applyBorder="1" applyAlignment="1">
      <alignment horizontal="left" vertical="top" shrinkToFit="1"/>
    </xf>
    <xf numFmtId="0" fontId="14" fillId="0" borderId="43" xfId="0" applyFont="1" applyBorder="1" applyAlignment="1">
      <alignment horizontal="left" vertical="top" wrapText="1"/>
    </xf>
    <xf numFmtId="177" fontId="14" fillId="0" borderId="25" xfId="0" applyNumberFormat="1" applyFont="1" applyBorder="1" applyAlignment="1">
      <alignment horizontal="right" vertical="center"/>
    </xf>
    <xf numFmtId="177" fontId="14" fillId="0" borderId="9" xfId="0" applyNumberFormat="1" applyFont="1" applyBorder="1" applyAlignment="1">
      <alignment horizontal="right" vertical="center"/>
    </xf>
    <xf numFmtId="0" fontId="14" fillId="6" borderId="30" xfId="0" applyFont="1" applyFill="1" applyBorder="1" applyAlignment="1">
      <alignment horizontal="left" vertical="top" shrinkToFit="1"/>
    </xf>
    <xf numFmtId="0" fontId="14" fillId="0" borderId="46" xfId="0" applyFont="1" applyBorder="1" applyAlignment="1">
      <alignment horizontal="center" vertical="top" shrinkToFit="1"/>
    </xf>
    <xf numFmtId="0" fontId="14" fillId="0" borderId="46" xfId="0" applyFont="1" applyBorder="1" applyAlignment="1">
      <alignment horizontal="left" vertical="top" shrinkToFit="1"/>
    </xf>
    <xf numFmtId="0" fontId="14" fillId="0" borderId="48" xfId="0" applyFont="1" applyBorder="1" applyAlignment="1">
      <alignment horizontal="left" vertical="top" shrinkToFit="1"/>
    </xf>
    <xf numFmtId="0" fontId="14" fillId="0" borderId="49" xfId="0" applyFont="1" applyBorder="1" applyAlignment="1">
      <alignment horizontal="left" vertical="top" wrapText="1"/>
    </xf>
    <xf numFmtId="177" fontId="14" fillId="0" borderId="29" xfId="0" applyNumberFormat="1" applyFont="1" applyBorder="1" applyAlignment="1">
      <alignment horizontal="right" vertical="top" wrapText="1"/>
    </xf>
    <xf numFmtId="177" fontId="14" fillId="0" borderId="30" xfId="0" applyNumberFormat="1" applyFont="1" applyBorder="1" applyAlignment="1">
      <alignment horizontal="right" vertical="top" wrapText="1"/>
    </xf>
    <xf numFmtId="177" fontId="14" fillId="7" borderId="30" xfId="0" applyNumberFormat="1" applyFont="1" applyFill="1" applyBorder="1" applyAlignment="1">
      <alignment horizontal="right" vertical="top" wrapText="1"/>
    </xf>
    <xf numFmtId="177" fontId="14" fillId="7" borderId="31" xfId="0" applyNumberFormat="1" applyFont="1" applyFill="1" applyBorder="1" applyAlignment="1">
      <alignment horizontal="right" vertical="top" wrapText="1"/>
    </xf>
    <xf numFmtId="177" fontId="14" fillId="0" borderId="29" xfId="0" applyNumberFormat="1" applyFont="1" applyBorder="1" applyAlignment="1">
      <alignment horizontal="right" vertical="center"/>
    </xf>
    <xf numFmtId="177" fontId="14" fillId="0" borderId="30" xfId="0" applyNumberFormat="1" applyFont="1" applyBorder="1" applyAlignment="1">
      <alignment horizontal="right" vertical="center"/>
    </xf>
    <xf numFmtId="177" fontId="14" fillId="7" borderId="30" xfId="0" applyNumberFormat="1" applyFont="1" applyFill="1" applyBorder="1">
      <alignment vertical="center"/>
    </xf>
    <xf numFmtId="177" fontId="14" fillId="7" borderId="32" xfId="0" applyNumberFormat="1" applyFont="1" applyFill="1" applyBorder="1">
      <alignment vertical="center"/>
    </xf>
    <xf numFmtId="40" fontId="0" fillId="7" borderId="31" xfId="1" applyNumberFormat="1" applyFont="1" applyFill="1" applyBorder="1">
      <alignment vertical="center"/>
    </xf>
    <xf numFmtId="2" fontId="15" fillId="7" borderId="32" xfId="0" applyNumberFormat="1" applyFont="1" applyFill="1" applyBorder="1">
      <alignment vertical="center"/>
    </xf>
    <xf numFmtId="2" fontId="22" fillId="8" borderId="29" xfId="0" applyNumberFormat="1" applyFont="1" applyFill="1" applyBorder="1">
      <alignment vertical="center"/>
    </xf>
    <xf numFmtId="2" fontId="22" fillId="8" borderId="31" xfId="0" applyNumberFormat="1" applyFont="1" applyFill="1" applyBorder="1">
      <alignment vertical="center"/>
    </xf>
    <xf numFmtId="0" fontId="0" fillId="0" borderId="30" xfId="0" applyBorder="1">
      <alignment vertical="center"/>
    </xf>
    <xf numFmtId="0" fontId="14" fillId="6" borderId="50" xfId="0" applyFont="1" applyFill="1" applyBorder="1" applyAlignment="1">
      <alignment horizontal="left" vertical="center"/>
    </xf>
    <xf numFmtId="0" fontId="14" fillId="6" borderId="51" xfId="0" applyFont="1" applyFill="1" applyBorder="1" applyAlignment="1">
      <alignment horizontal="left" vertical="top" shrinkToFit="1"/>
    </xf>
    <xf numFmtId="0" fontId="14" fillId="0" borderId="52" xfId="0" applyFont="1" applyBorder="1" applyAlignment="1">
      <alignment horizontal="center" vertical="top" shrinkToFit="1"/>
    </xf>
    <xf numFmtId="0" fontId="14" fillId="0" borderId="53" xfId="0" applyFont="1" applyBorder="1" applyAlignment="1">
      <alignment horizontal="left" vertical="top" shrinkToFit="1"/>
    </xf>
    <xf numFmtId="0" fontId="14" fillId="0" borderId="54" xfId="0" applyFont="1" applyBorder="1" applyAlignment="1">
      <alignment horizontal="left" vertical="top" shrinkToFit="1"/>
    </xf>
    <xf numFmtId="0" fontId="14" fillId="0" borderId="55" xfId="0" applyFont="1" applyBorder="1" applyAlignment="1">
      <alignment horizontal="left" vertical="top" wrapText="1"/>
    </xf>
    <xf numFmtId="177" fontId="14" fillId="0" borderId="56" xfId="0" applyNumberFormat="1" applyFont="1" applyBorder="1" applyAlignment="1">
      <alignment horizontal="right" vertical="top" wrapText="1"/>
    </xf>
    <xf numFmtId="177" fontId="14" fillId="0" borderId="53" xfId="0" applyNumberFormat="1" applyFont="1" applyBorder="1" applyAlignment="1">
      <alignment horizontal="right" vertical="top" wrapText="1"/>
    </xf>
    <xf numFmtId="177" fontId="14" fillId="7" borderId="53" xfId="0" applyNumberFormat="1" applyFont="1" applyFill="1" applyBorder="1" applyAlignment="1">
      <alignment horizontal="right" vertical="top" wrapText="1"/>
    </xf>
    <xf numFmtId="177" fontId="14" fillId="7" borderId="54" xfId="0" applyNumberFormat="1" applyFont="1" applyFill="1" applyBorder="1" applyAlignment="1">
      <alignment horizontal="right" vertical="top" wrapText="1"/>
    </xf>
    <xf numFmtId="177" fontId="14" fillId="0" borderId="56" xfId="0" applyNumberFormat="1" applyFont="1" applyBorder="1" applyAlignment="1">
      <alignment horizontal="right" vertical="center"/>
    </xf>
    <xf numFmtId="177" fontId="14" fillId="0" borderId="53" xfId="0" applyNumberFormat="1" applyFont="1" applyBorder="1" applyAlignment="1">
      <alignment horizontal="right" vertical="center"/>
    </xf>
    <xf numFmtId="177" fontId="14" fillId="7" borderId="53" xfId="0" applyNumberFormat="1" applyFont="1" applyFill="1" applyBorder="1">
      <alignment vertical="center"/>
    </xf>
    <xf numFmtId="177" fontId="14" fillId="7" borderId="55" xfId="0" applyNumberFormat="1" applyFont="1" applyFill="1" applyBorder="1">
      <alignment vertical="center"/>
    </xf>
    <xf numFmtId="40" fontId="0" fillId="7" borderId="54" xfId="1" applyNumberFormat="1" applyFont="1" applyFill="1" applyBorder="1">
      <alignment vertical="center"/>
    </xf>
    <xf numFmtId="2" fontId="15" fillId="7" borderId="55" xfId="0" applyNumberFormat="1" applyFont="1" applyFill="1" applyBorder="1">
      <alignment vertical="center"/>
    </xf>
    <xf numFmtId="2" fontId="22" fillId="8" borderId="56" xfId="0" applyNumberFormat="1" applyFont="1" applyFill="1" applyBorder="1">
      <alignment vertical="center"/>
    </xf>
    <xf numFmtId="2" fontId="22" fillId="8" borderId="54" xfId="0" applyNumberFormat="1" applyFont="1" applyFill="1" applyBorder="1">
      <alignment vertical="center"/>
    </xf>
    <xf numFmtId="0" fontId="0" fillId="0" borderId="53" xfId="0" applyBorder="1">
      <alignment vertical="center"/>
    </xf>
    <xf numFmtId="0" fontId="14" fillId="6" borderId="57" xfId="0" applyFont="1" applyFill="1" applyBorder="1" applyAlignment="1">
      <alignment horizontal="left" vertical="center"/>
    </xf>
    <xf numFmtId="0" fontId="14" fillId="6" borderId="58" xfId="0" applyFont="1" applyFill="1" applyBorder="1" applyAlignment="1">
      <alignment horizontal="left" vertical="top" shrinkToFit="1"/>
    </xf>
    <xf numFmtId="0" fontId="14" fillId="0" borderId="59" xfId="0" applyFont="1" applyBorder="1" applyAlignment="1">
      <alignment horizontal="center" vertical="top" shrinkToFit="1"/>
    </xf>
    <xf numFmtId="0" fontId="14" fillId="0" borderId="59" xfId="0" applyFont="1" applyBorder="1" applyAlignment="1">
      <alignment horizontal="left" vertical="top" shrinkToFit="1"/>
    </xf>
    <xf numFmtId="0" fontId="14" fillId="0" borderId="60" xfId="0" applyFont="1" applyBorder="1" applyAlignment="1">
      <alignment horizontal="left" vertical="top" shrinkToFit="1"/>
    </xf>
    <xf numFmtId="0" fontId="14" fillId="0" borderId="61" xfId="0" applyFont="1" applyBorder="1" applyAlignment="1">
      <alignment horizontal="left" vertical="top" wrapText="1"/>
    </xf>
    <xf numFmtId="177" fontId="14" fillId="0" borderId="62" xfId="0" applyNumberFormat="1" applyFont="1" applyBorder="1" applyAlignment="1">
      <alignment horizontal="right" vertical="top" wrapText="1"/>
    </xf>
    <xf numFmtId="177" fontId="14" fillId="0" borderId="63" xfId="0" applyNumberFormat="1" applyFont="1" applyBorder="1" applyAlignment="1">
      <alignment horizontal="right" vertical="top" wrapText="1"/>
    </xf>
    <xf numFmtId="177" fontId="14" fillId="7" borderId="63" xfId="0" applyNumberFormat="1" applyFont="1" applyFill="1" applyBorder="1" applyAlignment="1">
      <alignment horizontal="right" vertical="top" wrapText="1"/>
    </xf>
    <xf numFmtId="177" fontId="14" fillId="7" borderId="64" xfId="0" applyNumberFormat="1" applyFont="1" applyFill="1" applyBorder="1" applyAlignment="1">
      <alignment horizontal="right" vertical="top" wrapText="1"/>
    </xf>
    <xf numFmtId="177" fontId="14" fillId="0" borderId="62" xfId="0" applyNumberFormat="1" applyFont="1" applyBorder="1" applyAlignment="1">
      <alignment horizontal="right" vertical="center"/>
    </xf>
    <xf numFmtId="177" fontId="14" fillId="0" borderId="63" xfId="0" applyNumberFormat="1" applyFont="1" applyBorder="1" applyAlignment="1">
      <alignment horizontal="right" vertical="center"/>
    </xf>
    <xf numFmtId="177" fontId="14" fillId="7" borderId="63" xfId="0" applyNumberFormat="1" applyFont="1" applyFill="1" applyBorder="1">
      <alignment vertical="center"/>
    </xf>
    <xf numFmtId="177" fontId="14" fillId="7" borderId="65" xfId="0" applyNumberFormat="1" applyFont="1" applyFill="1" applyBorder="1">
      <alignment vertical="center"/>
    </xf>
    <xf numFmtId="40" fontId="0" fillId="7" borderId="64" xfId="1" applyNumberFormat="1" applyFont="1" applyFill="1" applyBorder="1">
      <alignment vertical="center"/>
    </xf>
    <xf numFmtId="2" fontId="15" fillId="7" borderId="65" xfId="0" applyNumberFormat="1" applyFont="1" applyFill="1" applyBorder="1">
      <alignment vertical="center"/>
    </xf>
    <xf numFmtId="2" fontId="22" fillId="8" borderId="62" xfId="0" applyNumberFormat="1" applyFont="1" applyFill="1" applyBorder="1">
      <alignment vertical="center"/>
    </xf>
    <xf numFmtId="2" fontId="22" fillId="8" borderId="64" xfId="0" applyNumberFormat="1" applyFont="1" applyFill="1" applyBorder="1">
      <alignment vertical="center"/>
    </xf>
    <xf numFmtId="0" fontId="0" fillId="0" borderId="63" xfId="0" applyBorder="1">
      <alignment vertical="center"/>
    </xf>
    <xf numFmtId="177" fontId="14" fillId="0" borderId="44" xfId="0" applyNumberFormat="1" applyFont="1" applyBorder="1" applyAlignment="1">
      <alignment horizontal="right" vertical="center"/>
    </xf>
    <xf numFmtId="177" fontId="14" fillId="0" borderId="41" xfId="0" applyNumberFormat="1" applyFont="1" applyBorder="1" applyAlignment="1">
      <alignment horizontal="right" vertical="center"/>
    </xf>
    <xf numFmtId="0" fontId="0" fillId="0" borderId="41" xfId="0" applyBorder="1">
      <alignment vertical="center"/>
    </xf>
    <xf numFmtId="0" fontId="14" fillId="0" borderId="9" xfId="0" applyFont="1" applyBorder="1" applyAlignment="1">
      <alignment horizontal="left" vertical="top" shrinkToFit="1"/>
    </xf>
    <xf numFmtId="0" fontId="14" fillId="0" borderId="10" xfId="0" applyFont="1" applyBorder="1" applyAlignment="1">
      <alignment horizontal="left" vertical="top" shrinkToFit="1"/>
    </xf>
    <xf numFmtId="0" fontId="14" fillId="0" borderId="26" xfId="0" applyFont="1" applyBorder="1" applyAlignment="1">
      <alignment horizontal="left" vertical="top" wrapText="1"/>
    </xf>
    <xf numFmtId="0" fontId="14" fillId="0" borderId="41" xfId="0" applyFont="1" applyBorder="1" applyAlignment="1">
      <alignment horizontal="center" vertical="top" shrinkToFit="1"/>
    </xf>
    <xf numFmtId="6" fontId="14" fillId="6" borderId="40" xfId="2" applyFont="1" applyFill="1" applyBorder="1" applyAlignment="1">
      <alignment horizontal="left" vertical="center"/>
    </xf>
    <xf numFmtId="6" fontId="14" fillId="0" borderId="9" xfId="2" applyFont="1" applyFill="1" applyBorder="1" applyAlignment="1">
      <alignment horizontal="left" vertical="top" shrinkToFit="1"/>
    </xf>
    <xf numFmtId="6" fontId="14" fillId="0" borderId="10" xfId="2" applyFont="1" applyFill="1" applyBorder="1" applyAlignment="1">
      <alignment horizontal="left" vertical="top" shrinkToFit="1"/>
    </xf>
    <xf numFmtId="177" fontId="14" fillId="0" borderId="25" xfId="2" applyNumberFormat="1" applyFont="1" applyFill="1" applyBorder="1" applyAlignment="1">
      <alignment horizontal="right" vertical="center"/>
    </xf>
    <xf numFmtId="177" fontId="14" fillId="0" borderId="9" xfId="2" applyNumberFormat="1" applyFont="1" applyFill="1" applyBorder="1" applyAlignment="1">
      <alignment horizontal="right" vertical="center"/>
    </xf>
    <xf numFmtId="0" fontId="14" fillId="0" borderId="30" xfId="0" applyFont="1" applyBorder="1" applyAlignment="1">
      <alignment horizontal="left" vertical="top" shrinkToFit="1"/>
    </xf>
    <xf numFmtId="0" fontId="14" fillId="0" borderId="31" xfId="0" applyFont="1" applyBorder="1" applyAlignment="1">
      <alignment horizontal="left" vertical="top" shrinkToFit="1"/>
    </xf>
    <xf numFmtId="0" fontId="14" fillId="0" borderId="32" xfId="0" applyFont="1" applyBorder="1" applyAlignment="1">
      <alignment horizontal="left" vertical="top" wrapText="1"/>
    </xf>
    <xf numFmtId="0" fontId="14" fillId="0" borderId="51" xfId="0" applyFont="1" applyBorder="1" applyAlignment="1">
      <alignment horizontal="center" vertical="top" shrinkToFit="1"/>
    </xf>
    <xf numFmtId="0" fontId="14" fillId="6" borderId="46" xfId="0" applyFont="1" applyFill="1" applyBorder="1" applyAlignment="1">
      <alignment horizontal="left" vertical="top" shrinkToFit="1"/>
    </xf>
    <xf numFmtId="0" fontId="14" fillId="0" borderId="58" xfId="0" applyFont="1" applyBorder="1" applyAlignment="1">
      <alignment horizontal="center" vertical="top" shrinkToFit="1"/>
    </xf>
    <xf numFmtId="0" fontId="14" fillId="0" borderId="63" xfId="0" applyFont="1" applyBorder="1" applyAlignment="1">
      <alignment horizontal="left" vertical="top" shrinkToFit="1"/>
    </xf>
    <xf numFmtId="0" fontId="14" fillId="0" borderId="64" xfId="0" applyFont="1" applyBorder="1" applyAlignment="1">
      <alignment horizontal="left" vertical="top" shrinkToFit="1"/>
    </xf>
    <xf numFmtId="0" fontId="14" fillId="6" borderId="52" xfId="0" applyFont="1" applyFill="1" applyBorder="1" applyAlignment="1">
      <alignment horizontal="center" vertical="top" shrinkToFit="1"/>
    </xf>
    <xf numFmtId="0" fontId="14" fillId="6" borderId="53" xfId="0" applyFont="1" applyFill="1" applyBorder="1" applyAlignment="1">
      <alignment horizontal="left" vertical="top" shrinkToFit="1"/>
    </xf>
    <xf numFmtId="0" fontId="14" fillId="6" borderId="54" xfId="0" applyFont="1" applyFill="1" applyBorder="1" applyAlignment="1">
      <alignment horizontal="left" vertical="top" shrinkToFit="1"/>
    </xf>
    <xf numFmtId="0" fontId="14" fillId="6" borderId="55" xfId="0" applyFont="1" applyFill="1" applyBorder="1" applyAlignment="1">
      <alignment horizontal="left" vertical="top" wrapText="1"/>
    </xf>
    <xf numFmtId="177" fontId="14" fillId="6" borderId="53" xfId="0" applyNumberFormat="1" applyFont="1" applyFill="1" applyBorder="1" applyAlignment="1">
      <alignment horizontal="right" vertical="top" wrapText="1"/>
    </xf>
    <xf numFmtId="177" fontId="14" fillId="6" borderId="56" xfId="0" applyNumberFormat="1" applyFont="1" applyFill="1" applyBorder="1" applyAlignment="1">
      <alignment horizontal="right" vertical="center"/>
    </xf>
    <xf numFmtId="177" fontId="14" fillId="6" borderId="53" xfId="0" applyNumberFormat="1" applyFont="1" applyFill="1" applyBorder="1" applyAlignment="1">
      <alignment horizontal="right" vertical="center"/>
    </xf>
    <xf numFmtId="0" fontId="14" fillId="6" borderId="63" xfId="0" applyFont="1" applyFill="1" applyBorder="1" applyAlignment="1">
      <alignment horizontal="left" vertical="top" shrinkToFit="1"/>
    </xf>
    <xf numFmtId="0" fontId="14" fillId="6" borderId="63" xfId="0" applyFont="1" applyFill="1" applyBorder="1" applyAlignment="1">
      <alignment horizontal="center" vertical="top" shrinkToFit="1"/>
    </xf>
    <xf numFmtId="0" fontId="14" fillId="6" borderId="64" xfId="0" applyFont="1" applyFill="1" applyBorder="1" applyAlignment="1">
      <alignment horizontal="left" vertical="top" shrinkToFit="1"/>
    </xf>
    <xf numFmtId="0" fontId="14" fillId="6" borderId="65" xfId="0" applyFont="1" applyFill="1" applyBorder="1" applyAlignment="1">
      <alignment horizontal="left" vertical="top" wrapText="1"/>
    </xf>
    <xf numFmtId="177" fontId="14" fillId="6" borderId="63" xfId="0" applyNumberFormat="1" applyFont="1" applyFill="1" applyBorder="1" applyAlignment="1">
      <alignment horizontal="right" vertical="top" wrapText="1"/>
    </xf>
    <xf numFmtId="177" fontId="14" fillId="6" borderId="62" xfId="0" applyNumberFormat="1" applyFont="1" applyFill="1" applyBorder="1" applyAlignment="1">
      <alignment horizontal="right" vertical="center"/>
    </xf>
    <xf numFmtId="177" fontId="14" fillId="6" borderId="63" xfId="0" applyNumberFormat="1" applyFont="1" applyFill="1" applyBorder="1" applyAlignment="1">
      <alignment horizontal="right" vertical="center"/>
    </xf>
    <xf numFmtId="0" fontId="14" fillId="6" borderId="23" xfId="0" applyFont="1" applyFill="1" applyBorder="1" applyAlignment="1">
      <alignment horizontal="left" vertical="center"/>
    </xf>
    <xf numFmtId="0" fontId="14" fillId="6" borderId="48" xfId="0" applyFont="1" applyFill="1" applyBorder="1" applyAlignment="1">
      <alignment horizontal="left" vertical="top" shrinkToFit="1"/>
    </xf>
    <xf numFmtId="177" fontId="14" fillId="6" borderId="41" xfId="0" applyNumberFormat="1" applyFont="1" applyFill="1" applyBorder="1" applyAlignment="1">
      <alignment horizontal="right" vertical="top" wrapText="1"/>
    </xf>
    <xf numFmtId="0" fontId="14" fillId="6" borderId="10" xfId="0" applyFont="1" applyFill="1" applyBorder="1" applyAlignment="1">
      <alignment horizontal="left" vertical="top" shrinkToFit="1"/>
    </xf>
    <xf numFmtId="177" fontId="14" fillId="6" borderId="9" xfId="0" applyNumberFormat="1" applyFont="1" applyFill="1" applyBorder="1" applyAlignment="1">
      <alignment horizontal="right" vertical="top" wrapText="1"/>
    </xf>
    <xf numFmtId="0" fontId="14" fillId="6" borderId="32" xfId="0" applyFont="1" applyFill="1" applyBorder="1" applyAlignment="1">
      <alignment horizontal="left" vertical="top" wrapText="1"/>
    </xf>
    <xf numFmtId="0" fontId="14" fillId="6" borderId="11" xfId="0" applyFont="1" applyFill="1" applyBorder="1" applyAlignment="1">
      <alignment horizontal="left" vertical="top" shrinkToFit="1"/>
    </xf>
    <xf numFmtId="177" fontId="14" fillId="6" borderId="25" xfId="0" applyNumberFormat="1" applyFont="1" applyFill="1" applyBorder="1" applyAlignment="1">
      <alignment horizontal="right" vertical="top" wrapText="1"/>
    </xf>
    <xf numFmtId="0" fontId="14" fillId="6" borderId="9" xfId="0" applyFont="1" applyFill="1" applyBorder="1" applyAlignment="1">
      <alignment horizontal="left" vertical="top" shrinkToFit="1"/>
    </xf>
    <xf numFmtId="0" fontId="14" fillId="6" borderId="31" xfId="0" applyFont="1" applyFill="1" applyBorder="1" applyAlignment="1">
      <alignment horizontal="left" vertical="top" shrinkToFit="1"/>
    </xf>
    <xf numFmtId="177" fontId="14" fillId="6" borderId="29" xfId="0" applyNumberFormat="1" applyFont="1" applyFill="1" applyBorder="1" applyAlignment="1">
      <alignment horizontal="right" vertical="top" wrapText="1"/>
    </xf>
    <xf numFmtId="177" fontId="14" fillId="6" borderId="30" xfId="0" applyNumberFormat="1" applyFont="1" applyFill="1" applyBorder="1" applyAlignment="1">
      <alignment horizontal="right" vertical="top" wrapText="1"/>
    </xf>
    <xf numFmtId="177" fontId="14" fillId="6" borderId="29" xfId="0" applyNumberFormat="1" applyFont="1" applyFill="1" applyBorder="1" applyAlignment="1">
      <alignment horizontal="right" vertical="center"/>
    </xf>
    <xf numFmtId="177" fontId="14" fillId="6" borderId="30" xfId="0" applyNumberFormat="1" applyFont="1" applyFill="1" applyBorder="1" applyAlignment="1">
      <alignment horizontal="right" vertical="center"/>
    </xf>
    <xf numFmtId="0" fontId="14" fillId="6" borderId="66" xfId="0" applyFont="1" applyFill="1" applyBorder="1" applyAlignment="1">
      <alignment horizontal="left" vertical="top" shrinkToFit="1"/>
    </xf>
    <xf numFmtId="0" fontId="14" fillId="6" borderId="67" xfId="0" applyFont="1" applyFill="1" applyBorder="1" applyAlignment="1">
      <alignment horizontal="left" vertical="top" shrinkToFit="1"/>
    </xf>
    <xf numFmtId="0" fontId="14" fillId="6" borderId="67" xfId="0" applyFont="1" applyFill="1" applyBorder="1" applyAlignment="1">
      <alignment horizontal="center" vertical="top" shrinkToFit="1"/>
    </xf>
    <xf numFmtId="0" fontId="14" fillId="6" borderId="68" xfId="0" applyFont="1" applyFill="1" applyBorder="1" applyAlignment="1">
      <alignment horizontal="left" vertical="top" shrinkToFit="1"/>
    </xf>
    <xf numFmtId="0" fontId="14" fillId="6" borderId="69" xfId="0" applyFont="1" applyFill="1" applyBorder="1" applyAlignment="1">
      <alignment horizontal="left" vertical="top" wrapText="1"/>
    </xf>
    <xf numFmtId="177" fontId="14" fillId="6" borderId="70" xfId="0" applyNumberFormat="1" applyFont="1" applyFill="1" applyBorder="1" applyAlignment="1">
      <alignment horizontal="right" vertical="top" wrapText="1"/>
    </xf>
    <xf numFmtId="177" fontId="14" fillId="6" borderId="67" xfId="0" applyNumberFormat="1" applyFont="1" applyFill="1" applyBorder="1" applyAlignment="1">
      <alignment horizontal="right" vertical="top" wrapText="1"/>
    </xf>
    <xf numFmtId="177" fontId="14" fillId="7" borderId="67" xfId="0" applyNumberFormat="1" applyFont="1" applyFill="1" applyBorder="1" applyAlignment="1">
      <alignment horizontal="right" vertical="top" wrapText="1"/>
    </xf>
    <xf numFmtId="177" fontId="14" fillId="7" borderId="71" xfId="0" applyNumberFormat="1" applyFont="1" applyFill="1" applyBorder="1" applyAlignment="1">
      <alignment horizontal="right" vertical="top" wrapText="1"/>
    </xf>
    <xf numFmtId="177" fontId="14" fillId="6" borderId="70" xfId="0" applyNumberFormat="1" applyFont="1" applyFill="1" applyBorder="1" applyAlignment="1">
      <alignment horizontal="right" vertical="center"/>
    </xf>
    <xf numFmtId="177" fontId="14" fillId="6" borderId="67" xfId="0" applyNumberFormat="1" applyFont="1" applyFill="1" applyBorder="1" applyAlignment="1">
      <alignment horizontal="right" vertical="center"/>
    </xf>
    <xf numFmtId="177" fontId="14" fillId="7" borderId="67" xfId="0" applyNumberFormat="1" applyFont="1" applyFill="1" applyBorder="1">
      <alignment vertical="center"/>
    </xf>
    <xf numFmtId="177" fontId="14" fillId="7" borderId="69" xfId="0" applyNumberFormat="1" applyFont="1" applyFill="1" applyBorder="1">
      <alignment vertical="center"/>
    </xf>
    <xf numFmtId="40" fontId="0" fillId="7" borderId="71" xfId="1" applyNumberFormat="1" applyFont="1" applyFill="1" applyBorder="1">
      <alignment vertical="center"/>
    </xf>
    <xf numFmtId="2" fontId="15" fillId="7" borderId="69" xfId="0" applyNumberFormat="1" applyFont="1" applyFill="1" applyBorder="1">
      <alignment vertical="center"/>
    </xf>
    <xf numFmtId="2" fontId="22" fillId="8" borderId="70" xfId="0" applyNumberFormat="1" applyFont="1" applyFill="1" applyBorder="1">
      <alignment vertical="center"/>
    </xf>
    <xf numFmtId="2" fontId="22" fillId="8" borderId="71" xfId="0" applyNumberFormat="1" applyFont="1" applyFill="1" applyBorder="1">
      <alignment vertical="center"/>
    </xf>
    <xf numFmtId="0" fontId="17" fillId="6" borderId="9" xfId="0" applyFont="1" applyFill="1" applyBorder="1">
      <alignment vertical="center"/>
    </xf>
    <xf numFmtId="40" fontId="0" fillId="0" borderId="9" xfId="1" applyNumberFormat="1" applyFont="1" applyBorder="1">
      <alignment vertical="center"/>
    </xf>
    <xf numFmtId="0" fontId="14" fillId="6" borderId="72" xfId="0" applyFont="1" applyFill="1" applyBorder="1" applyAlignment="1">
      <alignment horizontal="left" vertical="top"/>
    </xf>
    <xf numFmtId="9" fontId="0" fillId="0" borderId="0" xfId="3" applyFont="1">
      <alignment vertical="center"/>
    </xf>
    <xf numFmtId="0" fontId="14" fillId="6" borderId="45" xfId="0" applyFont="1" applyFill="1" applyBorder="1" applyAlignment="1">
      <alignment horizontal="left" vertical="top"/>
    </xf>
    <xf numFmtId="177" fontId="14" fillId="6" borderId="0" xfId="0" applyNumberFormat="1" applyFont="1" applyFill="1">
      <alignment vertical="center"/>
    </xf>
    <xf numFmtId="2" fontId="0" fillId="0" borderId="0" xfId="0" applyNumberFormat="1">
      <alignment vertical="center"/>
    </xf>
    <xf numFmtId="177" fontId="14" fillId="0" borderId="0" xfId="0" applyNumberFormat="1" applyFont="1" applyAlignment="1">
      <alignment horizontal="right" vertical="center"/>
    </xf>
    <xf numFmtId="0" fontId="14" fillId="6" borderId="0" xfId="0" applyFont="1" applyFill="1" applyAlignment="1">
      <alignment shrinkToFit="1"/>
    </xf>
    <xf numFmtId="0" fontId="14" fillId="6" borderId="0" xfId="0" applyFont="1" applyFill="1" applyAlignment="1">
      <alignment horizontal="left" wrapText="1" shrinkToFit="1"/>
    </xf>
    <xf numFmtId="0" fontId="14" fillId="6" borderId="34" xfId="0" applyFont="1" applyFill="1" applyBorder="1" applyAlignment="1">
      <alignment shrinkToFit="1"/>
    </xf>
    <xf numFmtId="0" fontId="14" fillId="6" borderId="0" xfId="0" applyFont="1" applyFill="1" applyAlignment="1"/>
    <xf numFmtId="0" fontId="14" fillId="6" borderId="34" xfId="0" applyFont="1" applyFill="1" applyBorder="1" applyAlignment="1">
      <alignment horizontal="left" wrapText="1" shrinkToFit="1"/>
    </xf>
    <xf numFmtId="177" fontId="19" fillId="6" borderId="34" xfId="0" applyNumberFormat="1" applyFont="1" applyFill="1" applyBorder="1" applyAlignment="1">
      <alignment horizontal="center" vertical="center"/>
    </xf>
    <xf numFmtId="0" fontId="14" fillId="6" borderId="25" xfId="0" applyFont="1" applyFill="1" applyBorder="1" applyAlignment="1">
      <alignment horizontal="center" vertical="top" shrinkToFit="1"/>
    </xf>
    <xf numFmtId="0" fontId="14" fillId="6" borderId="9" xfId="0" applyFont="1" applyFill="1" applyBorder="1" applyAlignment="1">
      <alignment horizontal="center" vertical="top" shrinkToFit="1"/>
    </xf>
    <xf numFmtId="0" fontId="14" fillId="6" borderId="9" xfId="0" applyFont="1" applyFill="1" applyBorder="1" applyAlignment="1">
      <alignment horizontal="center" vertical="center" shrinkToFit="1"/>
    </xf>
    <xf numFmtId="0" fontId="14" fillId="7" borderId="9" xfId="0" applyFont="1" applyFill="1" applyBorder="1" applyAlignment="1">
      <alignment horizontal="center" vertical="top" shrinkToFit="1"/>
    </xf>
    <xf numFmtId="0" fontId="14" fillId="7" borderId="26" xfId="0" applyFont="1" applyFill="1" applyBorder="1" applyAlignment="1">
      <alignment horizontal="center" vertical="top" shrinkToFit="1"/>
    </xf>
    <xf numFmtId="177" fontId="14" fillId="6" borderId="9" xfId="0" applyNumberFormat="1" applyFont="1" applyFill="1" applyBorder="1" applyAlignment="1">
      <alignment horizontal="center" vertical="center" shrinkToFit="1"/>
    </xf>
    <xf numFmtId="177" fontId="14" fillId="7" borderId="9" xfId="0" applyNumberFormat="1" applyFont="1" applyFill="1" applyBorder="1" applyAlignment="1">
      <alignment horizontal="center" vertical="center" shrinkToFit="1"/>
    </xf>
    <xf numFmtId="177" fontId="14" fillId="7" borderId="10" xfId="0" applyNumberFormat="1" applyFont="1" applyFill="1" applyBorder="1" applyAlignment="1">
      <alignment horizontal="center" vertical="center" shrinkToFit="1"/>
    </xf>
    <xf numFmtId="177" fontId="14" fillId="6" borderId="25" xfId="0" applyNumberFormat="1" applyFont="1" applyFill="1" applyBorder="1" applyAlignment="1">
      <alignment horizontal="center" vertical="center" shrinkToFit="1"/>
    </xf>
    <xf numFmtId="177" fontId="14" fillId="7" borderId="26" xfId="0" applyNumberFormat="1" applyFont="1" applyFill="1" applyBorder="1" applyAlignment="1">
      <alignment horizontal="center" vertical="center" shrinkToFit="1"/>
    </xf>
    <xf numFmtId="177" fontId="14" fillId="6" borderId="12" xfId="0" applyNumberFormat="1" applyFont="1" applyFill="1" applyBorder="1" applyAlignment="1">
      <alignment horizontal="center" vertical="center" shrinkToFit="1"/>
    </xf>
    <xf numFmtId="0" fontId="22" fillId="8" borderId="25" xfId="0" applyFont="1" applyFill="1" applyBorder="1" applyAlignment="1">
      <alignment horizontal="center" vertical="center"/>
    </xf>
    <xf numFmtId="0" fontId="22" fillId="8" borderId="10" xfId="0" applyFont="1" applyFill="1" applyBorder="1" applyAlignment="1">
      <alignment horizontal="center" vertical="center"/>
    </xf>
    <xf numFmtId="0" fontId="0" fillId="9" borderId="9" xfId="0" applyFill="1" applyBorder="1" applyAlignment="1">
      <alignment horizontal="center" vertical="center"/>
    </xf>
    <xf numFmtId="0" fontId="0" fillId="0" borderId="9" xfId="0" applyBorder="1" applyAlignment="1">
      <alignment horizontal="center" vertical="center"/>
    </xf>
    <xf numFmtId="177" fontId="14" fillId="6" borderId="36" xfId="0" applyNumberFormat="1" applyFont="1" applyFill="1" applyBorder="1" applyAlignment="1">
      <alignment horizontal="right" vertical="top"/>
    </xf>
    <xf numFmtId="177" fontId="14" fillId="6" borderId="37" xfId="0" applyNumberFormat="1" applyFont="1" applyFill="1" applyBorder="1" applyAlignment="1">
      <alignment horizontal="right" vertical="top"/>
    </xf>
    <xf numFmtId="177" fontId="14" fillId="7" borderId="39" xfId="0" applyNumberFormat="1" applyFont="1" applyFill="1" applyBorder="1" applyAlignment="1">
      <alignment horizontal="right" vertical="top"/>
    </xf>
    <xf numFmtId="177" fontId="14" fillId="7" borderId="38" xfId="0" applyNumberFormat="1" applyFont="1" applyFill="1" applyBorder="1">
      <alignment vertical="center"/>
    </xf>
    <xf numFmtId="177" fontId="14" fillId="6" borderId="82" xfId="0" applyNumberFormat="1" applyFont="1" applyFill="1" applyBorder="1">
      <alignment vertical="center"/>
    </xf>
    <xf numFmtId="2" fontId="15" fillId="7" borderId="38" xfId="0" applyNumberFormat="1" applyFont="1" applyFill="1" applyBorder="1">
      <alignment vertical="center"/>
    </xf>
    <xf numFmtId="177" fontId="14" fillId="6" borderId="44" xfId="0" applyNumberFormat="1" applyFont="1" applyFill="1" applyBorder="1" applyAlignment="1">
      <alignment horizontal="right" vertical="top" wrapText="1"/>
    </xf>
    <xf numFmtId="177" fontId="14" fillId="7" borderId="43" xfId="0" applyNumberFormat="1" applyFont="1" applyFill="1" applyBorder="1" applyAlignment="1">
      <alignment horizontal="right" vertical="top" wrapText="1"/>
    </xf>
    <xf numFmtId="177" fontId="14" fillId="6" borderId="79" xfId="0" applyNumberFormat="1" applyFont="1" applyFill="1" applyBorder="1" applyAlignment="1">
      <alignment horizontal="right" vertical="center"/>
    </xf>
    <xf numFmtId="177" fontId="14" fillId="7" borderId="42" xfId="0" applyNumberFormat="1" applyFont="1" applyFill="1" applyBorder="1">
      <alignment vertical="center"/>
    </xf>
    <xf numFmtId="2" fontId="15" fillId="7" borderId="42" xfId="0" applyNumberFormat="1" applyFont="1" applyFill="1" applyBorder="1">
      <alignment vertical="center"/>
    </xf>
    <xf numFmtId="177" fontId="14" fillId="6" borderId="12" xfId="0" applyNumberFormat="1" applyFont="1" applyFill="1" applyBorder="1" applyAlignment="1">
      <alignment horizontal="right" vertical="center"/>
    </xf>
    <xf numFmtId="177" fontId="14" fillId="7" borderId="10" xfId="0" applyNumberFormat="1" applyFont="1" applyFill="1" applyBorder="1">
      <alignment vertical="center"/>
    </xf>
    <xf numFmtId="2" fontId="15" fillId="7" borderId="10" xfId="0" applyNumberFormat="1" applyFont="1" applyFill="1" applyBorder="1">
      <alignment vertical="center"/>
    </xf>
    <xf numFmtId="177" fontId="14" fillId="0" borderId="12" xfId="0" applyNumberFormat="1" applyFont="1" applyBorder="1" applyAlignment="1">
      <alignment horizontal="right" vertical="center"/>
    </xf>
    <xf numFmtId="177" fontId="14" fillId="6" borderId="9" xfId="2" applyNumberFormat="1" applyFont="1" applyFill="1" applyBorder="1" applyAlignment="1">
      <alignment horizontal="right" vertical="center"/>
    </xf>
    <xf numFmtId="177" fontId="14" fillId="0" borderId="12" xfId="2" applyNumberFormat="1" applyFont="1" applyFill="1" applyBorder="1" applyAlignment="1">
      <alignment horizontal="right" vertical="center"/>
    </xf>
    <xf numFmtId="177" fontId="14" fillId="7" borderId="46" xfId="0" applyNumberFormat="1" applyFont="1" applyFill="1" applyBorder="1" applyAlignment="1">
      <alignment horizontal="right" vertical="top" wrapText="1"/>
    </xf>
    <xf numFmtId="177" fontId="14" fillId="7" borderId="49" xfId="0" applyNumberFormat="1" applyFont="1" applyFill="1" applyBorder="1" applyAlignment="1">
      <alignment horizontal="right" vertical="top" wrapText="1"/>
    </xf>
    <xf numFmtId="177" fontId="14" fillId="7" borderId="31" xfId="0" applyNumberFormat="1" applyFont="1" applyFill="1" applyBorder="1">
      <alignment vertical="center"/>
    </xf>
    <xf numFmtId="177" fontId="14" fillId="6" borderId="47" xfId="0" applyNumberFormat="1" applyFont="1" applyFill="1" applyBorder="1" applyAlignment="1">
      <alignment horizontal="right" vertical="center"/>
    </xf>
    <xf numFmtId="2" fontId="15" fillId="7" borderId="31" xfId="0" applyNumberFormat="1" applyFont="1" applyFill="1" applyBorder="1">
      <alignment vertical="center"/>
    </xf>
    <xf numFmtId="177" fontId="14" fillId="7" borderId="69" xfId="0" applyNumberFormat="1" applyFont="1" applyFill="1" applyBorder="1" applyAlignment="1">
      <alignment horizontal="right" vertical="top" wrapText="1"/>
    </xf>
    <xf numFmtId="177" fontId="14" fillId="7" borderId="71" xfId="0" applyNumberFormat="1" applyFont="1" applyFill="1" applyBorder="1">
      <alignment vertical="center"/>
    </xf>
    <xf numFmtId="177" fontId="14" fillId="6" borderId="83" xfId="0" applyNumberFormat="1" applyFont="1" applyFill="1" applyBorder="1" applyAlignment="1">
      <alignment horizontal="right" vertical="center"/>
    </xf>
    <xf numFmtId="0" fontId="15" fillId="7" borderId="71" xfId="0" applyFont="1" applyFill="1" applyBorder="1">
      <alignment vertical="center"/>
    </xf>
    <xf numFmtId="40" fontId="17" fillId="6" borderId="9" xfId="1" applyNumberFormat="1" applyFont="1" applyFill="1" applyBorder="1">
      <alignment vertical="center"/>
    </xf>
    <xf numFmtId="9" fontId="17" fillId="6" borderId="0" xfId="3" applyFont="1" applyFill="1">
      <alignment vertical="center"/>
    </xf>
    <xf numFmtId="38" fontId="24" fillId="0" borderId="0" xfId="1" applyFont="1">
      <alignment vertical="center"/>
    </xf>
    <xf numFmtId="38" fontId="17" fillId="0" borderId="0" xfId="1" applyFont="1">
      <alignment vertical="center"/>
    </xf>
    <xf numFmtId="9" fontId="17" fillId="0" borderId="0" xfId="1" applyNumberFormat="1" applyFont="1">
      <alignment vertical="center"/>
    </xf>
    <xf numFmtId="178" fontId="17" fillId="0" borderId="84" xfId="1" applyNumberFormat="1" applyFont="1" applyBorder="1" applyAlignment="1">
      <alignment vertical="center"/>
    </xf>
    <xf numFmtId="178" fontId="17" fillId="0" borderId="0" xfId="1" applyNumberFormat="1" applyFont="1" applyBorder="1" applyAlignment="1">
      <alignment vertical="center"/>
    </xf>
    <xf numFmtId="38" fontId="17" fillId="0" borderId="0" xfId="1" applyFont="1" applyAlignment="1">
      <alignment horizontal="center" vertical="center"/>
    </xf>
    <xf numFmtId="38" fontId="17" fillId="0" borderId="25" xfId="1" applyFont="1" applyBorder="1" applyAlignment="1">
      <alignment horizontal="center" vertical="center"/>
    </xf>
    <xf numFmtId="38" fontId="17" fillId="0" borderId="10" xfId="1" applyFont="1" applyBorder="1" applyAlignment="1">
      <alignment horizontal="center" vertical="center"/>
    </xf>
    <xf numFmtId="38" fontId="17" fillId="8" borderId="87" xfId="1" applyFont="1" applyFill="1" applyBorder="1" applyAlignment="1">
      <alignment horizontal="center" vertical="center"/>
    </xf>
    <xf numFmtId="38" fontId="17" fillId="0" borderId="12" xfId="1" applyFont="1" applyBorder="1" applyAlignment="1">
      <alignment horizontal="center" vertical="center"/>
    </xf>
    <xf numFmtId="9" fontId="17" fillId="0" borderId="10" xfId="1" applyNumberFormat="1" applyFont="1" applyBorder="1" applyAlignment="1">
      <alignment horizontal="center" vertical="center"/>
    </xf>
    <xf numFmtId="38" fontId="17" fillId="0" borderId="9" xfId="1" applyFont="1" applyBorder="1" applyAlignment="1">
      <alignment horizontal="center" vertical="center"/>
    </xf>
    <xf numFmtId="9" fontId="17" fillId="0" borderId="26" xfId="1" applyNumberFormat="1" applyFont="1" applyBorder="1" applyAlignment="1">
      <alignment horizontal="center" vertical="center"/>
    </xf>
    <xf numFmtId="179" fontId="17" fillId="0" borderId="12" xfId="1" applyNumberFormat="1" applyFont="1" applyBorder="1" applyAlignment="1">
      <alignment horizontal="center" vertical="center"/>
    </xf>
    <xf numFmtId="9" fontId="17" fillId="0" borderId="9" xfId="1" applyNumberFormat="1" applyFont="1" applyBorder="1" applyAlignment="1">
      <alignment horizontal="center" vertical="center"/>
    </xf>
    <xf numFmtId="38" fontId="17" fillId="0" borderId="29" xfId="1" applyFont="1" applyBorder="1" applyAlignment="1">
      <alignment horizontal="center" vertical="center"/>
    </xf>
    <xf numFmtId="38" fontId="17" fillId="0" borderId="31" xfId="1" applyFont="1" applyBorder="1" applyAlignment="1">
      <alignment horizontal="center" vertical="center"/>
    </xf>
    <xf numFmtId="38" fontId="17" fillId="8" borderId="88" xfId="1" applyFont="1" applyFill="1" applyBorder="1" applyAlignment="1">
      <alignment horizontal="center" vertical="center"/>
    </xf>
    <xf numFmtId="38" fontId="17" fillId="0" borderId="47" xfId="1" applyFont="1" applyBorder="1" applyAlignment="1">
      <alignment horizontal="center" vertical="center"/>
    </xf>
    <xf numFmtId="9" fontId="17" fillId="0" borderId="30" xfId="1" applyNumberFormat="1" applyFont="1" applyBorder="1" applyAlignment="1">
      <alignment horizontal="center" vertical="center"/>
    </xf>
    <xf numFmtId="38" fontId="17" fillId="0" borderId="30" xfId="1" applyFont="1" applyBorder="1" applyAlignment="1">
      <alignment horizontal="center" vertical="center"/>
    </xf>
    <xf numFmtId="9" fontId="17" fillId="0" borderId="32" xfId="1" applyNumberFormat="1" applyFont="1" applyBorder="1" applyAlignment="1">
      <alignment horizontal="center" vertical="center"/>
    </xf>
    <xf numFmtId="179" fontId="17" fillId="0" borderId="47" xfId="1" applyNumberFormat="1" applyFont="1" applyBorder="1" applyAlignment="1">
      <alignment horizontal="center" vertical="center"/>
    </xf>
    <xf numFmtId="180" fontId="17" fillId="0" borderId="70" xfId="1" applyNumberFormat="1" applyFont="1" applyBorder="1">
      <alignment vertical="center"/>
    </xf>
    <xf numFmtId="180" fontId="17" fillId="0" borderId="71" xfId="1" applyNumberFormat="1" applyFont="1" applyBorder="1">
      <alignment vertical="center"/>
    </xf>
    <xf numFmtId="180" fontId="17" fillId="8" borderId="89" xfId="1" applyNumberFormat="1" applyFont="1" applyFill="1" applyBorder="1">
      <alignment vertical="center"/>
    </xf>
    <xf numFmtId="180" fontId="17" fillId="0" borderId="83" xfId="1" applyNumberFormat="1" applyFont="1" applyBorder="1">
      <alignment vertical="center"/>
    </xf>
    <xf numFmtId="181" fontId="17" fillId="0" borderId="67" xfId="1" applyNumberFormat="1" applyFont="1" applyBorder="1">
      <alignment vertical="center"/>
    </xf>
    <xf numFmtId="180" fontId="17" fillId="0" borderId="67" xfId="1" applyNumberFormat="1" applyFont="1" applyBorder="1">
      <alignment vertical="center"/>
    </xf>
    <xf numFmtId="181" fontId="17" fillId="0" borderId="69" xfId="1" applyNumberFormat="1" applyFont="1" applyBorder="1">
      <alignment vertical="center"/>
    </xf>
    <xf numFmtId="38" fontId="17" fillId="0" borderId="42" xfId="1" applyFont="1" applyBorder="1" applyAlignment="1">
      <alignment vertical="center" wrapText="1"/>
    </xf>
    <xf numFmtId="38" fontId="17" fillId="0" borderId="84" xfId="1" applyFont="1" applyBorder="1" applyAlignment="1">
      <alignment vertical="center" wrapText="1"/>
    </xf>
    <xf numFmtId="180" fontId="17" fillId="0" borderId="27" xfId="1" applyNumberFormat="1" applyFont="1" applyBorder="1" applyAlignment="1">
      <alignment vertical="center" wrapText="1"/>
    </xf>
    <xf numFmtId="180" fontId="17" fillId="0" borderId="84" xfId="1" applyNumberFormat="1" applyFont="1" applyBorder="1" applyAlignment="1">
      <alignment vertical="center" wrapText="1"/>
    </xf>
    <xf numFmtId="180" fontId="13" fillId="0" borderId="84" xfId="1" applyNumberFormat="1" applyFont="1" applyBorder="1" applyAlignment="1">
      <alignment horizontal="center" vertical="center"/>
    </xf>
    <xf numFmtId="181" fontId="17" fillId="0" borderId="79" xfId="1" applyNumberFormat="1" applyFont="1" applyBorder="1" applyAlignment="1">
      <alignment vertical="center" wrapText="1"/>
    </xf>
    <xf numFmtId="180" fontId="17" fillId="0" borderId="42" xfId="1" applyNumberFormat="1" applyFont="1" applyBorder="1" applyAlignment="1">
      <alignment vertical="center" wrapText="1"/>
    </xf>
    <xf numFmtId="181" fontId="17" fillId="0" borderId="28" xfId="1" applyNumberFormat="1" applyFont="1" applyBorder="1" applyAlignment="1">
      <alignment vertical="center" wrapText="1"/>
    </xf>
    <xf numFmtId="38" fontId="17" fillId="0" borderId="0" xfId="1" applyFont="1" applyAlignment="1">
      <alignment vertical="center" wrapText="1"/>
    </xf>
    <xf numFmtId="180" fontId="17" fillId="0" borderId="25" xfId="1" applyNumberFormat="1" applyFont="1" applyBorder="1">
      <alignment vertical="center"/>
    </xf>
    <xf numFmtId="180" fontId="17" fillId="0" borderId="10" xfId="1" applyNumberFormat="1" applyFont="1" applyBorder="1">
      <alignment vertical="center"/>
    </xf>
    <xf numFmtId="180" fontId="17" fillId="8" borderId="90" xfId="1" applyNumberFormat="1" applyFont="1" applyFill="1" applyBorder="1">
      <alignment vertical="center"/>
    </xf>
    <xf numFmtId="180" fontId="17" fillId="0" borderId="12" xfId="1" applyNumberFormat="1" applyFont="1" applyBorder="1">
      <alignment vertical="center"/>
    </xf>
    <xf numFmtId="181" fontId="17" fillId="0" borderId="9" xfId="1" applyNumberFormat="1" applyFont="1" applyBorder="1">
      <alignment vertical="center"/>
    </xf>
    <xf numFmtId="180" fontId="17" fillId="0" borderId="9" xfId="1" applyNumberFormat="1" applyFont="1" applyBorder="1">
      <alignment vertical="center"/>
    </xf>
    <xf numFmtId="181" fontId="17" fillId="0" borderId="26" xfId="1" applyNumberFormat="1" applyFont="1" applyBorder="1">
      <alignment vertical="center"/>
    </xf>
    <xf numFmtId="180" fontId="17" fillId="0" borderId="29" xfId="1" applyNumberFormat="1" applyFont="1" applyBorder="1">
      <alignment vertical="center"/>
    </xf>
    <xf numFmtId="180" fontId="17" fillId="0" borderId="31" xfId="1" applyNumberFormat="1" applyFont="1" applyBorder="1">
      <alignment vertical="center"/>
    </xf>
    <xf numFmtId="180" fontId="17" fillId="8" borderId="88" xfId="1" applyNumberFormat="1" applyFont="1" applyFill="1" applyBorder="1">
      <alignment vertical="center"/>
    </xf>
    <xf numFmtId="180" fontId="17" fillId="0" borderId="47" xfId="1" applyNumberFormat="1" applyFont="1" applyBorder="1">
      <alignment vertical="center"/>
    </xf>
    <xf numFmtId="181" fontId="17" fillId="0" borderId="30" xfId="1" applyNumberFormat="1" applyFont="1" applyBorder="1">
      <alignment vertical="center"/>
    </xf>
    <xf numFmtId="180" fontId="17" fillId="0" borderId="30" xfId="1" applyNumberFormat="1" applyFont="1" applyBorder="1">
      <alignment vertical="center"/>
    </xf>
    <xf numFmtId="181" fontId="17" fillId="0" borderId="32" xfId="1" applyNumberFormat="1" applyFont="1" applyBorder="1">
      <alignment vertical="center"/>
    </xf>
    <xf numFmtId="38" fontId="17" fillId="0" borderId="42" xfId="1" applyFont="1" applyBorder="1">
      <alignment vertical="center"/>
    </xf>
    <xf numFmtId="38" fontId="17" fillId="0" borderId="84" xfId="1" applyFont="1" applyBorder="1">
      <alignment vertical="center"/>
    </xf>
    <xf numFmtId="180" fontId="17" fillId="0" borderId="27" xfId="1" applyNumberFormat="1" applyFont="1" applyBorder="1" applyAlignment="1">
      <alignment vertical="center"/>
    </xf>
    <xf numFmtId="180" fontId="17" fillId="0" borderId="84" xfId="1" applyNumberFormat="1" applyFont="1" applyBorder="1" applyAlignment="1">
      <alignment vertical="center"/>
    </xf>
    <xf numFmtId="181" fontId="17" fillId="0" borderId="79" xfId="1" applyNumberFormat="1" applyFont="1" applyBorder="1" applyAlignment="1">
      <alignment vertical="center"/>
    </xf>
    <xf numFmtId="180" fontId="17" fillId="0" borderId="42" xfId="1" applyNumberFormat="1" applyFont="1" applyBorder="1" applyAlignment="1">
      <alignment vertical="center"/>
    </xf>
    <xf numFmtId="181" fontId="17" fillId="0" borderId="28" xfId="1" applyNumberFormat="1" applyFont="1" applyBorder="1" applyAlignment="1">
      <alignment vertical="center"/>
    </xf>
    <xf numFmtId="180" fontId="17" fillId="6" borderId="10" xfId="1" applyNumberFormat="1" applyFont="1" applyFill="1" applyBorder="1">
      <alignment vertical="center"/>
    </xf>
    <xf numFmtId="180" fontId="17" fillId="0" borderId="0" xfId="1" applyNumberFormat="1" applyFont="1">
      <alignment vertical="center"/>
    </xf>
    <xf numFmtId="181" fontId="17" fillId="0" borderId="0" xfId="1" applyNumberFormat="1" applyFont="1">
      <alignment vertical="center"/>
    </xf>
    <xf numFmtId="180" fontId="17" fillId="0" borderId="84" xfId="1" applyNumberFormat="1" applyFont="1" applyBorder="1">
      <alignment vertical="center"/>
    </xf>
    <xf numFmtId="181" fontId="17" fillId="0" borderId="84" xfId="1" applyNumberFormat="1" applyFont="1" applyBorder="1">
      <alignment vertical="center"/>
    </xf>
    <xf numFmtId="180" fontId="17" fillId="0" borderId="20" xfId="1" applyNumberFormat="1" applyFont="1" applyBorder="1" applyAlignment="1">
      <alignment vertical="center"/>
    </xf>
    <xf numFmtId="180" fontId="17" fillId="0" borderId="21" xfId="1" applyNumberFormat="1" applyFont="1" applyBorder="1" applyAlignment="1">
      <alignment vertical="center"/>
    </xf>
    <xf numFmtId="180" fontId="17" fillId="0" borderId="14" xfId="1" applyNumberFormat="1" applyFont="1" applyBorder="1" applyAlignment="1">
      <alignment vertical="center"/>
    </xf>
    <xf numFmtId="181" fontId="17" fillId="0" borderId="85" xfId="1" applyNumberFormat="1" applyFont="1" applyBorder="1" applyAlignment="1">
      <alignment vertical="center"/>
    </xf>
    <xf numFmtId="180" fontId="17" fillId="0" borderId="18" xfId="1" applyNumberFormat="1" applyFont="1" applyBorder="1" applyAlignment="1">
      <alignment vertical="center"/>
    </xf>
    <xf numFmtId="181" fontId="17" fillId="0" borderId="22" xfId="1" applyNumberFormat="1" applyFont="1" applyBorder="1" applyAlignment="1">
      <alignment vertical="center"/>
    </xf>
    <xf numFmtId="38" fontId="17" fillId="0" borderId="20" xfId="1" applyFont="1" applyBorder="1" applyAlignment="1">
      <alignment vertical="center"/>
    </xf>
    <xf numFmtId="38" fontId="17" fillId="0" borderId="21" xfId="1" applyFont="1" applyBorder="1" applyAlignment="1">
      <alignment vertical="center"/>
    </xf>
    <xf numFmtId="38" fontId="17" fillId="0" borderId="14" xfId="1" applyFont="1" applyBorder="1" applyAlignment="1">
      <alignment vertical="center"/>
    </xf>
    <xf numFmtId="38" fontId="17" fillId="0" borderId="22" xfId="1" applyFont="1" applyBorder="1" applyAlignment="1">
      <alignment vertical="center"/>
    </xf>
    <xf numFmtId="180" fontId="17" fillId="0" borderId="11" xfId="1" applyNumberFormat="1" applyFont="1" applyBorder="1" applyAlignment="1">
      <alignment vertical="center"/>
    </xf>
    <xf numFmtId="180" fontId="17" fillId="0" borderId="86" xfId="1" applyNumberFormat="1" applyFont="1" applyBorder="1" applyAlignment="1">
      <alignment vertical="center"/>
    </xf>
    <xf numFmtId="181" fontId="17" fillId="0" borderId="12" xfId="1" applyNumberFormat="1" applyFont="1" applyBorder="1" applyAlignment="1">
      <alignment vertical="center"/>
    </xf>
    <xf numFmtId="180" fontId="17" fillId="0" borderId="25" xfId="1" applyNumberFormat="1" applyFont="1" applyBorder="1" applyAlignment="1">
      <alignment horizontal="center" vertical="center"/>
    </xf>
    <xf numFmtId="180" fontId="17" fillId="0" borderId="10" xfId="1" applyNumberFormat="1" applyFont="1" applyBorder="1" applyAlignment="1">
      <alignment horizontal="center" vertical="center"/>
    </xf>
    <xf numFmtId="180" fontId="17" fillId="8" borderId="87" xfId="1" applyNumberFormat="1" applyFont="1" applyFill="1" applyBorder="1" applyAlignment="1">
      <alignment horizontal="center" vertical="center"/>
    </xf>
    <xf numFmtId="180" fontId="17" fillId="0" borderId="12" xfId="1" applyNumberFormat="1" applyFont="1" applyBorder="1" applyAlignment="1">
      <alignment horizontal="center" vertical="center"/>
    </xf>
    <xf numFmtId="181" fontId="17" fillId="0" borderId="9" xfId="1" applyNumberFormat="1" applyFont="1" applyBorder="1" applyAlignment="1">
      <alignment horizontal="center" vertical="center"/>
    </xf>
    <xf numFmtId="180" fontId="17" fillId="0" borderId="9" xfId="1" applyNumberFormat="1" applyFont="1" applyBorder="1" applyAlignment="1">
      <alignment horizontal="center" vertical="center"/>
    </xf>
    <xf numFmtId="181" fontId="17" fillId="0" borderId="26" xfId="1" applyNumberFormat="1" applyFont="1" applyBorder="1" applyAlignment="1">
      <alignment horizontal="center" vertical="center"/>
    </xf>
    <xf numFmtId="181" fontId="17" fillId="0" borderId="10" xfId="1" applyNumberFormat="1" applyFont="1" applyBorder="1" applyAlignment="1">
      <alignment horizontal="center" vertical="center"/>
    </xf>
    <xf numFmtId="180" fontId="17" fillId="0" borderId="29" xfId="1" applyNumberFormat="1" applyFont="1" applyBorder="1" applyAlignment="1">
      <alignment horizontal="center" vertical="center"/>
    </xf>
    <xf numFmtId="180" fontId="17" fillId="0" borderId="31" xfId="1" applyNumberFormat="1" applyFont="1" applyBorder="1" applyAlignment="1">
      <alignment horizontal="center" vertical="center"/>
    </xf>
    <xf numFmtId="180" fontId="17" fillId="8" borderId="88" xfId="1" applyNumberFormat="1" applyFont="1" applyFill="1" applyBorder="1" applyAlignment="1">
      <alignment horizontal="center" vertical="center"/>
    </xf>
    <xf numFmtId="180" fontId="17" fillId="0" borderId="47" xfId="1" applyNumberFormat="1" applyFont="1" applyBorder="1" applyAlignment="1">
      <alignment horizontal="center" vertical="center"/>
    </xf>
    <xf numFmtId="181" fontId="17" fillId="0" borderId="30" xfId="1" applyNumberFormat="1" applyFont="1" applyBorder="1" applyAlignment="1">
      <alignment horizontal="center" vertical="center"/>
    </xf>
    <xf numFmtId="180" fontId="17" fillId="0" borderId="30" xfId="1" applyNumberFormat="1" applyFont="1" applyBorder="1" applyAlignment="1">
      <alignment horizontal="center" vertical="center"/>
    </xf>
    <xf numFmtId="181" fontId="17" fillId="0" borderId="32" xfId="1" applyNumberFormat="1" applyFont="1" applyBorder="1" applyAlignment="1">
      <alignment horizontal="center" vertical="center"/>
    </xf>
    <xf numFmtId="181" fontId="17" fillId="0" borderId="31" xfId="1" applyNumberFormat="1" applyFont="1" applyBorder="1" applyAlignment="1">
      <alignment horizontal="center" vertical="center"/>
    </xf>
    <xf numFmtId="181" fontId="17" fillId="0" borderId="71" xfId="1" applyNumberFormat="1" applyFont="1" applyBorder="1">
      <alignment vertical="center"/>
    </xf>
    <xf numFmtId="182" fontId="13" fillId="0" borderId="42" xfId="1" applyNumberFormat="1" applyFont="1" applyBorder="1" applyAlignment="1">
      <alignment vertical="center" wrapText="1"/>
    </xf>
    <xf numFmtId="183" fontId="17" fillId="0" borderId="84" xfId="1" applyNumberFormat="1" applyFont="1" applyBorder="1" applyAlignment="1">
      <alignment vertical="center" wrapText="1"/>
    </xf>
    <xf numFmtId="180" fontId="13" fillId="0" borderId="27" xfId="1" applyNumberFormat="1" applyFont="1" applyBorder="1" applyAlignment="1">
      <alignment vertical="center"/>
    </xf>
    <xf numFmtId="180" fontId="13" fillId="0" borderId="84" xfId="1" applyNumberFormat="1" applyFont="1" applyBorder="1" applyAlignment="1">
      <alignment vertical="center" wrapText="1"/>
    </xf>
    <xf numFmtId="180" fontId="13" fillId="0" borderId="42" xfId="1" applyNumberFormat="1" applyFont="1" applyBorder="1" applyAlignment="1">
      <alignment vertical="center"/>
    </xf>
    <xf numFmtId="181" fontId="17" fillId="0" borderId="84" xfId="1" applyNumberFormat="1" applyFont="1" applyBorder="1" applyAlignment="1">
      <alignment vertical="center" wrapText="1"/>
    </xf>
    <xf numFmtId="180" fontId="13" fillId="8" borderId="90" xfId="1" applyNumberFormat="1" applyFont="1" applyFill="1" applyBorder="1">
      <alignment vertical="center"/>
    </xf>
    <xf numFmtId="181" fontId="17" fillId="0" borderId="10" xfId="1" applyNumberFormat="1" applyFont="1" applyBorder="1">
      <alignment vertical="center"/>
    </xf>
    <xf numFmtId="180" fontId="17" fillId="0" borderId="91" xfId="1" applyNumberFormat="1" applyFont="1" applyBorder="1">
      <alignment vertical="center"/>
    </xf>
    <xf numFmtId="180" fontId="17" fillId="0" borderId="92" xfId="1" applyNumberFormat="1" applyFont="1" applyBorder="1">
      <alignment vertical="center"/>
    </xf>
    <xf numFmtId="180" fontId="17" fillId="0" borderId="10" xfId="1" applyNumberFormat="1" applyFont="1" applyFill="1" applyBorder="1">
      <alignment vertical="center"/>
    </xf>
    <xf numFmtId="180" fontId="17" fillId="0" borderId="23" xfId="1" applyNumberFormat="1" applyFont="1" applyBorder="1">
      <alignment vertical="center"/>
    </xf>
    <xf numFmtId="180" fontId="17" fillId="0" borderId="0" xfId="1" applyNumberFormat="1" applyFont="1" applyBorder="1">
      <alignment vertical="center"/>
    </xf>
    <xf numFmtId="181" fontId="17" fillId="0" borderId="0" xfId="1" applyNumberFormat="1" applyFont="1" applyBorder="1">
      <alignment vertical="center"/>
    </xf>
    <xf numFmtId="181" fontId="17" fillId="0" borderId="24" xfId="1" applyNumberFormat="1" applyFont="1" applyBorder="1">
      <alignment vertical="center"/>
    </xf>
    <xf numFmtId="180" fontId="13" fillId="8" borderId="88" xfId="1" applyNumberFormat="1" applyFont="1" applyFill="1" applyBorder="1">
      <alignment vertical="center"/>
    </xf>
    <xf numFmtId="181" fontId="17" fillId="0" borderId="31" xfId="1" applyNumberFormat="1" applyFont="1" applyBorder="1">
      <alignment vertical="center"/>
    </xf>
    <xf numFmtId="38" fontId="17" fillId="0" borderId="42" xfId="1" applyFont="1" applyBorder="1" applyAlignment="1">
      <alignment horizontal="center" vertical="center"/>
    </xf>
    <xf numFmtId="38" fontId="17" fillId="0" borderId="84" xfId="1" applyFont="1" applyBorder="1" applyAlignment="1">
      <alignment horizontal="center" vertical="center"/>
    </xf>
    <xf numFmtId="181" fontId="17" fillId="0" borderId="84" xfId="1" applyNumberFormat="1" applyFont="1" applyBorder="1" applyAlignment="1">
      <alignment vertical="center"/>
    </xf>
    <xf numFmtId="180" fontId="17" fillId="0" borderId="16" xfId="1" applyNumberFormat="1" applyFont="1" applyBorder="1">
      <alignment vertical="center"/>
    </xf>
    <xf numFmtId="180" fontId="17" fillId="0" borderId="17" xfId="1" applyNumberFormat="1" applyFont="1" applyBorder="1">
      <alignment vertical="center"/>
    </xf>
    <xf numFmtId="180" fontId="17" fillId="8" borderId="87" xfId="1" applyNumberFormat="1" applyFont="1" applyFill="1" applyBorder="1">
      <alignment vertical="center"/>
    </xf>
    <xf numFmtId="180" fontId="17" fillId="0" borderId="85" xfId="1" applyNumberFormat="1" applyFont="1" applyBorder="1">
      <alignment vertical="center"/>
    </xf>
    <xf numFmtId="181" fontId="17" fillId="0" borderId="17" xfId="1" applyNumberFormat="1" applyFont="1" applyBorder="1">
      <alignment vertical="center"/>
    </xf>
    <xf numFmtId="180" fontId="17" fillId="0" borderId="18" xfId="1" applyNumberFormat="1" applyFont="1" applyBorder="1">
      <alignment vertical="center"/>
    </xf>
    <xf numFmtId="181" fontId="17" fillId="0" borderId="19" xfId="1" applyNumberFormat="1" applyFont="1" applyBorder="1">
      <alignment vertical="center"/>
    </xf>
    <xf numFmtId="180" fontId="17" fillId="0" borderId="36" xfId="1" applyNumberFormat="1" applyFont="1" applyBorder="1">
      <alignment vertical="center"/>
    </xf>
    <xf numFmtId="180" fontId="17" fillId="0" borderId="37" xfId="1" applyNumberFormat="1" applyFont="1" applyBorder="1">
      <alignment vertical="center"/>
    </xf>
    <xf numFmtId="180" fontId="17" fillId="8" borderId="95" xfId="1" applyNumberFormat="1" applyFont="1" applyFill="1" applyBorder="1">
      <alignment vertical="center"/>
    </xf>
    <xf numFmtId="180" fontId="17" fillId="0" borderId="82" xfId="1" applyNumberFormat="1" applyFont="1" applyBorder="1">
      <alignment vertical="center"/>
    </xf>
    <xf numFmtId="181" fontId="17" fillId="0" borderId="37" xfId="1" applyNumberFormat="1" applyFont="1" applyBorder="1">
      <alignment vertical="center"/>
    </xf>
    <xf numFmtId="180" fontId="17" fillId="0" borderId="38" xfId="1" applyNumberFormat="1" applyFont="1" applyBorder="1">
      <alignment vertical="center"/>
    </xf>
    <xf numFmtId="181" fontId="17" fillId="0" borderId="39" xfId="1" applyNumberFormat="1" applyFont="1" applyBorder="1">
      <alignment vertical="center"/>
    </xf>
    <xf numFmtId="38" fontId="17" fillId="0" borderId="0" xfId="1" applyFont="1" applyFill="1" applyBorder="1" applyAlignment="1">
      <alignment horizontal="center" vertical="center"/>
    </xf>
    <xf numFmtId="38" fontId="17" fillId="0" borderId="45" xfId="1" applyFont="1" applyFill="1" applyBorder="1" applyAlignment="1">
      <alignment horizontal="center" vertical="center"/>
    </xf>
    <xf numFmtId="180" fontId="17" fillId="0" borderId="48" xfId="1" applyNumberFormat="1" applyFont="1" applyFill="1" applyBorder="1">
      <alignment vertical="center"/>
    </xf>
    <xf numFmtId="180" fontId="17" fillId="0" borderId="0" xfId="1" applyNumberFormat="1" applyFont="1" applyFill="1" applyBorder="1">
      <alignment vertical="center"/>
    </xf>
    <xf numFmtId="181" fontId="17" fillId="0" borderId="0" xfId="1" applyNumberFormat="1" applyFont="1" applyFill="1" applyBorder="1">
      <alignment vertical="center"/>
    </xf>
    <xf numFmtId="38" fontId="17" fillId="0" borderId="16" xfId="1" applyFont="1" applyBorder="1" applyAlignment="1">
      <alignment vertical="center"/>
    </xf>
    <xf numFmtId="180" fontId="17" fillId="8" borderId="17" xfId="1" applyNumberFormat="1" applyFont="1" applyFill="1" applyBorder="1">
      <alignment vertical="center"/>
    </xf>
    <xf numFmtId="38" fontId="17" fillId="8" borderId="97" xfId="1" applyFont="1" applyFill="1" applyBorder="1">
      <alignment vertical="center"/>
    </xf>
    <xf numFmtId="9" fontId="17" fillId="0" borderId="25" xfId="1" applyNumberFormat="1" applyFont="1" applyFill="1" applyBorder="1" applyAlignment="1">
      <alignment vertical="center"/>
    </xf>
    <xf numFmtId="9" fontId="17" fillId="0" borderId="9" xfId="3" applyFont="1" applyBorder="1">
      <alignment vertical="center"/>
    </xf>
    <xf numFmtId="9" fontId="17" fillId="8" borderId="9" xfId="3" applyFont="1" applyFill="1" applyBorder="1">
      <alignment vertical="center"/>
    </xf>
    <xf numFmtId="181" fontId="17" fillId="0" borderId="9" xfId="3" applyNumberFormat="1" applyFont="1" applyBorder="1">
      <alignment vertical="center"/>
    </xf>
    <xf numFmtId="9" fontId="17" fillId="0" borderId="10" xfId="3" applyFont="1" applyBorder="1">
      <alignment vertical="center"/>
    </xf>
    <xf numFmtId="9" fontId="17" fillId="0" borderId="12" xfId="3" applyFont="1" applyBorder="1">
      <alignment vertical="center"/>
    </xf>
    <xf numFmtId="181" fontId="17" fillId="0" borderId="26" xfId="3" applyNumberFormat="1" applyFont="1" applyBorder="1">
      <alignment vertical="center"/>
    </xf>
    <xf numFmtId="38" fontId="17" fillId="0" borderId="25" xfId="1" applyFont="1" applyBorder="1" applyAlignment="1">
      <alignment vertical="center"/>
    </xf>
    <xf numFmtId="180" fontId="17" fillId="8" borderId="9" xfId="1" applyNumberFormat="1" applyFont="1" applyFill="1" applyBorder="1">
      <alignment vertical="center"/>
    </xf>
    <xf numFmtId="38" fontId="17" fillId="8" borderId="46" xfId="1" applyFont="1" applyFill="1" applyBorder="1">
      <alignment vertical="center"/>
    </xf>
    <xf numFmtId="38" fontId="17" fillId="0" borderId="29" xfId="1" applyFont="1" applyFill="1" applyBorder="1" applyAlignment="1">
      <alignment vertical="center"/>
    </xf>
    <xf numFmtId="9" fontId="17" fillId="0" borderId="30" xfId="3" applyFont="1" applyBorder="1">
      <alignment vertical="center"/>
    </xf>
    <xf numFmtId="9" fontId="17" fillId="8" borderId="30" xfId="3" applyFont="1" applyFill="1" applyBorder="1">
      <alignment vertical="center"/>
    </xf>
    <xf numFmtId="181" fontId="17" fillId="0" borderId="30" xfId="3" applyNumberFormat="1" applyFont="1" applyBorder="1">
      <alignment vertical="center"/>
    </xf>
    <xf numFmtId="9" fontId="17" fillId="0" borderId="31" xfId="3" applyFont="1" applyBorder="1">
      <alignment vertical="center"/>
    </xf>
    <xf numFmtId="9" fontId="17" fillId="8" borderId="37" xfId="3" applyFont="1" applyFill="1" applyBorder="1">
      <alignment vertical="center"/>
    </xf>
    <xf numFmtId="9" fontId="17" fillId="0" borderId="47" xfId="3" applyFont="1" applyBorder="1">
      <alignment vertical="center"/>
    </xf>
    <xf numFmtId="181" fontId="17" fillId="0" borderId="32" xfId="3" applyNumberFormat="1" applyFont="1" applyBorder="1">
      <alignment vertical="center"/>
    </xf>
    <xf numFmtId="180" fontId="17" fillId="8" borderId="89" xfId="3" applyNumberFormat="1" applyFont="1" applyFill="1" applyBorder="1">
      <alignment vertical="center"/>
    </xf>
    <xf numFmtId="184" fontId="17" fillId="0" borderId="0" xfId="1" applyNumberFormat="1" applyFont="1">
      <alignment vertical="center"/>
    </xf>
    <xf numFmtId="38" fontId="17" fillId="0" borderId="0" xfId="1" applyFont="1" applyBorder="1" applyAlignment="1">
      <alignment horizontal="center" vertical="center"/>
    </xf>
    <xf numFmtId="38" fontId="17" fillId="0" borderId="45" xfId="1" applyFont="1" applyBorder="1" applyAlignment="1">
      <alignment horizontal="center" vertical="center"/>
    </xf>
    <xf numFmtId="180" fontId="17" fillId="0" borderId="48" xfId="1" applyNumberFormat="1" applyFont="1" applyBorder="1">
      <alignment vertical="center"/>
    </xf>
    <xf numFmtId="180" fontId="17" fillId="10" borderId="89" xfId="1" applyNumberFormat="1" applyFont="1" applyFill="1" applyBorder="1">
      <alignment vertical="center"/>
    </xf>
    <xf numFmtId="38" fontId="17" fillId="0" borderId="20" xfId="1" applyFont="1" applyBorder="1" applyAlignment="1">
      <alignment horizontal="right" vertical="center"/>
    </xf>
    <xf numFmtId="9" fontId="17" fillId="0" borderId="22" xfId="1" applyNumberFormat="1" applyFont="1" applyBorder="1">
      <alignment vertical="center"/>
    </xf>
    <xf numFmtId="181" fontId="17" fillId="0" borderId="18" xfId="1" applyNumberFormat="1" applyFont="1" applyBorder="1">
      <alignment vertical="center"/>
    </xf>
    <xf numFmtId="38" fontId="17" fillId="0" borderId="99" xfId="1" applyFont="1" applyBorder="1" applyAlignment="1">
      <alignment horizontal="right" vertical="center"/>
    </xf>
    <xf numFmtId="9" fontId="17" fillId="0" borderId="100" xfId="1" applyNumberFormat="1" applyFont="1" applyBorder="1">
      <alignment vertical="center"/>
    </xf>
    <xf numFmtId="180" fontId="17" fillId="11" borderId="89" xfId="1" applyNumberFormat="1" applyFont="1" applyFill="1" applyBorder="1">
      <alignment vertical="center"/>
    </xf>
    <xf numFmtId="38" fontId="13" fillId="0" borderId="0" xfId="1" applyFont="1" applyAlignment="1">
      <alignment horizontal="center" vertical="center"/>
    </xf>
    <xf numFmtId="38" fontId="13" fillId="0" borderId="0" xfId="1" applyFont="1">
      <alignment vertical="center"/>
    </xf>
    <xf numFmtId="38" fontId="17" fillId="0" borderId="0" xfId="1" applyFont="1" applyBorder="1">
      <alignment vertical="center"/>
    </xf>
    <xf numFmtId="179" fontId="17" fillId="0" borderId="0" xfId="1" applyNumberFormat="1" applyFont="1" applyBorder="1">
      <alignment vertical="center"/>
    </xf>
    <xf numFmtId="9" fontId="17" fillId="0" borderId="0" xfId="1" applyNumberFormat="1" applyFont="1" applyBorder="1">
      <alignment vertical="center"/>
    </xf>
    <xf numFmtId="179" fontId="17" fillId="0" borderId="0" xfId="1" applyNumberFormat="1" applyFont="1">
      <alignment vertical="center"/>
    </xf>
    <xf numFmtId="176" fontId="0" fillId="0" borderId="0" xfId="2" applyNumberFormat="1" applyFont="1">
      <alignment vertical="center"/>
    </xf>
    <xf numFmtId="176" fontId="0" fillId="0" borderId="0" xfId="0" applyNumberFormat="1">
      <alignment vertical="center"/>
    </xf>
    <xf numFmtId="185" fontId="0" fillId="0" borderId="13" xfId="0" applyNumberFormat="1" applyBorder="1">
      <alignment vertical="center"/>
    </xf>
    <xf numFmtId="0" fontId="0" fillId="0" borderId="15" xfId="0" applyBorder="1">
      <alignment vertical="center"/>
    </xf>
    <xf numFmtId="185" fontId="0" fillId="0" borderId="66" xfId="0" applyNumberFormat="1" applyBorder="1">
      <alignment vertical="center"/>
    </xf>
    <xf numFmtId="0" fontId="0" fillId="0" borderId="98" xfId="0" applyBorder="1">
      <alignment vertical="center"/>
    </xf>
    <xf numFmtId="0" fontId="0" fillId="12" borderId="0" xfId="0" applyFill="1">
      <alignment vertical="center"/>
    </xf>
    <xf numFmtId="0" fontId="8" fillId="12" borderId="0" xfId="0" applyFont="1" applyFill="1">
      <alignment vertical="center"/>
    </xf>
    <xf numFmtId="176" fontId="0" fillId="0" borderId="9" xfId="0" applyNumberFormat="1" applyBorder="1">
      <alignment vertical="center"/>
    </xf>
    <xf numFmtId="0" fontId="0" fillId="7" borderId="9" xfId="0" applyFill="1" applyBorder="1" applyAlignment="1">
      <alignment horizontal="center" vertical="center"/>
    </xf>
    <xf numFmtId="0" fontId="7" fillId="0" borderId="0" xfId="0" applyFont="1">
      <alignment vertical="center"/>
    </xf>
    <xf numFmtId="0" fontId="0" fillId="0" borderId="9" xfId="0" applyBorder="1" applyAlignment="1">
      <alignment horizontal="right" vertical="center"/>
    </xf>
    <xf numFmtId="186" fontId="0" fillId="9" borderId="0" xfId="0" applyNumberFormat="1" applyFill="1">
      <alignment vertical="center"/>
    </xf>
    <xf numFmtId="185" fontId="0" fillId="9" borderId="0" xfId="0" applyNumberFormat="1" applyFill="1">
      <alignment vertical="center"/>
    </xf>
    <xf numFmtId="0" fontId="0" fillId="9" borderId="0" xfId="0" applyFill="1">
      <alignment vertical="center"/>
    </xf>
    <xf numFmtId="6" fontId="0" fillId="0" borderId="0" xfId="2" applyFont="1">
      <alignment vertical="center"/>
    </xf>
    <xf numFmtId="38" fontId="0" fillId="9" borderId="9" xfId="1" applyFont="1" applyFill="1" applyBorder="1">
      <alignment vertical="center"/>
    </xf>
    <xf numFmtId="0" fontId="17" fillId="0" borderId="0" xfId="0" applyFont="1">
      <alignment vertical="center"/>
    </xf>
    <xf numFmtId="0" fontId="0" fillId="0" borderId="84" xfId="0" applyBorder="1">
      <alignment vertical="center"/>
    </xf>
    <xf numFmtId="186" fontId="0" fillId="0" borderId="0" xfId="0" applyNumberFormat="1">
      <alignment vertical="center"/>
    </xf>
    <xf numFmtId="185" fontId="0" fillId="0" borderId="0" xfId="0" applyNumberFormat="1">
      <alignment vertical="center"/>
    </xf>
    <xf numFmtId="0" fontId="0" fillId="0" borderId="0" xfId="0" applyAlignment="1">
      <alignment horizontal="right" vertical="center"/>
    </xf>
    <xf numFmtId="0" fontId="26" fillId="0" borderId="0" xfId="0" applyFont="1">
      <alignment vertical="center"/>
    </xf>
    <xf numFmtId="176" fontId="13" fillId="0" borderId="0" xfId="2" applyNumberFormat="1" applyFont="1">
      <alignment vertical="center"/>
    </xf>
    <xf numFmtId="0" fontId="26" fillId="4" borderId="0" xfId="0" applyFont="1" applyFill="1">
      <alignment vertical="center"/>
    </xf>
    <xf numFmtId="0" fontId="13" fillId="4" borderId="0" xfId="0" applyFont="1" applyFill="1">
      <alignment vertical="center"/>
    </xf>
    <xf numFmtId="14" fontId="0" fillId="0" borderId="0" xfId="0" applyNumberFormat="1" applyAlignment="1">
      <alignment horizontal="right" vertical="center"/>
    </xf>
    <xf numFmtId="0" fontId="0" fillId="4" borderId="0" xfId="0" applyFill="1" applyAlignment="1">
      <alignment horizontal="right" vertical="center"/>
    </xf>
    <xf numFmtId="177" fontId="14" fillId="6" borderId="9" xfId="0" applyNumberFormat="1" applyFont="1" applyFill="1" applyBorder="1" applyAlignment="1">
      <alignment horizontal="right" vertical="center"/>
    </xf>
    <xf numFmtId="177" fontId="14" fillId="6" borderId="10" xfId="0" applyNumberFormat="1" applyFont="1" applyFill="1" applyBorder="1" applyAlignment="1">
      <alignment horizontal="right" vertical="center"/>
    </xf>
    <xf numFmtId="177" fontId="14" fillId="6" borderId="12" xfId="0" applyNumberFormat="1" applyFont="1" applyFill="1" applyBorder="1" applyAlignment="1">
      <alignment horizontal="right" vertical="center"/>
    </xf>
    <xf numFmtId="0" fontId="14" fillId="0" borderId="9" xfId="0" applyFont="1" applyBorder="1" applyAlignment="1">
      <alignment horizontal="center" vertical="center" shrinkToFit="1"/>
    </xf>
    <xf numFmtId="0" fontId="14" fillId="7" borderId="9" xfId="0" applyFont="1" applyFill="1" applyBorder="1" applyAlignment="1">
      <alignment horizontal="center" vertical="top" shrinkToFit="1"/>
    </xf>
    <xf numFmtId="177" fontId="14" fillId="6" borderId="25" xfId="0" applyNumberFormat="1" applyFont="1" applyFill="1" applyBorder="1" applyAlignment="1">
      <alignment horizontal="center" vertical="center" shrinkToFit="1"/>
    </xf>
    <xf numFmtId="177" fontId="14" fillId="6" borderId="9" xfId="0" applyNumberFormat="1" applyFont="1" applyFill="1" applyBorder="1" applyAlignment="1">
      <alignment horizontal="center" vertical="center" shrinkToFit="1"/>
    </xf>
    <xf numFmtId="177" fontId="14" fillId="7" borderId="9" xfId="0" applyNumberFormat="1" applyFont="1" applyFill="1" applyBorder="1" applyAlignment="1">
      <alignment horizontal="center" vertical="center" shrinkToFit="1"/>
    </xf>
    <xf numFmtId="177" fontId="14" fillId="7" borderId="26" xfId="0" applyNumberFormat="1" applyFont="1" applyFill="1" applyBorder="1" applyAlignment="1">
      <alignment horizontal="center" vertical="center" shrinkToFit="1"/>
    </xf>
    <xf numFmtId="177" fontId="14" fillId="7" borderId="10" xfId="0" applyNumberFormat="1" applyFont="1" applyFill="1" applyBorder="1" applyAlignment="1">
      <alignment horizontal="center" vertical="center" shrinkToFit="1"/>
    </xf>
    <xf numFmtId="177" fontId="14" fillId="6" borderId="12" xfId="0" applyNumberFormat="1" applyFont="1" applyFill="1" applyBorder="1" applyAlignment="1">
      <alignment horizontal="center" vertical="center" shrinkToFit="1"/>
    </xf>
    <xf numFmtId="0" fontId="14" fillId="0" borderId="31" xfId="0" applyFont="1" applyBorder="1" applyAlignment="1">
      <alignment horizontal="center" vertical="center" shrinkToFit="1"/>
    </xf>
    <xf numFmtId="177" fontId="15" fillId="7" borderId="42" xfId="0" applyNumberFormat="1" applyFont="1" applyFill="1" applyBorder="1">
      <alignment vertical="center"/>
    </xf>
    <xf numFmtId="177" fontId="15" fillId="7" borderId="10" xfId="0" applyNumberFormat="1" applyFont="1" applyFill="1" applyBorder="1">
      <alignment vertical="center"/>
    </xf>
    <xf numFmtId="177" fontId="14" fillId="0" borderId="9" xfId="0" applyNumberFormat="1" applyFont="1" applyBorder="1">
      <alignment vertical="center"/>
    </xf>
    <xf numFmtId="177" fontId="14" fillId="0" borderId="26" xfId="0" applyNumberFormat="1" applyFont="1" applyBorder="1">
      <alignment vertical="center"/>
    </xf>
    <xf numFmtId="177" fontId="14" fillId="0" borderId="30" xfId="0" applyNumberFormat="1" applyFont="1" applyBorder="1">
      <alignment vertical="center"/>
    </xf>
    <xf numFmtId="177" fontId="14" fillId="0" borderId="32" xfId="0" applyNumberFormat="1" applyFont="1" applyBorder="1">
      <alignment vertical="center"/>
    </xf>
    <xf numFmtId="177" fontId="15" fillId="7" borderId="31" xfId="0" applyNumberFormat="1" applyFont="1" applyFill="1" applyBorder="1">
      <alignment vertical="center"/>
    </xf>
    <xf numFmtId="177" fontId="14" fillId="0" borderId="53" xfId="0" applyNumberFormat="1" applyFont="1" applyBorder="1">
      <alignment vertical="center"/>
    </xf>
    <xf numFmtId="177" fontId="14" fillId="0" borderId="55" xfId="0" applyNumberFormat="1" applyFont="1" applyBorder="1">
      <alignment vertical="center"/>
    </xf>
    <xf numFmtId="177" fontId="15" fillId="7" borderId="54" xfId="0" applyNumberFormat="1" applyFont="1" applyFill="1" applyBorder="1">
      <alignment vertical="center"/>
    </xf>
    <xf numFmtId="177" fontId="14" fillId="0" borderId="63" xfId="0" applyNumberFormat="1" applyFont="1" applyBorder="1">
      <alignment vertical="center"/>
    </xf>
    <xf numFmtId="177" fontId="14" fillId="0" borderId="65" xfId="0" applyNumberFormat="1" applyFont="1" applyBorder="1">
      <alignment vertical="center"/>
    </xf>
    <xf numFmtId="177" fontId="15" fillId="7" borderId="64" xfId="0" applyNumberFormat="1" applyFont="1" applyFill="1" applyBorder="1">
      <alignment vertical="center"/>
    </xf>
    <xf numFmtId="177" fontId="14" fillId="0" borderId="41" xfId="0" applyNumberFormat="1" applyFont="1" applyBorder="1">
      <alignment vertical="center"/>
    </xf>
    <xf numFmtId="177" fontId="14" fillId="0" borderId="43" xfId="0" applyNumberFormat="1" applyFont="1" applyBorder="1">
      <alignment vertical="center"/>
    </xf>
    <xf numFmtId="0" fontId="14" fillId="9" borderId="42" xfId="0" applyFont="1" applyFill="1" applyBorder="1" applyAlignment="1">
      <alignment horizontal="left" vertical="top" shrinkToFit="1"/>
    </xf>
    <xf numFmtId="0" fontId="14" fillId="6" borderId="59" xfId="0" applyFont="1" applyFill="1" applyBorder="1" applyAlignment="1">
      <alignment horizontal="center" vertical="top" shrinkToFit="1"/>
    </xf>
    <xf numFmtId="0" fontId="14" fillId="6" borderId="30" xfId="0" applyFont="1" applyFill="1" applyBorder="1" applyAlignment="1">
      <alignment horizontal="center" vertical="top" shrinkToFit="1"/>
    </xf>
    <xf numFmtId="38" fontId="17" fillId="0" borderId="10" xfId="1" applyFont="1" applyBorder="1" applyAlignment="1">
      <alignment horizontal="center" vertical="center"/>
    </xf>
    <xf numFmtId="38" fontId="17" fillId="0" borderId="12" xfId="1" applyFont="1" applyBorder="1" applyAlignment="1">
      <alignment horizontal="center" vertical="center"/>
    </xf>
    <xf numFmtId="38" fontId="17" fillId="0" borderId="31" xfId="1" applyFont="1" applyBorder="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0" fillId="5" borderId="8" xfId="0" applyFill="1" applyBorder="1" applyAlignment="1">
      <alignment horizontal="center" vertical="center"/>
    </xf>
    <xf numFmtId="177" fontId="14" fillId="5" borderId="9" xfId="0" applyNumberFormat="1" applyFont="1" applyFill="1" applyBorder="1" applyAlignment="1">
      <alignment horizontal="center" vertical="center"/>
    </xf>
    <xf numFmtId="0" fontId="0" fillId="5" borderId="10" xfId="0" applyFill="1" applyBorder="1" applyAlignment="1">
      <alignment horizontal="center" vertical="center"/>
    </xf>
    <xf numFmtId="0" fontId="0" fillId="5" borderId="11" xfId="0" applyFill="1" applyBorder="1" applyAlignment="1">
      <alignment horizontal="center" vertical="center"/>
    </xf>
    <xf numFmtId="0" fontId="0" fillId="5" borderId="12" xfId="0" applyFill="1" applyBorder="1" applyAlignment="1">
      <alignment horizontal="center" vertical="center"/>
    </xf>
    <xf numFmtId="14" fontId="14" fillId="6" borderId="0" xfId="0" applyNumberFormat="1" applyFont="1" applyFill="1" applyAlignment="1">
      <alignment horizontal="center" vertical="center"/>
    </xf>
    <xf numFmtId="0" fontId="0" fillId="5" borderId="9" xfId="0" applyFill="1" applyBorder="1" applyAlignment="1">
      <alignment horizontal="center" vertical="center"/>
    </xf>
    <xf numFmtId="0" fontId="14" fillId="5" borderId="9" xfId="0" applyFont="1" applyFill="1" applyBorder="1" applyAlignment="1">
      <alignment horizontal="center" vertical="top"/>
    </xf>
    <xf numFmtId="177" fontId="14" fillId="6" borderId="9" xfId="0" applyNumberFormat="1" applyFont="1" applyFill="1" applyBorder="1">
      <alignment vertical="center"/>
    </xf>
    <xf numFmtId="177" fontId="14" fillId="6" borderId="9" xfId="0" applyNumberFormat="1" applyFont="1" applyFill="1" applyBorder="1" applyAlignment="1">
      <alignment horizontal="right" vertical="center"/>
    </xf>
    <xf numFmtId="177" fontId="14" fillId="7" borderId="9" xfId="0" applyNumberFormat="1" applyFont="1" applyFill="1" applyBorder="1" applyAlignment="1">
      <alignment horizontal="right" vertical="center"/>
    </xf>
    <xf numFmtId="0" fontId="14" fillId="5" borderId="10" xfId="0" applyFont="1" applyFill="1" applyBorder="1" applyAlignment="1">
      <alignment horizontal="center" vertical="top"/>
    </xf>
    <xf numFmtId="0" fontId="14" fillId="5" borderId="11" xfId="0" applyFont="1" applyFill="1" applyBorder="1" applyAlignment="1">
      <alignment horizontal="center" vertical="top"/>
    </xf>
    <xf numFmtId="0" fontId="14" fillId="5" borderId="12" xfId="0" applyFont="1" applyFill="1" applyBorder="1" applyAlignment="1">
      <alignment horizontal="center" vertical="top"/>
    </xf>
    <xf numFmtId="177" fontId="14" fillId="6" borderId="10" xfId="0" applyNumberFormat="1" applyFont="1" applyFill="1" applyBorder="1" applyAlignment="1">
      <alignment horizontal="right" vertical="center"/>
    </xf>
    <xf numFmtId="177" fontId="14" fillId="6" borderId="12" xfId="0" applyNumberFormat="1" applyFont="1" applyFill="1" applyBorder="1" applyAlignment="1">
      <alignment horizontal="right" vertical="center"/>
    </xf>
    <xf numFmtId="177" fontId="14" fillId="7" borderId="10" xfId="0" applyNumberFormat="1" applyFont="1" applyFill="1" applyBorder="1" applyAlignment="1">
      <alignment horizontal="right" vertical="center"/>
    </xf>
    <xf numFmtId="177" fontId="14" fillId="7" borderId="11" xfId="0" applyNumberFormat="1" applyFont="1" applyFill="1" applyBorder="1" applyAlignment="1">
      <alignment horizontal="right" vertical="center"/>
    </xf>
    <xf numFmtId="177" fontId="14" fillId="7" borderId="12" xfId="0" applyNumberFormat="1" applyFont="1" applyFill="1" applyBorder="1" applyAlignment="1">
      <alignment horizontal="right" vertical="center"/>
    </xf>
    <xf numFmtId="177" fontId="14" fillId="5" borderId="9" xfId="0" applyNumberFormat="1" applyFont="1" applyFill="1" applyBorder="1" applyAlignment="1">
      <alignment horizontal="right" vertical="center"/>
    </xf>
    <xf numFmtId="6" fontId="0" fillId="0" borderId="0" xfId="2" applyFont="1" applyAlignment="1">
      <alignment horizontal="center" vertical="center"/>
    </xf>
    <xf numFmtId="177" fontId="14" fillId="6" borderId="25" xfId="0" applyNumberFormat="1" applyFont="1" applyFill="1" applyBorder="1" applyAlignment="1">
      <alignment horizontal="center" vertical="center" shrinkToFit="1"/>
    </xf>
    <xf numFmtId="177" fontId="14" fillId="6" borderId="9" xfId="0" applyNumberFormat="1" applyFont="1" applyFill="1" applyBorder="1" applyAlignment="1">
      <alignment horizontal="center" vertical="center" shrinkToFit="1"/>
    </xf>
    <xf numFmtId="177" fontId="19" fillId="6" borderId="16" xfId="0" applyNumberFormat="1" applyFont="1" applyFill="1" applyBorder="1" applyAlignment="1">
      <alignment horizontal="center" vertical="center"/>
    </xf>
    <xf numFmtId="177" fontId="19" fillId="6" borderId="17" xfId="0" applyNumberFormat="1" applyFont="1" applyFill="1" applyBorder="1" applyAlignment="1">
      <alignment horizontal="center" vertical="center"/>
    </xf>
    <xf numFmtId="177" fontId="19" fillId="6" borderId="18" xfId="0" applyNumberFormat="1" applyFont="1" applyFill="1" applyBorder="1" applyAlignment="1">
      <alignment horizontal="center" vertical="center"/>
    </xf>
    <xf numFmtId="177" fontId="20" fillId="6" borderId="20" xfId="0" applyNumberFormat="1" applyFont="1" applyFill="1" applyBorder="1" applyAlignment="1">
      <alignment horizontal="center" vertical="center"/>
    </xf>
    <xf numFmtId="177" fontId="20" fillId="6" borderId="21" xfId="0" applyNumberFormat="1" applyFont="1" applyFill="1" applyBorder="1" applyAlignment="1">
      <alignment horizontal="center" vertical="center"/>
    </xf>
    <xf numFmtId="177" fontId="20" fillId="6" borderId="22" xfId="0" applyNumberFormat="1" applyFont="1" applyFill="1" applyBorder="1" applyAlignment="1">
      <alignment horizontal="center" vertical="center"/>
    </xf>
    <xf numFmtId="0" fontId="21" fillId="8" borderId="13" xfId="0" applyFont="1" applyFill="1" applyBorder="1" applyAlignment="1">
      <alignment horizontal="center" vertical="center"/>
    </xf>
    <xf numFmtId="0" fontId="21" fillId="8" borderId="15" xfId="0" applyFont="1" applyFill="1" applyBorder="1" applyAlignment="1">
      <alignment horizontal="center" vertical="center"/>
    </xf>
    <xf numFmtId="0" fontId="21" fillId="8" borderId="27" xfId="0" applyFont="1" applyFill="1" applyBorder="1" applyAlignment="1">
      <alignment horizontal="center" vertical="center"/>
    </xf>
    <xf numFmtId="0" fontId="21" fillId="8" borderId="28" xfId="0" applyFont="1" applyFill="1" applyBorder="1" applyAlignment="1">
      <alignment horizontal="center" vertical="center"/>
    </xf>
    <xf numFmtId="0" fontId="14" fillId="0" borderId="25" xfId="0" applyFont="1" applyBorder="1" applyAlignment="1">
      <alignment horizontal="center" vertical="center" shrinkToFit="1"/>
    </xf>
    <xf numFmtId="0" fontId="14" fillId="0" borderId="9" xfId="0" applyFont="1" applyBorder="1" applyAlignment="1">
      <alignment horizontal="center" vertical="center" shrinkToFit="1"/>
    </xf>
    <xf numFmtId="0" fontId="14" fillId="7" borderId="9" xfId="0" applyFont="1" applyFill="1" applyBorder="1" applyAlignment="1">
      <alignment horizontal="center" vertical="top" shrinkToFit="1"/>
    </xf>
    <xf numFmtId="0" fontId="14" fillId="7" borderId="10" xfId="0" applyFont="1" applyFill="1" applyBorder="1" applyAlignment="1">
      <alignment horizontal="center" vertical="top" shrinkToFit="1"/>
    </xf>
    <xf numFmtId="0" fontId="19" fillId="0" borderId="16" xfId="0" applyFont="1" applyBorder="1" applyAlignment="1">
      <alignment horizontal="center" vertical="top"/>
    </xf>
    <xf numFmtId="0" fontId="19" fillId="0" borderId="17" xfId="0" applyFont="1" applyBorder="1" applyAlignment="1">
      <alignment horizontal="center" vertical="top"/>
    </xf>
    <xf numFmtId="0" fontId="19" fillId="0" borderId="18" xfId="0" applyFont="1" applyBorder="1" applyAlignment="1">
      <alignment horizontal="center" vertical="top"/>
    </xf>
    <xf numFmtId="177" fontId="19" fillId="6" borderId="19" xfId="0" applyNumberFormat="1" applyFont="1" applyFill="1" applyBorder="1" applyAlignment="1">
      <alignment horizontal="center" vertical="center"/>
    </xf>
    <xf numFmtId="177" fontId="14" fillId="7" borderId="9" xfId="0" applyNumberFormat="1" applyFont="1" applyFill="1" applyBorder="1" applyAlignment="1">
      <alignment horizontal="center" vertical="center" shrinkToFit="1"/>
    </xf>
    <xf numFmtId="177" fontId="14" fillId="7" borderId="26" xfId="0" applyNumberFormat="1" applyFont="1" applyFill="1" applyBorder="1" applyAlignment="1">
      <alignment horizontal="center" vertical="center" shrinkToFit="1"/>
    </xf>
    <xf numFmtId="177" fontId="14" fillId="7" borderId="10" xfId="0" applyNumberFormat="1" applyFont="1" applyFill="1" applyBorder="1" applyAlignment="1">
      <alignment horizontal="center" vertical="center" shrinkToFit="1"/>
    </xf>
    <xf numFmtId="0" fontId="14" fillId="5" borderId="73" xfId="0" applyFont="1" applyFill="1" applyBorder="1" applyAlignment="1">
      <alignment horizontal="center" shrinkToFit="1"/>
    </xf>
    <xf numFmtId="0" fontId="14" fillId="5" borderId="74" xfId="0" applyFont="1" applyFill="1" applyBorder="1" applyAlignment="1">
      <alignment horizontal="center" shrinkToFit="1"/>
    </xf>
    <xf numFmtId="0" fontId="14" fillId="5" borderId="75" xfId="0" applyFont="1" applyFill="1" applyBorder="1" applyAlignment="1">
      <alignment horizontal="center" shrinkToFit="1"/>
    </xf>
    <xf numFmtId="0" fontId="14" fillId="5" borderId="76" xfId="0" applyFont="1" applyFill="1" applyBorder="1" applyAlignment="1">
      <alignment horizontal="center" shrinkToFit="1"/>
    </xf>
    <xf numFmtId="0" fontId="14" fillId="5" borderId="77" xfId="0" applyFont="1" applyFill="1" applyBorder="1" applyAlignment="1">
      <alignment horizontal="center" shrinkToFit="1"/>
    </xf>
    <xf numFmtId="0" fontId="14" fillId="5" borderId="78" xfId="0" applyFont="1" applyFill="1" applyBorder="1" applyAlignment="1">
      <alignment horizontal="center" shrinkToFit="1"/>
    </xf>
    <xf numFmtId="177" fontId="14" fillId="5" borderId="31" xfId="0" applyNumberFormat="1" applyFont="1" applyFill="1" applyBorder="1" applyAlignment="1">
      <alignment horizontal="center" vertical="center"/>
    </xf>
    <xf numFmtId="177" fontId="14" fillId="5" borderId="47" xfId="0" applyNumberFormat="1" applyFont="1" applyFill="1" applyBorder="1" applyAlignment="1">
      <alignment horizontal="center" vertical="center"/>
    </xf>
    <xf numFmtId="177" fontId="14" fillId="5" borderId="42" xfId="0" applyNumberFormat="1" applyFont="1" applyFill="1" applyBorder="1" applyAlignment="1">
      <alignment horizontal="center" vertical="center"/>
    </xf>
    <xf numFmtId="177" fontId="14" fillId="5" borderId="79" xfId="0" applyNumberFormat="1" applyFont="1" applyFill="1" applyBorder="1" applyAlignment="1">
      <alignment horizontal="center" vertical="center"/>
    </xf>
    <xf numFmtId="177" fontId="14" fillId="5" borderId="10" xfId="0" applyNumberFormat="1" applyFont="1" applyFill="1" applyBorder="1" applyAlignment="1">
      <alignment horizontal="center" vertical="center"/>
    </xf>
    <xf numFmtId="177" fontId="14" fillId="5" borderId="11" xfId="0" applyNumberFormat="1" applyFont="1" applyFill="1" applyBorder="1" applyAlignment="1">
      <alignment horizontal="center" vertical="center"/>
    </xf>
    <xf numFmtId="177" fontId="14" fillId="5" borderId="12" xfId="0" applyNumberFormat="1" applyFont="1" applyFill="1" applyBorder="1" applyAlignment="1">
      <alignment horizontal="center" vertical="center"/>
    </xf>
    <xf numFmtId="177" fontId="14" fillId="6" borderId="10" xfId="0" applyNumberFormat="1" applyFont="1" applyFill="1" applyBorder="1">
      <alignment vertical="center"/>
    </xf>
    <xf numFmtId="177" fontId="14" fillId="6" borderId="12" xfId="0" applyNumberFormat="1" applyFont="1" applyFill="1" applyBorder="1">
      <alignment vertical="center"/>
    </xf>
    <xf numFmtId="177" fontId="14" fillId="6" borderId="11" xfId="0" applyNumberFormat="1" applyFont="1" applyFill="1" applyBorder="1">
      <alignment vertical="center"/>
    </xf>
    <xf numFmtId="177" fontId="14" fillId="7" borderId="10" xfId="0" applyNumberFormat="1" applyFont="1" applyFill="1" applyBorder="1">
      <alignment vertical="center"/>
    </xf>
    <xf numFmtId="177" fontId="14" fillId="7" borderId="11" xfId="0" applyNumberFormat="1" applyFont="1" applyFill="1" applyBorder="1">
      <alignment vertical="center"/>
    </xf>
    <xf numFmtId="177" fontId="14" fillId="7" borderId="12" xfId="0" applyNumberFormat="1" applyFont="1" applyFill="1" applyBorder="1">
      <alignment vertical="center"/>
    </xf>
    <xf numFmtId="0" fontId="18" fillId="6" borderId="0" xfId="0" applyFont="1" applyFill="1" applyAlignment="1">
      <alignment horizontal="center" vertical="top"/>
    </xf>
    <xf numFmtId="177" fontId="14" fillId="6" borderId="11" xfId="0" applyNumberFormat="1" applyFont="1" applyFill="1" applyBorder="1" applyAlignment="1">
      <alignment horizontal="right" vertical="center"/>
    </xf>
    <xf numFmtId="177" fontId="14" fillId="5" borderId="10" xfId="0" applyNumberFormat="1" applyFont="1" applyFill="1" applyBorder="1" applyAlignment="1">
      <alignment horizontal="right" vertical="center"/>
    </xf>
    <xf numFmtId="177" fontId="14" fillId="5" borderId="11" xfId="0" applyNumberFormat="1" applyFont="1" applyFill="1" applyBorder="1" applyAlignment="1">
      <alignment horizontal="right" vertical="center"/>
    </xf>
    <xf numFmtId="177" fontId="14" fillId="5" borderId="12" xfId="0" applyNumberFormat="1" applyFont="1" applyFill="1" applyBorder="1" applyAlignment="1">
      <alignment horizontal="right" vertical="center"/>
    </xf>
    <xf numFmtId="6" fontId="23" fillId="0" borderId="0" xfId="2" applyFont="1" applyAlignment="1">
      <alignment horizontal="center" vertical="center"/>
    </xf>
    <xf numFmtId="177" fontId="19" fillId="6" borderId="20" xfId="0" applyNumberFormat="1" applyFont="1" applyFill="1" applyBorder="1" applyAlignment="1">
      <alignment horizontal="center" vertical="center"/>
    </xf>
    <xf numFmtId="177" fontId="19" fillId="6" borderId="21" xfId="0" applyNumberFormat="1" applyFont="1" applyFill="1" applyBorder="1" applyAlignment="1">
      <alignment horizontal="center" vertical="center"/>
    </xf>
    <xf numFmtId="177" fontId="19" fillId="6" borderId="22" xfId="0" applyNumberFormat="1" applyFont="1" applyFill="1" applyBorder="1" applyAlignment="1">
      <alignment horizontal="center" vertical="center"/>
    </xf>
    <xf numFmtId="0" fontId="14" fillId="6" borderId="80" xfId="0" applyFont="1" applyFill="1" applyBorder="1" applyAlignment="1">
      <alignment horizontal="center" vertical="top" shrinkToFit="1"/>
    </xf>
    <xf numFmtId="0" fontId="14" fillId="6" borderId="12" xfId="0" applyFont="1" applyFill="1" applyBorder="1" applyAlignment="1">
      <alignment horizontal="center" vertical="top" shrinkToFit="1"/>
    </xf>
    <xf numFmtId="0" fontId="14" fillId="6" borderId="10" xfId="0" applyFont="1" applyFill="1" applyBorder="1" applyAlignment="1">
      <alignment horizontal="center" vertical="center" shrinkToFit="1"/>
    </xf>
    <xf numFmtId="0" fontId="14" fillId="6" borderId="12" xfId="0" applyFont="1" applyFill="1" applyBorder="1" applyAlignment="1">
      <alignment horizontal="center" vertical="center" shrinkToFit="1"/>
    </xf>
    <xf numFmtId="0" fontId="14" fillId="7" borderId="81" xfId="0" applyFont="1" applyFill="1" applyBorder="1" applyAlignment="1">
      <alignment horizontal="center" vertical="top" shrinkToFit="1"/>
    </xf>
    <xf numFmtId="177" fontId="14" fillId="6" borderId="10" xfId="0" applyNumberFormat="1" applyFont="1" applyFill="1" applyBorder="1" applyAlignment="1">
      <alignment horizontal="center" vertical="center" shrinkToFit="1"/>
    </xf>
    <xf numFmtId="177" fontId="14" fillId="6" borderId="12" xfId="0" applyNumberFormat="1" applyFont="1" applyFill="1" applyBorder="1" applyAlignment="1">
      <alignment horizontal="center" vertical="center" shrinkToFit="1"/>
    </xf>
    <xf numFmtId="0" fontId="19" fillId="6" borderId="20" xfId="0" applyFont="1" applyFill="1" applyBorder="1" applyAlignment="1">
      <alignment horizontal="center" vertical="top"/>
    </xf>
    <xf numFmtId="0" fontId="19" fillId="6" borderId="21" xfId="0" applyFont="1" applyFill="1" applyBorder="1" applyAlignment="1">
      <alignment horizontal="center" vertical="top"/>
    </xf>
    <xf numFmtId="0" fontId="19" fillId="6" borderId="22" xfId="0" applyFont="1" applyFill="1" applyBorder="1" applyAlignment="1">
      <alignment horizontal="center" vertical="top"/>
    </xf>
    <xf numFmtId="177" fontId="14" fillId="7" borderId="81" xfId="0" applyNumberFormat="1" applyFont="1" applyFill="1" applyBorder="1" applyAlignment="1">
      <alignment horizontal="center" vertical="center" shrinkToFit="1"/>
    </xf>
    <xf numFmtId="177" fontId="14" fillId="6" borderId="80" xfId="0" applyNumberFormat="1" applyFont="1" applyFill="1" applyBorder="1" applyAlignment="1">
      <alignment horizontal="center" vertical="center" shrinkToFit="1"/>
    </xf>
    <xf numFmtId="177" fontId="14" fillId="9" borderId="10" xfId="0" applyNumberFormat="1" applyFont="1" applyFill="1" applyBorder="1" applyAlignment="1">
      <alignment horizontal="center" vertical="center" shrinkToFit="1"/>
    </xf>
    <xf numFmtId="177" fontId="14" fillId="9" borderId="12" xfId="0" applyNumberFormat="1" applyFont="1" applyFill="1" applyBorder="1" applyAlignment="1">
      <alignment horizontal="center" vertical="center" shrinkToFit="1"/>
    </xf>
    <xf numFmtId="0" fontId="0" fillId="7" borderId="9" xfId="0" applyFill="1" applyBorder="1" applyAlignment="1">
      <alignment horizontal="center" vertical="center" wrapText="1"/>
    </xf>
    <xf numFmtId="0" fontId="0" fillId="7" borderId="9" xfId="0" applyFill="1" applyBorder="1" applyAlignment="1">
      <alignment horizontal="center" vertical="center"/>
    </xf>
    <xf numFmtId="177" fontId="14" fillId="6" borderId="9" xfId="0" applyNumberFormat="1" applyFont="1" applyFill="1" applyBorder="1" applyAlignment="1">
      <alignment vertical="center"/>
    </xf>
    <xf numFmtId="177" fontId="14" fillId="7" borderId="9" xfId="0" applyNumberFormat="1" applyFont="1" applyFill="1" applyBorder="1" applyAlignment="1">
      <alignment vertical="center"/>
    </xf>
    <xf numFmtId="177" fontId="14" fillId="6" borderId="10" xfId="0" applyNumberFormat="1" applyFont="1" applyFill="1" applyBorder="1" applyAlignment="1">
      <alignment vertical="center"/>
    </xf>
    <xf numFmtId="177" fontId="14" fillId="6" borderId="12" xfId="0" applyNumberFormat="1" applyFont="1" applyFill="1" applyBorder="1" applyAlignment="1">
      <alignment vertical="center"/>
    </xf>
    <xf numFmtId="177" fontId="14" fillId="6" borderId="11" xfId="0" applyNumberFormat="1" applyFont="1" applyFill="1" applyBorder="1" applyAlignment="1">
      <alignment vertical="center"/>
    </xf>
    <xf numFmtId="177" fontId="14" fillId="7" borderId="10" xfId="0" applyNumberFormat="1" applyFont="1" applyFill="1" applyBorder="1" applyAlignment="1">
      <alignment vertical="center"/>
    </xf>
    <xf numFmtId="177" fontId="14" fillId="7" borderId="11" xfId="0" applyNumberFormat="1" applyFont="1" applyFill="1" applyBorder="1" applyAlignment="1">
      <alignment vertical="center"/>
    </xf>
    <xf numFmtId="177" fontId="14" fillId="7" borderId="12" xfId="0" applyNumberFormat="1" applyFont="1" applyFill="1" applyBorder="1" applyAlignment="1">
      <alignment vertical="center"/>
    </xf>
    <xf numFmtId="38" fontId="17" fillId="0" borderId="66" xfId="1" applyFont="1" applyBorder="1" applyAlignment="1">
      <alignment horizontal="center" vertical="center"/>
    </xf>
    <xf numFmtId="38" fontId="17" fillId="0" borderId="98" xfId="1" applyFont="1" applyBorder="1" applyAlignment="1">
      <alignment horizontal="center" vertical="center"/>
    </xf>
    <xf numFmtId="38" fontId="17" fillId="0" borderId="93" xfId="1" applyFont="1" applyBorder="1" applyAlignment="1">
      <alignment horizontal="center" vertical="center"/>
    </xf>
    <xf numFmtId="38" fontId="17" fillId="0" borderId="94" xfId="1" applyFont="1" applyBorder="1" applyAlignment="1">
      <alignment horizontal="center" vertical="center"/>
    </xf>
    <xf numFmtId="38" fontId="17" fillId="0" borderId="96" xfId="1" applyFont="1" applyBorder="1" applyAlignment="1">
      <alignment horizontal="center" vertical="center"/>
    </xf>
    <xf numFmtId="38" fontId="17" fillId="0" borderId="43" xfId="1" applyFont="1" applyBorder="1" applyAlignment="1">
      <alignment horizontal="center" vertical="center"/>
    </xf>
    <xf numFmtId="38" fontId="17" fillId="0" borderId="32" xfId="1" applyFont="1" applyBorder="1" applyAlignment="1">
      <alignment horizontal="center" vertical="center"/>
    </xf>
    <xf numFmtId="38" fontId="17" fillId="0" borderId="49" xfId="1" applyFont="1" applyBorder="1" applyAlignment="1">
      <alignment horizontal="center" vertical="center"/>
    </xf>
    <xf numFmtId="184" fontId="17" fillId="0" borderId="66" xfId="1" applyNumberFormat="1" applyFont="1" applyFill="1" applyBorder="1" applyAlignment="1">
      <alignment horizontal="center" vertical="center"/>
    </xf>
    <xf numFmtId="184" fontId="17" fillId="0" borderId="98" xfId="1" applyNumberFormat="1" applyFont="1" applyFill="1" applyBorder="1" applyAlignment="1">
      <alignment horizontal="center" vertical="center"/>
    </xf>
    <xf numFmtId="38" fontId="17" fillId="0" borderId="80" xfId="1" applyFont="1" applyBorder="1" applyAlignment="1">
      <alignment horizontal="center" vertical="center"/>
    </xf>
    <xf numFmtId="38" fontId="17" fillId="0" borderId="81" xfId="1" applyFont="1" applyBorder="1" applyAlignment="1">
      <alignment horizontal="center" vertical="center"/>
    </xf>
    <xf numFmtId="38" fontId="17" fillId="0" borderId="11" xfId="1" applyFont="1" applyBorder="1" applyAlignment="1">
      <alignment horizontal="center" vertical="center"/>
    </xf>
    <xf numFmtId="38" fontId="17" fillId="0" borderId="10" xfId="1" applyFont="1" applyBorder="1" applyAlignment="1">
      <alignment horizontal="center" vertical="center"/>
    </xf>
    <xf numFmtId="38" fontId="17" fillId="0" borderId="31" xfId="1" applyFont="1" applyBorder="1" applyAlignment="1">
      <alignment horizontal="center" vertical="center"/>
    </xf>
    <xf numFmtId="38" fontId="17" fillId="0" borderId="86" xfId="1" applyFont="1" applyBorder="1" applyAlignment="1">
      <alignment horizontal="center" vertical="center"/>
    </xf>
    <xf numFmtId="38" fontId="17" fillId="0" borderId="66" xfId="1" applyFont="1" applyBorder="1" applyAlignment="1">
      <alignment horizontal="right" vertical="center"/>
    </xf>
    <xf numFmtId="38" fontId="17" fillId="0" borderId="68" xfId="1" applyFont="1" applyBorder="1" applyAlignment="1">
      <alignment horizontal="right" vertical="center"/>
    </xf>
    <xf numFmtId="38" fontId="17" fillId="0" borderId="66" xfId="1" applyFont="1" applyFill="1" applyBorder="1" applyAlignment="1">
      <alignment horizontal="right" vertical="center"/>
    </xf>
    <xf numFmtId="38" fontId="17" fillId="0" borderId="68" xfId="1" applyFont="1" applyFill="1" applyBorder="1" applyAlignment="1">
      <alignment horizontal="right" vertical="center"/>
    </xf>
    <xf numFmtId="38" fontId="17" fillId="0" borderId="20" xfId="1" applyFont="1" applyBorder="1" applyAlignment="1">
      <alignment horizontal="center" vertical="center"/>
    </xf>
    <xf numFmtId="38" fontId="17" fillId="0" borderId="21" xfId="1" applyFont="1" applyBorder="1" applyAlignment="1">
      <alignment horizontal="center" vertical="center"/>
    </xf>
    <xf numFmtId="178" fontId="17" fillId="0" borderId="84" xfId="1" applyNumberFormat="1" applyFont="1" applyBorder="1" applyAlignment="1">
      <alignment horizontal="center" vertical="center"/>
    </xf>
    <xf numFmtId="178" fontId="17" fillId="0" borderId="0" xfId="1" applyNumberFormat="1" applyFont="1" applyBorder="1" applyAlignment="1">
      <alignment horizontal="center" vertical="center"/>
    </xf>
    <xf numFmtId="38" fontId="17" fillId="0" borderId="14" xfId="1" applyFont="1" applyBorder="1" applyAlignment="1">
      <alignment horizontal="center" vertical="center"/>
    </xf>
    <xf numFmtId="38" fontId="17" fillId="0" borderId="85" xfId="1" applyFont="1" applyBorder="1" applyAlignment="1">
      <alignment horizontal="center" vertical="center"/>
    </xf>
    <xf numFmtId="38" fontId="17" fillId="0" borderId="18" xfId="1" applyFont="1" applyBorder="1" applyAlignment="1">
      <alignment horizontal="center" vertical="center"/>
    </xf>
    <xf numFmtId="38" fontId="17" fillId="0" borderId="22" xfId="1" applyFont="1" applyBorder="1" applyAlignment="1">
      <alignment horizontal="center" vertical="center"/>
    </xf>
    <xf numFmtId="38" fontId="13" fillId="0" borderId="20" xfId="1" applyFont="1" applyBorder="1" applyAlignment="1">
      <alignment horizontal="center" vertical="center"/>
    </xf>
    <xf numFmtId="38" fontId="25" fillId="0" borderId="21" xfId="1" applyFont="1" applyBorder="1" applyAlignment="1">
      <alignment horizontal="center" vertical="center"/>
    </xf>
    <xf numFmtId="38" fontId="25" fillId="0" borderId="14" xfId="1" applyFont="1" applyBorder="1" applyAlignment="1">
      <alignment horizontal="center" vertical="center"/>
    </xf>
    <xf numFmtId="38" fontId="25" fillId="0" borderId="22" xfId="1" applyFont="1" applyBorder="1" applyAlignment="1">
      <alignment horizontal="center" vertical="center"/>
    </xf>
    <xf numFmtId="38" fontId="17" fillId="0" borderId="12" xfId="1" applyFont="1" applyBorder="1" applyAlignment="1">
      <alignment horizontal="center" vertical="center"/>
    </xf>
    <xf numFmtId="40" fontId="17" fillId="0" borderId="0" xfId="1" applyNumberFormat="1" applyFont="1">
      <alignment vertical="center"/>
    </xf>
    <xf numFmtId="192" fontId="0" fillId="0" borderId="0" xfId="0" applyNumberFormat="1">
      <alignment vertical="center"/>
    </xf>
    <xf numFmtId="193" fontId="0" fillId="0" borderId="9" xfId="1" applyNumberFormat="1" applyFont="1" applyBorder="1">
      <alignment vertical="center"/>
    </xf>
    <xf numFmtId="0" fontId="0" fillId="0" borderId="46" xfId="0" applyFill="1" applyBorder="1">
      <alignment vertical="center"/>
    </xf>
    <xf numFmtId="38" fontId="0" fillId="0" borderId="0" xfId="1" applyFont="1">
      <alignment vertical="center"/>
    </xf>
    <xf numFmtId="10" fontId="0" fillId="0" borderId="0" xfId="3" applyNumberFormat="1" applyFont="1">
      <alignment vertical="center"/>
    </xf>
    <xf numFmtId="38" fontId="0" fillId="0" borderId="0" xfId="0" applyNumberFormat="1">
      <alignment vertical="center"/>
    </xf>
    <xf numFmtId="197" fontId="0" fillId="0" borderId="0" xfId="0" applyNumberFormat="1">
      <alignment vertical="center"/>
    </xf>
    <xf numFmtId="180" fontId="13" fillId="8" borderId="89" xfId="1" applyNumberFormat="1" applyFont="1" applyFill="1" applyBorder="1">
      <alignment vertical="center"/>
    </xf>
    <xf numFmtId="180" fontId="17" fillId="0" borderId="26" xfId="1" applyNumberFormat="1" applyFont="1" applyBorder="1">
      <alignment vertical="center"/>
    </xf>
    <xf numFmtId="198" fontId="13" fillId="10" borderId="89" xfId="1" applyNumberFormat="1" applyFont="1" applyFill="1" applyBorder="1">
      <alignment vertical="center"/>
    </xf>
    <xf numFmtId="180" fontId="13" fillId="10" borderId="89" xfId="1" applyNumberFormat="1" applyFont="1" applyFill="1" applyBorder="1">
      <alignment vertical="center"/>
    </xf>
    <xf numFmtId="183" fontId="17" fillId="0" borderId="0" xfId="1" applyNumberFormat="1" applyFont="1">
      <alignment vertical="center"/>
    </xf>
    <xf numFmtId="199" fontId="0" fillId="0" borderId="9" xfId="0" applyNumberFormat="1" applyBorder="1">
      <alignment vertical="center"/>
    </xf>
    <xf numFmtId="185" fontId="0" fillId="0" borderId="9" xfId="0" applyNumberFormat="1" applyBorder="1">
      <alignment vertical="center"/>
    </xf>
    <xf numFmtId="199" fontId="0" fillId="0" borderId="9" xfId="1" applyNumberFormat="1" applyFont="1" applyBorder="1">
      <alignment vertical="center"/>
    </xf>
    <xf numFmtId="9" fontId="0" fillId="0" borderId="9" xfId="3" applyFont="1" applyBorder="1">
      <alignment vertical="center"/>
    </xf>
    <xf numFmtId="0" fontId="0" fillId="5" borderId="9" xfId="0" applyFill="1" applyBorder="1">
      <alignment vertical="center"/>
    </xf>
    <xf numFmtId="0" fontId="0" fillId="5" borderId="9" xfId="0" applyFill="1" applyBorder="1" applyAlignment="1">
      <alignment horizontal="right" vertical="center"/>
    </xf>
    <xf numFmtId="199" fontId="0" fillId="5" borderId="9" xfId="0" applyNumberFormat="1" applyFill="1" applyBorder="1">
      <alignment vertical="center"/>
    </xf>
    <xf numFmtId="201" fontId="17" fillId="8" borderId="95" xfId="1" applyNumberFormat="1" applyFont="1" applyFill="1" applyBorder="1">
      <alignment vertical="center"/>
    </xf>
    <xf numFmtId="201" fontId="17" fillId="8" borderId="89" xfId="3" applyNumberFormat="1" applyFont="1" applyFill="1" applyBorder="1">
      <alignment vertical="center"/>
    </xf>
    <xf numFmtId="203" fontId="14" fillId="7" borderId="9" xfId="0" applyNumberFormat="1" applyFont="1" applyFill="1" applyBorder="1">
      <alignment vertical="center"/>
    </xf>
    <xf numFmtId="203" fontId="14" fillId="7" borderId="10" xfId="0" applyNumberFormat="1" applyFont="1" applyFill="1" applyBorder="1" applyAlignment="1">
      <alignment horizontal="right" vertical="center"/>
    </xf>
    <xf numFmtId="203" fontId="14" fillId="7" borderId="11" xfId="0" applyNumberFormat="1" applyFont="1" applyFill="1" applyBorder="1" applyAlignment="1">
      <alignment horizontal="right" vertical="center"/>
    </xf>
    <xf numFmtId="203" fontId="14" fillId="7" borderId="12" xfId="0" applyNumberFormat="1" applyFont="1" applyFill="1" applyBorder="1" applyAlignment="1">
      <alignment horizontal="right" vertical="center"/>
    </xf>
    <xf numFmtId="40" fontId="29" fillId="0" borderId="0" xfId="1" applyNumberFormat="1" applyFont="1">
      <alignment vertical="center"/>
    </xf>
    <xf numFmtId="38" fontId="13" fillId="11" borderId="0" xfId="1" applyFont="1" applyFill="1" applyAlignment="1">
      <alignment horizontal="center" vertical="center"/>
    </xf>
    <xf numFmtId="40" fontId="13" fillId="10" borderId="89" xfId="1" applyNumberFormat="1" applyFont="1" applyFill="1" applyBorder="1">
      <alignment vertical="center"/>
    </xf>
    <xf numFmtId="0" fontId="23" fillId="5" borderId="9" xfId="0" applyFont="1" applyFill="1" applyBorder="1">
      <alignment vertical="center"/>
    </xf>
  </cellXfs>
  <cellStyles count="4">
    <cellStyle name="パーセント" xfId="3" builtinId="5"/>
    <cellStyle name="桁区切り" xfId="1" builtinId="6"/>
    <cellStyle name="通貨" xfId="2" builtinId="7"/>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emf"/><Relationship Id="rId4"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13</xdr:row>
      <xdr:rowOff>0</xdr:rowOff>
    </xdr:from>
    <xdr:to>
      <xdr:col>8</xdr:col>
      <xdr:colOff>541020</xdr:colOff>
      <xdr:row>19</xdr:row>
      <xdr:rowOff>189686</xdr:rowOff>
    </xdr:to>
    <xdr:pic>
      <xdr:nvPicPr>
        <xdr:cNvPr id="2" name="図 1">
          <a:extLst>
            <a:ext uri="{FF2B5EF4-FFF2-40B4-BE49-F238E27FC236}">
              <a16:creationId xmlns:a16="http://schemas.microsoft.com/office/drawing/2014/main" id="{B319252F-CD06-4070-92FF-713EE7CBD7B8}"/>
            </a:ext>
          </a:extLst>
        </xdr:cNvPr>
        <xdr:cNvPicPr>
          <a:picLocks noChangeAspect="1"/>
        </xdr:cNvPicPr>
      </xdr:nvPicPr>
      <xdr:blipFill>
        <a:blip xmlns:r="http://schemas.openxmlformats.org/officeDocument/2006/relationships" r:embed="rId1"/>
        <a:stretch>
          <a:fillRect/>
        </a:stretch>
      </xdr:blipFill>
      <xdr:spPr>
        <a:xfrm>
          <a:off x="152400" y="2628900"/>
          <a:ext cx="6355080" cy="15612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152400</xdr:colOff>
      <xdr:row>12</xdr:row>
      <xdr:rowOff>0</xdr:rowOff>
    </xdr:from>
    <xdr:to>
      <xdr:col>8</xdr:col>
      <xdr:colOff>541020</xdr:colOff>
      <xdr:row>18</xdr:row>
      <xdr:rowOff>189686</xdr:rowOff>
    </xdr:to>
    <xdr:pic>
      <xdr:nvPicPr>
        <xdr:cNvPr id="2" name="図 1">
          <a:extLst>
            <a:ext uri="{FF2B5EF4-FFF2-40B4-BE49-F238E27FC236}">
              <a16:creationId xmlns:a16="http://schemas.microsoft.com/office/drawing/2014/main" id="{E48E00CE-B377-4C4A-8732-EA36AF2AB1B9}"/>
            </a:ext>
          </a:extLst>
        </xdr:cNvPr>
        <xdr:cNvPicPr>
          <a:picLocks noChangeAspect="1"/>
        </xdr:cNvPicPr>
      </xdr:nvPicPr>
      <xdr:blipFill>
        <a:blip xmlns:r="http://schemas.openxmlformats.org/officeDocument/2006/relationships" r:embed="rId1"/>
        <a:stretch>
          <a:fillRect/>
        </a:stretch>
      </xdr:blipFill>
      <xdr:spPr>
        <a:xfrm>
          <a:off x="152400" y="2209800"/>
          <a:ext cx="6355080" cy="15612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457200</xdr:colOff>
      <xdr:row>38</xdr:row>
      <xdr:rowOff>231582</xdr:rowOff>
    </xdr:from>
    <xdr:to>
      <xdr:col>7</xdr:col>
      <xdr:colOff>177722</xdr:colOff>
      <xdr:row>46</xdr:row>
      <xdr:rowOff>101617</xdr:rowOff>
    </xdr:to>
    <xdr:grpSp>
      <xdr:nvGrpSpPr>
        <xdr:cNvPr id="10" name="グループ化 9">
          <a:extLst>
            <a:ext uri="{FF2B5EF4-FFF2-40B4-BE49-F238E27FC236}">
              <a16:creationId xmlns:a16="http://schemas.microsoft.com/office/drawing/2014/main" id="{139A0762-78C8-50E8-6C01-86A454E4F58B}"/>
            </a:ext>
          </a:extLst>
        </xdr:cNvPr>
        <xdr:cNvGrpSpPr/>
      </xdr:nvGrpSpPr>
      <xdr:grpSpPr>
        <a:xfrm>
          <a:off x="457200" y="8957229"/>
          <a:ext cx="5659640" cy="1461270"/>
          <a:chOff x="457200" y="8628277"/>
          <a:chExt cx="5656534" cy="1441421"/>
        </a:xfrm>
      </xdr:grpSpPr>
      <xdr:pic>
        <xdr:nvPicPr>
          <xdr:cNvPr id="2" name="図 1">
            <a:extLst>
              <a:ext uri="{FF2B5EF4-FFF2-40B4-BE49-F238E27FC236}">
                <a16:creationId xmlns:a16="http://schemas.microsoft.com/office/drawing/2014/main" id="{7EAC31E9-8166-5040-404D-138CED6407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 y="8628277"/>
            <a:ext cx="5638842" cy="1363727"/>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 name="テキスト ボックス 2">
            <a:extLst>
              <a:ext uri="{FF2B5EF4-FFF2-40B4-BE49-F238E27FC236}">
                <a16:creationId xmlns:a16="http://schemas.microsoft.com/office/drawing/2014/main" id="{A35D32BF-4028-BDA5-43A3-AF252217E42B}"/>
              </a:ext>
            </a:extLst>
          </xdr:cNvPr>
          <xdr:cNvSpPr txBox="1"/>
        </xdr:nvSpPr>
        <xdr:spPr>
          <a:xfrm>
            <a:off x="3594788" y="8979349"/>
            <a:ext cx="32573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①</a:t>
            </a:r>
            <a:endParaRPr kumimoji="1" lang="en-US" altLang="ja-JP" sz="1100">
              <a:solidFill>
                <a:srgbClr val="FF0000"/>
              </a:solidFill>
            </a:endParaRPr>
          </a:p>
        </xdr:txBody>
      </xdr:sp>
      <xdr:sp macro="" textlink="">
        <xdr:nvSpPr>
          <xdr:cNvPr id="4" name="テキスト ボックス 3">
            <a:extLst>
              <a:ext uri="{FF2B5EF4-FFF2-40B4-BE49-F238E27FC236}">
                <a16:creationId xmlns:a16="http://schemas.microsoft.com/office/drawing/2014/main" id="{B7E036A2-AF23-A841-2701-3FD9A2E03140}"/>
              </a:ext>
            </a:extLst>
          </xdr:cNvPr>
          <xdr:cNvSpPr txBox="1"/>
        </xdr:nvSpPr>
        <xdr:spPr>
          <a:xfrm>
            <a:off x="3355862" y="9243841"/>
            <a:ext cx="748512" cy="3239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②</a:t>
            </a:r>
            <a:r>
              <a:rPr kumimoji="1" lang="en-US" altLang="ja-JP" sz="1100">
                <a:solidFill>
                  <a:srgbClr val="FF0000"/>
                </a:solidFill>
              </a:rPr>
              <a:t>÷</a:t>
            </a:r>
            <a:r>
              <a:rPr kumimoji="1" lang="ja-JP" altLang="en-US" sz="1100">
                <a:solidFill>
                  <a:srgbClr val="FF0000"/>
                </a:solidFill>
              </a:rPr>
              <a:t>工数</a:t>
            </a:r>
            <a:endParaRPr kumimoji="1" lang="en-US" altLang="ja-JP" sz="1100">
              <a:solidFill>
                <a:srgbClr val="FF0000"/>
              </a:solidFill>
            </a:endParaRPr>
          </a:p>
        </xdr:txBody>
      </xdr:sp>
      <xdr:sp macro="" textlink="">
        <xdr:nvSpPr>
          <xdr:cNvPr id="8" name="テキスト ボックス 7">
            <a:extLst>
              <a:ext uri="{FF2B5EF4-FFF2-40B4-BE49-F238E27FC236}">
                <a16:creationId xmlns:a16="http://schemas.microsoft.com/office/drawing/2014/main" id="{9F5F714C-01DA-B3EB-EE66-88293FC550D4}"/>
              </a:ext>
            </a:extLst>
          </xdr:cNvPr>
          <xdr:cNvSpPr txBox="1"/>
        </xdr:nvSpPr>
        <xdr:spPr>
          <a:xfrm>
            <a:off x="3594788" y="9569247"/>
            <a:ext cx="325551" cy="3239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③</a:t>
            </a:r>
            <a:endParaRPr kumimoji="1" lang="en-US" altLang="ja-JP" sz="1100">
              <a:solidFill>
                <a:srgbClr val="FF0000"/>
              </a:solidFill>
            </a:endParaRPr>
          </a:p>
        </xdr:txBody>
      </xdr:sp>
      <xdr:sp macro="" textlink="">
        <xdr:nvSpPr>
          <xdr:cNvPr id="14" name="テキスト ボックス 13">
            <a:extLst>
              <a:ext uri="{FF2B5EF4-FFF2-40B4-BE49-F238E27FC236}">
                <a16:creationId xmlns:a16="http://schemas.microsoft.com/office/drawing/2014/main" id="{37C52655-6041-E6F5-7115-CE77F2285909}"/>
              </a:ext>
            </a:extLst>
          </xdr:cNvPr>
          <xdr:cNvSpPr txBox="1"/>
        </xdr:nvSpPr>
        <xdr:spPr>
          <a:xfrm>
            <a:off x="5506209" y="8802491"/>
            <a:ext cx="607525" cy="3239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工程３</a:t>
            </a:r>
            <a:endParaRPr kumimoji="1" lang="en-US" altLang="ja-JP" sz="1100">
              <a:solidFill>
                <a:srgbClr val="FF0000"/>
              </a:solidFill>
            </a:endParaRPr>
          </a:p>
        </xdr:txBody>
      </xdr:sp>
      <xdr:sp macro="" textlink="">
        <xdr:nvSpPr>
          <xdr:cNvPr id="15" name="テキスト ボックス 14">
            <a:extLst>
              <a:ext uri="{FF2B5EF4-FFF2-40B4-BE49-F238E27FC236}">
                <a16:creationId xmlns:a16="http://schemas.microsoft.com/office/drawing/2014/main" id="{A39C8871-F0AB-406E-1C6E-0610F1F94378}"/>
              </a:ext>
            </a:extLst>
          </xdr:cNvPr>
          <xdr:cNvSpPr txBox="1"/>
        </xdr:nvSpPr>
        <xdr:spPr>
          <a:xfrm>
            <a:off x="2362818" y="8861444"/>
            <a:ext cx="607525" cy="3239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工程２</a:t>
            </a:r>
            <a:endParaRPr kumimoji="1" lang="en-US" altLang="ja-JP" sz="1100">
              <a:solidFill>
                <a:srgbClr val="FF0000"/>
              </a:solidFill>
            </a:endParaRPr>
          </a:p>
        </xdr:txBody>
      </xdr:sp>
      <xdr:sp macro="" textlink="">
        <xdr:nvSpPr>
          <xdr:cNvPr id="22" name="テキスト ボックス 21">
            <a:extLst>
              <a:ext uri="{FF2B5EF4-FFF2-40B4-BE49-F238E27FC236}">
                <a16:creationId xmlns:a16="http://schemas.microsoft.com/office/drawing/2014/main" id="{D348323C-789E-2CDD-B6EA-0FCE066FB104}"/>
              </a:ext>
            </a:extLst>
          </xdr:cNvPr>
          <xdr:cNvSpPr txBox="1"/>
        </xdr:nvSpPr>
        <xdr:spPr>
          <a:xfrm>
            <a:off x="5049260" y="9745736"/>
            <a:ext cx="607525" cy="3239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工程４</a:t>
            </a:r>
            <a:endParaRPr kumimoji="1" lang="en-US" altLang="ja-JP" sz="1100">
              <a:solidFill>
                <a:srgbClr val="FF0000"/>
              </a:solidFill>
            </a:endParaRPr>
          </a:p>
        </xdr:txBody>
      </xdr:sp>
    </xdr:grpSp>
    <xdr:clientData/>
  </xdr:twoCellAnchor>
  <xdr:twoCellAnchor editAs="oneCell">
    <xdr:from>
      <xdr:col>14</xdr:col>
      <xdr:colOff>104587</xdr:colOff>
      <xdr:row>35</xdr:row>
      <xdr:rowOff>98863</xdr:rowOff>
    </xdr:from>
    <xdr:to>
      <xdr:col>32</xdr:col>
      <xdr:colOff>261425</xdr:colOff>
      <xdr:row>48</xdr:row>
      <xdr:rowOff>71630</xdr:rowOff>
    </xdr:to>
    <xdr:pic>
      <xdr:nvPicPr>
        <xdr:cNvPr id="12" name="図 11">
          <a:extLst>
            <a:ext uri="{FF2B5EF4-FFF2-40B4-BE49-F238E27FC236}">
              <a16:creationId xmlns:a16="http://schemas.microsoft.com/office/drawing/2014/main" id="{B3310ACD-4200-9943-11F9-2281666DAB1F}"/>
            </a:ext>
          </a:extLst>
        </xdr:cNvPr>
        <xdr:cNvPicPr>
          <a:picLocks noChangeAspect="1"/>
        </xdr:cNvPicPr>
      </xdr:nvPicPr>
      <xdr:blipFill>
        <a:blip xmlns:r="http://schemas.openxmlformats.org/officeDocument/2006/relationships" r:embed="rId2"/>
        <a:stretch>
          <a:fillRect/>
        </a:stretch>
      </xdr:blipFill>
      <xdr:spPr>
        <a:xfrm>
          <a:off x="11004175" y="7898157"/>
          <a:ext cx="12259191" cy="2721944"/>
        </a:xfrm>
        <a:prstGeom prst="rect">
          <a:avLst/>
        </a:prstGeom>
      </xdr:spPr>
    </xdr:pic>
    <xdr:clientData/>
  </xdr:twoCellAnchor>
  <xdr:twoCellAnchor editAs="oneCell">
    <xdr:from>
      <xdr:col>8</xdr:col>
      <xdr:colOff>612588</xdr:colOff>
      <xdr:row>29</xdr:row>
      <xdr:rowOff>25594</xdr:rowOff>
    </xdr:from>
    <xdr:to>
      <xdr:col>14</xdr:col>
      <xdr:colOff>11801</xdr:colOff>
      <xdr:row>47</xdr:row>
      <xdr:rowOff>89645</xdr:rowOff>
    </xdr:to>
    <xdr:pic>
      <xdr:nvPicPr>
        <xdr:cNvPr id="13" name="図 12">
          <a:extLst>
            <a:ext uri="{FF2B5EF4-FFF2-40B4-BE49-F238E27FC236}">
              <a16:creationId xmlns:a16="http://schemas.microsoft.com/office/drawing/2014/main" id="{CE9863F3-A65C-74E9-B08C-75B4EC611789}"/>
            </a:ext>
          </a:extLst>
        </xdr:cNvPr>
        <xdr:cNvPicPr>
          <a:picLocks noChangeAspect="1"/>
        </xdr:cNvPicPr>
      </xdr:nvPicPr>
      <xdr:blipFill>
        <a:blip xmlns:r="http://schemas.openxmlformats.org/officeDocument/2006/relationships" r:embed="rId3"/>
        <a:stretch>
          <a:fillRect/>
        </a:stretch>
      </xdr:blipFill>
      <xdr:spPr>
        <a:xfrm>
          <a:off x="7291294" y="6666947"/>
          <a:ext cx="3620095" cy="3971169"/>
        </a:xfrm>
        <a:prstGeom prst="rect">
          <a:avLst/>
        </a:prstGeom>
      </xdr:spPr>
    </xdr:pic>
    <xdr:clientData/>
  </xdr:twoCellAnchor>
  <xdr:twoCellAnchor>
    <xdr:from>
      <xdr:col>10</xdr:col>
      <xdr:colOff>291354</xdr:colOff>
      <xdr:row>49</xdr:row>
      <xdr:rowOff>209176</xdr:rowOff>
    </xdr:from>
    <xdr:to>
      <xdr:col>16</xdr:col>
      <xdr:colOff>344777</xdr:colOff>
      <xdr:row>66</xdr:row>
      <xdr:rowOff>193953</xdr:rowOff>
    </xdr:to>
    <xdr:grpSp>
      <xdr:nvGrpSpPr>
        <xdr:cNvPr id="20" name="グループ化 19">
          <a:extLst>
            <a:ext uri="{FF2B5EF4-FFF2-40B4-BE49-F238E27FC236}">
              <a16:creationId xmlns:a16="http://schemas.microsoft.com/office/drawing/2014/main" id="{0DCF3640-BF52-9DFE-AC64-085BD9FF5A65}"/>
            </a:ext>
          </a:extLst>
        </xdr:cNvPr>
        <xdr:cNvGrpSpPr/>
      </xdr:nvGrpSpPr>
      <xdr:grpSpPr>
        <a:xfrm>
          <a:off x="8434295" y="11220823"/>
          <a:ext cx="4154776" cy="3921777"/>
          <a:chOff x="5685118" y="11086354"/>
          <a:chExt cx="4154776" cy="3921777"/>
        </a:xfrm>
      </xdr:grpSpPr>
      <xdr:pic>
        <xdr:nvPicPr>
          <xdr:cNvPr id="16" name="図 15">
            <a:extLst>
              <a:ext uri="{FF2B5EF4-FFF2-40B4-BE49-F238E27FC236}">
                <a16:creationId xmlns:a16="http://schemas.microsoft.com/office/drawing/2014/main" id="{62802162-8137-0CF3-4997-E2ED8E8F6802}"/>
              </a:ext>
            </a:extLst>
          </xdr:cNvPr>
          <xdr:cNvPicPr>
            <a:picLocks noChangeAspect="1"/>
          </xdr:cNvPicPr>
        </xdr:nvPicPr>
        <xdr:blipFill>
          <a:blip xmlns:r="http://schemas.openxmlformats.org/officeDocument/2006/relationships" r:embed="rId4"/>
          <a:stretch>
            <a:fillRect/>
          </a:stretch>
        </xdr:blipFill>
        <xdr:spPr>
          <a:xfrm>
            <a:off x="5685118" y="11086354"/>
            <a:ext cx="3685714" cy="3914286"/>
          </a:xfrm>
          <a:prstGeom prst="rect">
            <a:avLst/>
          </a:prstGeom>
        </xdr:spPr>
      </xdr:pic>
      <xdr:sp macro="" textlink="">
        <xdr:nvSpPr>
          <xdr:cNvPr id="17" name="テキスト ボックス 16">
            <a:extLst>
              <a:ext uri="{FF2B5EF4-FFF2-40B4-BE49-F238E27FC236}">
                <a16:creationId xmlns:a16="http://schemas.microsoft.com/office/drawing/2014/main" id="{34E6265F-395C-AC80-70DB-90858AA7F461}"/>
              </a:ext>
            </a:extLst>
          </xdr:cNvPr>
          <xdr:cNvSpPr txBox="1"/>
        </xdr:nvSpPr>
        <xdr:spPr>
          <a:xfrm>
            <a:off x="6641349" y="14642353"/>
            <a:ext cx="748923"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↑工程４</a:t>
            </a:r>
          </a:p>
        </xdr:txBody>
      </xdr:sp>
      <xdr:sp macro="" textlink="">
        <xdr:nvSpPr>
          <xdr:cNvPr id="18" name="テキスト ボックス 17">
            <a:extLst>
              <a:ext uri="{FF2B5EF4-FFF2-40B4-BE49-F238E27FC236}">
                <a16:creationId xmlns:a16="http://schemas.microsoft.com/office/drawing/2014/main" id="{004BCE27-55F7-9405-14EA-A137ECAD5BA6}"/>
              </a:ext>
            </a:extLst>
          </xdr:cNvPr>
          <xdr:cNvSpPr txBox="1"/>
        </xdr:nvSpPr>
        <xdr:spPr>
          <a:xfrm>
            <a:off x="9173878" y="14418235"/>
            <a:ext cx="6660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←工程</a:t>
            </a:r>
            <a:r>
              <a:rPr kumimoji="1" lang="en-US" altLang="ja-JP" sz="1100">
                <a:solidFill>
                  <a:srgbClr val="FF0000"/>
                </a:solidFill>
              </a:rPr>
              <a:t>5</a:t>
            </a:r>
            <a:endParaRPr kumimoji="1" lang="ja-JP" altLang="en-US" sz="1100">
              <a:solidFill>
                <a:srgbClr val="FF0000"/>
              </a:solidFill>
            </a:endParaRPr>
          </a:p>
        </xdr:txBody>
      </xdr:sp>
      <xdr:sp macro="" textlink="">
        <xdr:nvSpPr>
          <xdr:cNvPr id="19" name="テキスト ボックス 18">
            <a:extLst>
              <a:ext uri="{FF2B5EF4-FFF2-40B4-BE49-F238E27FC236}">
                <a16:creationId xmlns:a16="http://schemas.microsoft.com/office/drawing/2014/main" id="{71E0DAA7-DBF3-1371-637A-4B1C90C322D6}"/>
              </a:ext>
            </a:extLst>
          </xdr:cNvPr>
          <xdr:cNvSpPr txBox="1"/>
        </xdr:nvSpPr>
        <xdr:spPr>
          <a:xfrm>
            <a:off x="9173878" y="14679708"/>
            <a:ext cx="6660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←工程</a:t>
            </a:r>
            <a:r>
              <a:rPr kumimoji="1" lang="en-US" altLang="ja-JP" sz="1100">
                <a:solidFill>
                  <a:srgbClr val="FF0000"/>
                </a:solidFill>
              </a:rPr>
              <a:t>6</a:t>
            </a:r>
            <a:endParaRPr kumimoji="1" lang="ja-JP" altLang="en-US" sz="1100">
              <a:solidFill>
                <a:srgbClr val="FF0000"/>
              </a:solidFill>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364064</xdr:colOff>
      <xdr:row>23</xdr:row>
      <xdr:rowOff>203195</xdr:rowOff>
    </xdr:from>
    <xdr:to>
      <xdr:col>5</xdr:col>
      <xdr:colOff>249706</xdr:colOff>
      <xdr:row>25</xdr:row>
      <xdr:rowOff>11206</xdr:rowOff>
    </xdr:to>
    <xdr:sp macro="" textlink="">
      <xdr:nvSpPr>
        <xdr:cNvPr id="2" name="テキスト ボックス 1">
          <a:extLst>
            <a:ext uri="{FF2B5EF4-FFF2-40B4-BE49-F238E27FC236}">
              <a16:creationId xmlns:a16="http://schemas.microsoft.com/office/drawing/2014/main" id="{9F5493C5-0BD2-4DFB-8D0D-A139D460F151}"/>
            </a:ext>
          </a:extLst>
        </xdr:cNvPr>
        <xdr:cNvSpPr txBox="1"/>
      </xdr:nvSpPr>
      <xdr:spPr>
        <a:xfrm>
          <a:off x="2040464" y="5554128"/>
          <a:ext cx="249709" cy="282145"/>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solidFill>
                <a:srgbClr val="FF0000"/>
              </a:solidFill>
            </a:rPr>
            <a:t>②</a:t>
          </a:r>
          <a:endParaRPr kumimoji="1" lang="en-US" altLang="ja-JP" sz="1100">
            <a:solidFill>
              <a:srgbClr val="FF0000"/>
            </a:solidFill>
          </a:endParaRPr>
        </a:p>
      </xdr:txBody>
    </xdr:sp>
    <xdr:clientData/>
  </xdr:twoCellAnchor>
  <xdr:twoCellAnchor>
    <xdr:from>
      <xdr:col>10</xdr:col>
      <xdr:colOff>0</xdr:colOff>
      <xdr:row>23</xdr:row>
      <xdr:rowOff>203202</xdr:rowOff>
    </xdr:from>
    <xdr:to>
      <xdr:col>10</xdr:col>
      <xdr:colOff>220132</xdr:colOff>
      <xdr:row>25</xdr:row>
      <xdr:rowOff>2744</xdr:rowOff>
    </xdr:to>
    <xdr:sp macro="" textlink="">
      <xdr:nvSpPr>
        <xdr:cNvPr id="3" name="テキスト ボックス 2">
          <a:extLst>
            <a:ext uri="{FF2B5EF4-FFF2-40B4-BE49-F238E27FC236}">
              <a16:creationId xmlns:a16="http://schemas.microsoft.com/office/drawing/2014/main" id="{532CD951-CF64-BA0B-5708-7706D67990DD}"/>
            </a:ext>
          </a:extLst>
        </xdr:cNvPr>
        <xdr:cNvSpPr txBox="1"/>
      </xdr:nvSpPr>
      <xdr:spPr>
        <a:xfrm>
          <a:off x="4224867" y="5554135"/>
          <a:ext cx="220132" cy="273676"/>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solidFill>
                <a:srgbClr val="FF0000"/>
              </a:solidFill>
            </a:rPr>
            <a:t>②</a:t>
          </a:r>
          <a:endParaRPr kumimoji="1" lang="en-US" altLang="ja-JP" sz="1100">
            <a:solidFill>
              <a:srgbClr val="FF0000"/>
            </a:solidFill>
          </a:endParaRPr>
        </a:p>
      </xdr:txBody>
    </xdr:sp>
    <xdr:clientData/>
  </xdr:twoCellAnchor>
  <xdr:twoCellAnchor>
    <xdr:from>
      <xdr:col>5</xdr:col>
      <xdr:colOff>601133</xdr:colOff>
      <xdr:row>63</xdr:row>
      <xdr:rowOff>228600</xdr:rowOff>
    </xdr:from>
    <xdr:to>
      <xdr:col>6</xdr:col>
      <xdr:colOff>308976</xdr:colOff>
      <xdr:row>66</xdr:row>
      <xdr:rowOff>19680</xdr:rowOff>
    </xdr:to>
    <xdr:sp macro="" textlink="">
      <xdr:nvSpPr>
        <xdr:cNvPr id="4" name="テキスト ボックス 3">
          <a:extLst>
            <a:ext uri="{FF2B5EF4-FFF2-40B4-BE49-F238E27FC236}">
              <a16:creationId xmlns:a16="http://schemas.microsoft.com/office/drawing/2014/main" id="{8BA6A445-3A60-56C6-F1A2-53D83B13438B}"/>
            </a:ext>
          </a:extLst>
        </xdr:cNvPr>
        <xdr:cNvSpPr txBox="1"/>
      </xdr:nvSpPr>
      <xdr:spPr>
        <a:xfrm>
          <a:off x="2641600" y="14384867"/>
          <a:ext cx="325909" cy="332946"/>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solidFill>
                <a:srgbClr val="FF0000"/>
              </a:solidFill>
            </a:rPr>
            <a:t>③</a:t>
          </a:r>
          <a:endParaRPr kumimoji="1" lang="en-US" altLang="ja-JP" sz="1100">
            <a:solidFill>
              <a:srgbClr val="FF0000"/>
            </a:solidFill>
          </a:endParaRPr>
        </a:p>
      </xdr:txBody>
    </xdr:sp>
    <xdr:clientData/>
  </xdr:twoCellAnchor>
  <xdr:twoCellAnchor>
    <xdr:from>
      <xdr:col>10</xdr:col>
      <xdr:colOff>584200</xdr:colOff>
      <xdr:row>63</xdr:row>
      <xdr:rowOff>228600</xdr:rowOff>
    </xdr:from>
    <xdr:to>
      <xdr:col>11</xdr:col>
      <xdr:colOff>317443</xdr:colOff>
      <xdr:row>66</xdr:row>
      <xdr:rowOff>19680</xdr:rowOff>
    </xdr:to>
    <xdr:sp macro="" textlink="">
      <xdr:nvSpPr>
        <xdr:cNvPr id="5" name="テキスト ボックス 4">
          <a:extLst>
            <a:ext uri="{FF2B5EF4-FFF2-40B4-BE49-F238E27FC236}">
              <a16:creationId xmlns:a16="http://schemas.microsoft.com/office/drawing/2014/main" id="{4C6451A2-AB37-8D13-EE89-B02AD59C0CC5}"/>
            </a:ext>
          </a:extLst>
        </xdr:cNvPr>
        <xdr:cNvSpPr txBox="1"/>
      </xdr:nvSpPr>
      <xdr:spPr>
        <a:xfrm>
          <a:off x="4809067" y="14384867"/>
          <a:ext cx="325909" cy="332946"/>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solidFill>
                <a:srgbClr val="FF0000"/>
              </a:solidFill>
            </a:rPr>
            <a:t>③</a:t>
          </a:r>
          <a:endParaRPr kumimoji="1" lang="en-US" altLang="ja-JP" sz="1100">
            <a:solidFill>
              <a:srgbClr val="FF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152400</xdr:colOff>
      <xdr:row>10</xdr:row>
      <xdr:rowOff>0</xdr:rowOff>
    </xdr:from>
    <xdr:to>
      <xdr:col>8</xdr:col>
      <xdr:colOff>541020</xdr:colOff>
      <xdr:row>16</xdr:row>
      <xdr:rowOff>189686</xdr:rowOff>
    </xdr:to>
    <xdr:pic>
      <xdr:nvPicPr>
        <xdr:cNvPr id="2" name="図 1">
          <a:extLst>
            <a:ext uri="{FF2B5EF4-FFF2-40B4-BE49-F238E27FC236}">
              <a16:creationId xmlns:a16="http://schemas.microsoft.com/office/drawing/2014/main" id="{09576204-AD74-4CC1-9592-EFE8D43FF365}"/>
            </a:ext>
          </a:extLst>
        </xdr:cNvPr>
        <xdr:cNvPicPr>
          <a:picLocks noChangeAspect="1"/>
        </xdr:cNvPicPr>
      </xdr:nvPicPr>
      <xdr:blipFill>
        <a:blip xmlns:r="http://schemas.openxmlformats.org/officeDocument/2006/relationships" r:embed="rId1"/>
        <a:stretch>
          <a:fillRect/>
        </a:stretch>
      </xdr:blipFill>
      <xdr:spPr>
        <a:xfrm>
          <a:off x="152400" y="3901440"/>
          <a:ext cx="6355080" cy="156128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9</xdr:col>
      <xdr:colOff>241904</xdr:colOff>
      <xdr:row>66</xdr:row>
      <xdr:rowOff>22981</xdr:rowOff>
    </xdr:from>
    <xdr:to>
      <xdr:col>11</xdr:col>
      <xdr:colOff>116115</xdr:colOff>
      <xdr:row>67</xdr:row>
      <xdr:rowOff>16934</xdr:rowOff>
    </xdr:to>
    <xdr:sp macro="" textlink="">
      <xdr:nvSpPr>
        <xdr:cNvPr id="2" name="楕円 1">
          <a:extLst>
            <a:ext uri="{FF2B5EF4-FFF2-40B4-BE49-F238E27FC236}">
              <a16:creationId xmlns:a16="http://schemas.microsoft.com/office/drawing/2014/main" id="{5BB477D1-7526-40F8-947A-F6A40D68BB6B}"/>
            </a:ext>
          </a:extLst>
        </xdr:cNvPr>
        <xdr:cNvSpPr/>
      </xdr:nvSpPr>
      <xdr:spPr>
        <a:xfrm>
          <a:off x="3853784" y="14706721"/>
          <a:ext cx="605731" cy="260653"/>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108857</xdr:colOff>
      <xdr:row>65</xdr:row>
      <xdr:rowOff>43542</xdr:rowOff>
    </xdr:from>
    <xdr:to>
      <xdr:col>6</xdr:col>
      <xdr:colOff>148769</xdr:colOff>
      <xdr:row>67</xdr:row>
      <xdr:rowOff>32657</xdr:rowOff>
    </xdr:to>
    <xdr:sp macro="" textlink="">
      <xdr:nvSpPr>
        <xdr:cNvPr id="3" name="楕円 2">
          <a:extLst>
            <a:ext uri="{FF2B5EF4-FFF2-40B4-BE49-F238E27FC236}">
              <a16:creationId xmlns:a16="http://schemas.microsoft.com/office/drawing/2014/main" id="{88228177-CB3E-406D-958E-308DFB4FC781}"/>
            </a:ext>
          </a:extLst>
        </xdr:cNvPr>
        <xdr:cNvSpPr/>
      </xdr:nvSpPr>
      <xdr:spPr>
        <a:xfrm>
          <a:off x="2155371" y="14728371"/>
          <a:ext cx="638627" cy="326572"/>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18</xdr:row>
      <xdr:rowOff>0</xdr:rowOff>
    </xdr:from>
    <xdr:to>
      <xdr:col>8</xdr:col>
      <xdr:colOff>541020</xdr:colOff>
      <xdr:row>24</xdr:row>
      <xdr:rowOff>189686</xdr:rowOff>
    </xdr:to>
    <xdr:pic>
      <xdr:nvPicPr>
        <xdr:cNvPr id="2" name="図 1">
          <a:extLst>
            <a:ext uri="{FF2B5EF4-FFF2-40B4-BE49-F238E27FC236}">
              <a16:creationId xmlns:a16="http://schemas.microsoft.com/office/drawing/2014/main" id="{35EBE45A-958B-3B15-5FF4-0140C63A5435}"/>
            </a:ext>
          </a:extLst>
        </xdr:cNvPr>
        <xdr:cNvPicPr>
          <a:picLocks noChangeAspect="1"/>
        </xdr:cNvPicPr>
      </xdr:nvPicPr>
      <xdr:blipFill>
        <a:blip xmlns:r="http://schemas.openxmlformats.org/officeDocument/2006/relationships" r:embed="rId1"/>
        <a:stretch>
          <a:fillRect/>
        </a:stretch>
      </xdr:blipFill>
      <xdr:spPr>
        <a:xfrm>
          <a:off x="152400" y="4114800"/>
          <a:ext cx="6355080" cy="156128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127D4-F01F-4F04-B0D5-EF483245E315}">
  <dimension ref="A1:L38"/>
  <sheetViews>
    <sheetView topLeftCell="A25" zoomScale="130" zoomScaleNormal="130" workbookViewId="0">
      <selection activeCell="A36" sqref="A36"/>
    </sheetView>
  </sheetViews>
  <sheetFormatPr defaultRowHeight="18" x14ac:dyDescent="0.45"/>
  <cols>
    <col min="2" max="2" width="10.296875" bestFit="1" customWidth="1"/>
    <col min="3" max="3" width="11.69921875" bestFit="1" customWidth="1"/>
    <col min="4" max="4" width="9.3984375" bestFit="1" customWidth="1"/>
    <col min="5" max="5" width="11.69921875" bestFit="1" customWidth="1"/>
    <col min="9" max="9" width="9" bestFit="1" customWidth="1"/>
    <col min="13" max="13" width="11.69921875" bestFit="1" customWidth="1"/>
    <col min="14" max="14" width="9.3984375" bestFit="1" customWidth="1"/>
    <col min="15" max="15" width="11.69921875" bestFit="1" customWidth="1"/>
  </cols>
  <sheetData>
    <row r="1" spans="1:9" x14ac:dyDescent="0.45">
      <c r="I1" s="490">
        <v>45257</v>
      </c>
    </row>
    <row r="2" spans="1:9" x14ac:dyDescent="0.45">
      <c r="A2" t="s">
        <v>0</v>
      </c>
      <c r="I2" s="490"/>
    </row>
    <row r="3" spans="1:9" ht="15" customHeight="1" x14ac:dyDescent="0.45">
      <c r="I3" s="485" t="s">
        <v>1</v>
      </c>
    </row>
    <row r="4" spans="1:9" ht="15" customHeight="1" x14ac:dyDescent="0.45">
      <c r="I4" s="485"/>
    </row>
    <row r="5" spans="1:9" x14ac:dyDescent="0.45">
      <c r="A5" s="525" t="s">
        <v>2</v>
      </c>
      <c r="B5" s="526"/>
      <c r="C5" s="526"/>
      <c r="D5" s="526"/>
      <c r="E5" s="526"/>
      <c r="F5" s="526"/>
      <c r="G5" s="526"/>
      <c r="H5" s="526"/>
      <c r="I5" s="526"/>
    </row>
    <row r="6" spans="1:9" x14ac:dyDescent="0.45">
      <c r="A6" s="17"/>
      <c r="B6" s="18"/>
      <c r="C6" s="18"/>
      <c r="D6" s="18"/>
      <c r="E6" s="18"/>
      <c r="F6" s="18"/>
      <c r="G6" s="18"/>
      <c r="H6" s="18"/>
      <c r="I6" s="18"/>
    </row>
    <row r="7" spans="1:9" ht="15" customHeight="1" x14ac:dyDescent="0.45">
      <c r="A7" t="s">
        <v>3</v>
      </c>
    </row>
    <row r="8" spans="1:9" x14ac:dyDescent="0.45">
      <c r="A8" t="s">
        <v>4</v>
      </c>
    </row>
    <row r="9" spans="1:9" x14ac:dyDescent="0.45">
      <c r="A9" t="s">
        <v>5</v>
      </c>
    </row>
    <row r="10" spans="1:9" x14ac:dyDescent="0.45">
      <c r="A10" t="s">
        <v>6</v>
      </c>
    </row>
    <row r="12" spans="1:9" x14ac:dyDescent="0.45">
      <c r="A12" s="2"/>
    </row>
    <row r="13" spans="1:9" x14ac:dyDescent="0.45">
      <c r="A13" t="s">
        <v>7</v>
      </c>
    </row>
    <row r="21" spans="1:12" ht="12.6" customHeight="1" x14ac:dyDescent="0.45"/>
    <row r="22" spans="1:12" x14ac:dyDescent="0.45">
      <c r="A22" t="s">
        <v>8</v>
      </c>
    </row>
    <row r="23" spans="1:12" x14ac:dyDescent="0.45">
      <c r="A23" t="s">
        <v>9</v>
      </c>
      <c r="B23" s="465">
        <f>'参考_APIC(2023年度) '!AV113*1000</f>
        <v>22915.058988762685</v>
      </c>
      <c r="C23" t="s">
        <v>10</v>
      </c>
      <c r="D23" s="476">
        <f>B23/500000</f>
        <v>4.583011797752537E-2</v>
      </c>
      <c r="E23" s="477" t="s">
        <v>11</v>
      </c>
      <c r="F23" s="478"/>
      <c r="L23" s="479"/>
    </row>
    <row r="24" spans="1:12" x14ac:dyDescent="0.45">
      <c r="A24" t="s">
        <v>12</v>
      </c>
      <c r="B24" s="464">
        <f>'参考_BTNB(2023年度) '!AT114*1000</f>
        <v>6243.823184163638</v>
      </c>
      <c r="C24" t="s">
        <v>10</v>
      </c>
      <c r="D24" s="476">
        <f>B24/450000</f>
        <v>1.3875162631474751E-2</v>
      </c>
      <c r="E24" s="477" t="s">
        <v>13</v>
      </c>
      <c r="F24" s="478"/>
      <c r="L24" s="479"/>
    </row>
    <row r="26" spans="1:12" x14ac:dyDescent="0.45">
      <c r="A26" s="16" t="s">
        <v>14</v>
      </c>
      <c r="B26" s="16"/>
      <c r="C26" s="16"/>
      <c r="D26" s="16"/>
      <c r="E26" s="16"/>
      <c r="F26" s="16"/>
      <c r="G26" s="16"/>
      <c r="H26" s="16"/>
      <c r="I26" s="16"/>
    </row>
    <row r="27" spans="1:12" x14ac:dyDescent="0.45">
      <c r="A27" s="488" t="s">
        <v>15</v>
      </c>
      <c r="B27" s="16"/>
      <c r="C27" s="16"/>
      <c r="D27" s="16"/>
      <c r="E27" s="16"/>
      <c r="F27" s="16"/>
      <c r="G27" s="16"/>
      <c r="H27" s="16"/>
      <c r="I27" s="16"/>
    </row>
    <row r="28" spans="1:12" x14ac:dyDescent="0.45">
      <c r="A28" s="489" t="s">
        <v>16</v>
      </c>
      <c r="B28" s="16"/>
      <c r="C28" s="16"/>
      <c r="D28" s="16"/>
      <c r="E28" s="16"/>
      <c r="F28" s="16"/>
      <c r="G28" s="16"/>
      <c r="H28" s="16"/>
      <c r="I28" s="16"/>
    </row>
    <row r="29" spans="1:12" x14ac:dyDescent="0.45">
      <c r="A29" s="489" t="s">
        <v>17</v>
      </c>
      <c r="B29" s="16"/>
      <c r="C29" s="16"/>
      <c r="D29" s="16"/>
      <c r="E29" s="16"/>
      <c r="F29" s="16"/>
      <c r="G29" s="16"/>
      <c r="H29" s="16"/>
      <c r="I29" s="491"/>
    </row>
    <row r="31" spans="1:12" x14ac:dyDescent="0.45">
      <c r="A31" t="s">
        <v>18</v>
      </c>
    </row>
    <row r="32" spans="1:12" x14ac:dyDescent="0.45">
      <c r="A32" t="s">
        <v>19</v>
      </c>
    </row>
    <row r="33" spans="1:9" x14ac:dyDescent="0.45">
      <c r="A33" t="s">
        <v>20</v>
      </c>
    </row>
    <row r="34" spans="1:9" x14ac:dyDescent="0.45">
      <c r="A34" t="s">
        <v>21</v>
      </c>
    </row>
    <row r="36" spans="1:9" x14ac:dyDescent="0.45">
      <c r="A36" t="s">
        <v>22</v>
      </c>
    </row>
    <row r="38" spans="1:9" x14ac:dyDescent="0.45">
      <c r="I38" t="s">
        <v>23</v>
      </c>
    </row>
  </sheetData>
  <mergeCells count="1">
    <mergeCell ref="A5:I5"/>
  </mergeCells>
  <phoneticPr fontId="5"/>
  <pageMargins left="0.31496062992125984" right="0.31496062992125984" top="0.55118110236220474" bottom="0.35433070866141736" header="0.31496062992125984" footer="0.11811023622047245"/>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6A4B1-EB70-491B-AECB-8FE8E08D5478}">
  <dimension ref="A1:L43"/>
  <sheetViews>
    <sheetView topLeftCell="A7" zoomScale="130" zoomScaleNormal="130" workbookViewId="0">
      <selection activeCell="A36" sqref="A36"/>
    </sheetView>
  </sheetViews>
  <sheetFormatPr defaultRowHeight="18" x14ac:dyDescent="0.45"/>
  <cols>
    <col min="2" max="2" width="10.296875" bestFit="1" customWidth="1"/>
    <col min="3" max="3" width="11.69921875" bestFit="1" customWidth="1"/>
    <col min="4" max="4" width="9.3984375" bestFit="1" customWidth="1"/>
    <col min="5" max="5" width="11.69921875" bestFit="1" customWidth="1"/>
    <col min="9" max="9" width="9" bestFit="1" customWidth="1"/>
    <col min="13" max="13" width="11.69921875" bestFit="1" customWidth="1"/>
    <col min="14" max="14" width="9.3984375" bestFit="1" customWidth="1"/>
    <col min="15" max="15" width="11.69921875" bestFit="1" customWidth="1"/>
  </cols>
  <sheetData>
    <row r="1" spans="1:9" x14ac:dyDescent="0.45">
      <c r="I1" s="1">
        <v>45257</v>
      </c>
    </row>
    <row r="2" spans="1:9" ht="15" customHeight="1" x14ac:dyDescent="0.45">
      <c r="A2" t="s">
        <v>24</v>
      </c>
      <c r="I2" s="485"/>
    </row>
    <row r="3" spans="1:9" ht="15" customHeight="1" x14ac:dyDescent="0.45">
      <c r="I3" s="485" t="s">
        <v>25</v>
      </c>
    </row>
    <row r="4" spans="1:9" ht="15" customHeight="1" x14ac:dyDescent="0.45">
      <c r="I4" s="485"/>
    </row>
    <row r="5" spans="1:9" x14ac:dyDescent="0.45">
      <c r="A5" s="525" t="s">
        <v>2</v>
      </c>
      <c r="B5" s="526"/>
      <c r="C5" s="526"/>
      <c r="D5" s="526"/>
      <c r="E5" s="526"/>
      <c r="F5" s="526"/>
      <c r="G5" s="526"/>
      <c r="H5" s="526"/>
      <c r="I5" s="526"/>
    </row>
    <row r="6" spans="1:9" x14ac:dyDescent="0.45">
      <c r="A6" s="17"/>
      <c r="B6" s="18"/>
      <c r="C6" s="18"/>
      <c r="D6" s="18"/>
      <c r="E6" s="18"/>
      <c r="F6" s="18"/>
      <c r="G6" s="18"/>
      <c r="H6" s="18"/>
      <c r="I6" s="18"/>
    </row>
    <row r="7" spans="1:9" ht="15" customHeight="1" x14ac:dyDescent="0.45">
      <c r="A7" t="s">
        <v>26</v>
      </c>
    </row>
    <row r="8" spans="1:9" x14ac:dyDescent="0.45">
      <c r="A8" t="s">
        <v>27</v>
      </c>
    </row>
    <row r="9" spans="1:9" x14ac:dyDescent="0.45">
      <c r="A9" t="s">
        <v>5</v>
      </c>
    </row>
    <row r="10" spans="1:9" x14ac:dyDescent="0.45">
      <c r="A10" t="s">
        <v>28</v>
      </c>
    </row>
    <row r="12" spans="1:9" x14ac:dyDescent="0.45">
      <c r="A12" t="s">
        <v>7</v>
      </c>
    </row>
    <row r="20" spans="1:12" ht="12.6" customHeight="1" x14ac:dyDescent="0.45"/>
    <row r="21" spans="1:12" x14ac:dyDescent="0.45">
      <c r="A21" t="s">
        <v>8</v>
      </c>
    </row>
    <row r="22" spans="1:12" x14ac:dyDescent="0.45">
      <c r="A22" t="s">
        <v>9</v>
      </c>
      <c r="B22" s="465">
        <f>'参考_APIC(2023年度) '!AV113*1000</f>
        <v>22915.058988762685</v>
      </c>
      <c r="C22" t="s">
        <v>10</v>
      </c>
      <c r="D22" s="476">
        <f>B22/500000</f>
        <v>4.583011797752537E-2</v>
      </c>
      <c r="E22" s="477" t="s">
        <v>11</v>
      </c>
      <c r="F22" s="478"/>
      <c r="L22" s="479"/>
    </row>
    <row r="23" spans="1:12" x14ac:dyDescent="0.45">
      <c r="A23" t="s">
        <v>12</v>
      </c>
      <c r="B23" s="464">
        <f>'参考_BTNB(2023年度) '!AT114*1000</f>
        <v>6243.823184163638</v>
      </c>
      <c r="C23" t="s">
        <v>10</v>
      </c>
      <c r="D23" s="476">
        <f>B23/450000</f>
        <v>1.3875162631474751E-2</v>
      </c>
      <c r="E23" s="477" t="s">
        <v>13</v>
      </c>
      <c r="F23" s="478"/>
      <c r="L23" s="479"/>
    </row>
    <row r="24" spans="1:12" x14ac:dyDescent="0.45">
      <c r="A24" s="464" t="s">
        <v>29</v>
      </c>
      <c r="D24" s="483"/>
      <c r="E24" s="484"/>
      <c r="L24" s="479"/>
    </row>
    <row r="25" spans="1:12" x14ac:dyDescent="0.45">
      <c r="A25" t="s">
        <v>30</v>
      </c>
    </row>
    <row r="26" spans="1:12" x14ac:dyDescent="0.45">
      <c r="A26" s="486" t="s">
        <v>31</v>
      </c>
    </row>
    <row r="27" spans="1:12" x14ac:dyDescent="0.45">
      <c r="A27" s="487" t="s">
        <v>32</v>
      </c>
    </row>
    <row r="28" spans="1:12" x14ac:dyDescent="0.45">
      <c r="A28" t="s">
        <v>33</v>
      </c>
    </row>
    <row r="30" spans="1:12" x14ac:dyDescent="0.45">
      <c r="A30" s="16" t="s">
        <v>34</v>
      </c>
      <c r="B30" s="16"/>
      <c r="C30" s="16"/>
      <c r="D30" s="16"/>
      <c r="E30" s="16"/>
      <c r="F30" s="16"/>
      <c r="G30" s="16"/>
      <c r="H30" s="16"/>
      <c r="I30" s="16"/>
    </row>
    <row r="31" spans="1:12" x14ac:dyDescent="0.45">
      <c r="A31" s="488" t="s">
        <v>35</v>
      </c>
      <c r="B31" s="16"/>
      <c r="C31" s="16"/>
      <c r="D31" s="16"/>
      <c r="E31" s="16"/>
      <c r="F31" s="16"/>
      <c r="G31" s="16"/>
      <c r="H31" s="16"/>
      <c r="I31" s="16"/>
    </row>
    <row r="32" spans="1:12" x14ac:dyDescent="0.45">
      <c r="A32" s="489" t="s">
        <v>36</v>
      </c>
      <c r="B32" s="16"/>
      <c r="C32" s="16"/>
      <c r="D32" s="16"/>
      <c r="E32" s="16"/>
      <c r="F32" s="16"/>
      <c r="G32" s="16"/>
      <c r="H32" s="16"/>
      <c r="I32" s="16"/>
    </row>
    <row r="33" spans="1:9" x14ac:dyDescent="0.45">
      <c r="A33" s="489" t="s">
        <v>37</v>
      </c>
      <c r="B33" s="16"/>
      <c r="C33" s="16"/>
      <c r="D33" s="16"/>
      <c r="E33" s="16"/>
      <c r="F33" s="16"/>
      <c r="G33" s="16"/>
      <c r="H33" s="16"/>
      <c r="I33" s="16"/>
    </row>
    <row r="34" spans="1:9" x14ac:dyDescent="0.45">
      <c r="A34" s="489" t="s">
        <v>38</v>
      </c>
      <c r="B34" s="16"/>
      <c r="C34" s="16"/>
      <c r="D34" s="16"/>
      <c r="E34" s="16"/>
      <c r="F34" s="16"/>
      <c r="G34" s="16"/>
      <c r="H34" s="16"/>
      <c r="I34" s="16"/>
    </row>
    <row r="35" spans="1:9" x14ac:dyDescent="0.45">
      <c r="A35" s="21"/>
      <c r="I35" s="485" t="s">
        <v>39</v>
      </c>
    </row>
    <row r="36" spans="1:9" x14ac:dyDescent="0.45">
      <c r="A36" s="21"/>
      <c r="I36" s="485"/>
    </row>
    <row r="37" spans="1:9" x14ac:dyDescent="0.45">
      <c r="A37" t="s">
        <v>18</v>
      </c>
    </row>
    <row r="38" spans="1:9" x14ac:dyDescent="0.45">
      <c r="A38" t="s">
        <v>19</v>
      </c>
    </row>
    <row r="39" spans="1:9" x14ac:dyDescent="0.45">
      <c r="A39" t="s">
        <v>20</v>
      </c>
    </row>
    <row r="40" spans="1:9" x14ac:dyDescent="0.45">
      <c r="A40" t="s">
        <v>21</v>
      </c>
    </row>
    <row r="42" spans="1:9" x14ac:dyDescent="0.45">
      <c r="A42" t="s">
        <v>40</v>
      </c>
    </row>
    <row r="43" spans="1:9" x14ac:dyDescent="0.45">
      <c r="I43" t="s">
        <v>23</v>
      </c>
    </row>
  </sheetData>
  <mergeCells count="1">
    <mergeCell ref="A5:I5"/>
  </mergeCells>
  <phoneticPr fontId="5"/>
  <pageMargins left="0.31496062992125984" right="0.31496062992125984" top="0.35433070866141736" bottom="0.35433070866141736" header="0.11811023622047245" footer="0.11811023622047245"/>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1DEB8-FF21-4B79-B71C-DEF1CC2C87C6}">
  <sheetPr>
    <pageSetUpPr fitToPage="1"/>
  </sheetPr>
  <dimension ref="A2:N56"/>
  <sheetViews>
    <sheetView tabSelected="1" zoomScale="102" zoomScaleNormal="102" workbookViewId="0"/>
  </sheetViews>
  <sheetFormatPr defaultRowHeight="18" x14ac:dyDescent="0.45"/>
  <cols>
    <col min="1" max="1" width="12.59765625" customWidth="1"/>
    <col min="2" max="2" width="16.5" bestFit="1" customWidth="1"/>
    <col min="3" max="3" width="13.296875" customWidth="1"/>
    <col min="4" max="4" width="9.69921875" bestFit="1" customWidth="1"/>
    <col min="5" max="5" width="10.59765625" customWidth="1"/>
    <col min="7" max="7" width="6.3984375" customWidth="1"/>
    <col min="8" max="8" width="9.69921875" bestFit="1" customWidth="1"/>
    <col min="9" max="9" width="10.296875" bestFit="1" customWidth="1"/>
    <col min="10" max="10" width="8.8984375" bestFit="1" customWidth="1"/>
    <col min="12" max="12" width="9.69921875" bestFit="1" customWidth="1"/>
  </cols>
  <sheetData>
    <row r="2" spans="1:10" x14ac:dyDescent="0.45">
      <c r="I2" s="1">
        <v>45321</v>
      </c>
    </row>
    <row r="3" spans="1:10" ht="15" customHeight="1" x14ac:dyDescent="0.45"/>
    <row r="4" spans="1:10" x14ac:dyDescent="0.45">
      <c r="A4" s="525" t="s">
        <v>41</v>
      </c>
      <c r="B4" s="526"/>
      <c r="C4" s="526"/>
      <c r="D4" s="526"/>
      <c r="E4" s="526"/>
      <c r="F4" s="526"/>
      <c r="G4" s="526"/>
      <c r="H4" s="526"/>
      <c r="I4" s="526"/>
    </row>
    <row r="5" spans="1:10" ht="15" customHeight="1" x14ac:dyDescent="0.45"/>
    <row r="6" spans="1:10" x14ac:dyDescent="0.45">
      <c r="A6" t="s">
        <v>587</v>
      </c>
    </row>
    <row r="7" spans="1:10" x14ac:dyDescent="0.45">
      <c r="A7" t="s">
        <v>43</v>
      </c>
    </row>
    <row r="8" spans="1:10" x14ac:dyDescent="0.45">
      <c r="A8" t="s">
        <v>588</v>
      </c>
    </row>
    <row r="11" spans="1:10" x14ac:dyDescent="0.45">
      <c r="A11" t="s">
        <v>589</v>
      </c>
    </row>
    <row r="12" spans="1:10" x14ac:dyDescent="0.45">
      <c r="A12" t="s">
        <v>560</v>
      </c>
      <c r="B12" s="465">
        <v>22915.058988762685</v>
      </c>
      <c r="C12" t="s">
        <v>10</v>
      </c>
      <c r="D12" s="476">
        <v>4.583011797752537E-2</v>
      </c>
      <c r="E12" s="477" t="s">
        <v>49</v>
      </c>
      <c r="F12" s="478"/>
    </row>
    <row r="13" spans="1:10" x14ac:dyDescent="0.45">
      <c r="A13" t="s">
        <v>561</v>
      </c>
      <c r="B13" s="464">
        <v>6243.823184163638</v>
      </c>
      <c r="C13" t="s">
        <v>10</v>
      </c>
      <c r="D13" s="476">
        <v>1.3875162631474751E-2</v>
      </c>
      <c r="E13" s="477" t="s">
        <v>50</v>
      </c>
      <c r="F13" s="478"/>
    </row>
    <row r="14" spans="1:10" x14ac:dyDescent="0.45">
      <c r="A14" s="685" t="s">
        <v>593</v>
      </c>
      <c r="B14" s="674" t="s">
        <v>592</v>
      </c>
      <c r="C14" s="673" t="s">
        <v>566</v>
      </c>
      <c r="D14" s="673" t="s">
        <v>562</v>
      </c>
      <c r="E14" s="673" t="s">
        <v>563</v>
      </c>
      <c r="F14" s="673" t="s">
        <v>564</v>
      </c>
      <c r="G14" s="673" t="s">
        <v>565</v>
      </c>
      <c r="H14" s="673" t="s">
        <v>590</v>
      </c>
      <c r="I14" s="675" t="s">
        <v>591</v>
      </c>
      <c r="J14" s="673" t="s">
        <v>595</v>
      </c>
    </row>
    <row r="15" spans="1:10" x14ac:dyDescent="0.45">
      <c r="A15" s="670">
        <f>B13/12*5</f>
        <v>2601.5929934015157</v>
      </c>
      <c r="B15" s="671">
        <f>A15/0.02</f>
        <v>130079.64967007579</v>
      </c>
      <c r="C15" s="669">
        <v>3379</v>
      </c>
      <c r="D15" s="671">
        <v>130000</v>
      </c>
      <c r="E15" s="671">
        <v>76000</v>
      </c>
      <c r="F15" s="671">
        <v>5000</v>
      </c>
      <c r="G15" s="671" t="s">
        <v>594</v>
      </c>
      <c r="H15" s="671">
        <f>C15+D15+E15+F15</f>
        <v>214379</v>
      </c>
      <c r="I15" s="669">
        <f>H15-B15</f>
        <v>84299.350329924215</v>
      </c>
      <c r="J15" s="672">
        <f>H15/B15</f>
        <v>1.6480594815848193</v>
      </c>
    </row>
    <row r="16" spans="1:10" x14ac:dyDescent="0.45">
      <c r="A16" s="670">
        <f>B12/12*5</f>
        <v>9547.9412453177847</v>
      </c>
      <c r="B16" s="671">
        <f>A16/0.05</f>
        <v>190958.82490635567</v>
      </c>
      <c r="C16" s="669">
        <v>99327</v>
      </c>
      <c r="D16" s="671">
        <v>105000</v>
      </c>
      <c r="E16" s="671">
        <v>9300</v>
      </c>
      <c r="F16" s="671">
        <v>75000</v>
      </c>
      <c r="G16" s="671" t="s">
        <v>594</v>
      </c>
      <c r="H16" s="671">
        <f>C16+D16+E16+F16</f>
        <v>288627</v>
      </c>
      <c r="I16" s="669">
        <f>H16-B16</f>
        <v>97668.175093644328</v>
      </c>
      <c r="J16" s="672">
        <f>H16/B16</f>
        <v>1.5114619611926279</v>
      </c>
    </row>
    <row r="17" spans="1:14" x14ac:dyDescent="0.45">
      <c r="A17" t="s">
        <v>604</v>
      </c>
      <c r="B17" s="484"/>
      <c r="C17" s="660"/>
      <c r="E17" s="237"/>
      <c r="H17" s="660"/>
      <c r="I17" s="660"/>
      <c r="J17" s="660"/>
      <c r="K17" s="660"/>
      <c r="L17" s="660"/>
      <c r="M17" s="237"/>
      <c r="N17" s="662"/>
    </row>
    <row r="18" spans="1:14" x14ac:dyDescent="0.45">
      <c r="B18" s="484"/>
      <c r="C18" s="660"/>
      <c r="E18" s="237"/>
      <c r="H18" s="660"/>
      <c r="I18" s="660"/>
      <c r="J18" s="660"/>
      <c r="K18" s="660"/>
      <c r="L18" s="660"/>
      <c r="M18" s="237"/>
      <c r="N18" s="662"/>
    </row>
    <row r="19" spans="1:14" x14ac:dyDescent="0.45">
      <c r="A19" t="s">
        <v>569</v>
      </c>
    </row>
    <row r="20" spans="1:14" x14ac:dyDescent="0.45">
      <c r="A20" t="s">
        <v>570</v>
      </c>
      <c r="B20" s="465">
        <v>15929.30769230769</v>
      </c>
      <c r="C20" t="s">
        <v>10</v>
      </c>
      <c r="D20" s="476">
        <f>B20/600000</f>
        <v>2.6548846153846149E-2</v>
      </c>
      <c r="E20" s="477" t="s">
        <v>571</v>
      </c>
      <c r="F20" s="478"/>
      <c r="G20" t="s">
        <v>603</v>
      </c>
    </row>
    <row r="21" spans="1:14" x14ac:dyDescent="0.45">
      <c r="A21" t="s">
        <v>561</v>
      </c>
      <c r="B21" s="464">
        <v>8549.4181818181823</v>
      </c>
      <c r="C21" t="s">
        <v>10</v>
      </c>
      <c r="D21" s="476">
        <f>B21/500000</f>
        <v>1.7098836363636363E-2</v>
      </c>
      <c r="E21" s="477" t="s">
        <v>568</v>
      </c>
      <c r="F21" s="478"/>
      <c r="G21" t="s">
        <v>596</v>
      </c>
    </row>
    <row r="23" spans="1:14" x14ac:dyDescent="0.45">
      <c r="A23" t="s">
        <v>585</v>
      </c>
      <c r="B23" s="484">
        <v>35000</v>
      </c>
      <c r="C23" t="s">
        <v>586</v>
      </c>
    </row>
    <row r="24" spans="1:14" x14ac:dyDescent="0.45">
      <c r="A24" t="s">
        <v>597</v>
      </c>
      <c r="B24" s="485"/>
    </row>
    <row r="25" spans="1:14" x14ac:dyDescent="0.45">
      <c r="A25" t="s">
        <v>598</v>
      </c>
    </row>
    <row r="26" spans="1:14" x14ac:dyDescent="0.45">
      <c r="A26" t="s">
        <v>599</v>
      </c>
    </row>
    <row r="28" spans="1:14" x14ac:dyDescent="0.45">
      <c r="A28" t="s">
        <v>600</v>
      </c>
    </row>
    <row r="29" spans="1:14" x14ac:dyDescent="0.45">
      <c r="A29" t="s">
        <v>601</v>
      </c>
    </row>
    <row r="30" spans="1:14" x14ac:dyDescent="0.45">
      <c r="A30" t="s">
        <v>602</v>
      </c>
    </row>
    <row r="31" spans="1:14" x14ac:dyDescent="0.45">
      <c r="A31" t="s">
        <v>630</v>
      </c>
    </row>
    <row r="32" spans="1:14" x14ac:dyDescent="0.45">
      <c r="A32" t="s">
        <v>631</v>
      </c>
    </row>
    <row r="34" spans="1:10" x14ac:dyDescent="0.45">
      <c r="A34" t="s">
        <v>605</v>
      </c>
    </row>
    <row r="35" spans="1:10" x14ac:dyDescent="0.45">
      <c r="A35" t="s">
        <v>614</v>
      </c>
    </row>
    <row r="36" spans="1:10" x14ac:dyDescent="0.45">
      <c r="A36" t="s">
        <v>607</v>
      </c>
    </row>
    <row r="38" spans="1:10" x14ac:dyDescent="0.45">
      <c r="A38" t="s">
        <v>615</v>
      </c>
    </row>
    <row r="39" spans="1:10" x14ac:dyDescent="0.45">
      <c r="A39" t="s">
        <v>608</v>
      </c>
      <c r="B39" t="s">
        <v>616</v>
      </c>
    </row>
    <row r="40" spans="1:10" ht="15" customHeight="1" x14ac:dyDescent="0.45"/>
    <row r="41" spans="1:10" ht="15" customHeight="1" x14ac:dyDescent="0.45"/>
    <row r="42" spans="1:10" ht="15" customHeight="1" x14ac:dyDescent="0.45"/>
    <row r="43" spans="1:10" ht="15" customHeight="1" x14ac:dyDescent="0.45"/>
    <row r="44" spans="1:10" ht="15" customHeight="1" x14ac:dyDescent="0.45"/>
    <row r="45" spans="1:10" ht="15" customHeight="1" x14ac:dyDescent="0.45">
      <c r="J45" t="s">
        <v>541</v>
      </c>
    </row>
    <row r="46" spans="1:10" ht="15" customHeight="1" x14ac:dyDescent="0.45"/>
    <row r="47" spans="1:10" x14ac:dyDescent="0.45">
      <c r="B47" t="s">
        <v>620</v>
      </c>
    </row>
    <row r="48" spans="1:10" x14ac:dyDescent="0.45">
      <c r="B48" t="s">
        <v>621</v>
      </c>
    </row>
    <row r="49" spans="1:2" x14ac:dyDescent="0.45">
      <c r="B49" t="s">
        <v>622</v>
      </c>
    </row>
    <row r="50" spans="1:2" x14ac:dyDescent="0.45">
      <c r="A50" t="s">
        <v>609</v>
      </c>
      <c r="B50" t="s">
        <v>623</v>
      </c>
    </row>
    <row r="51" spans="1:2" x14ac:dyDescent="0.45">
      <c r="B51" t="s">
        <v>624</v>
      </c>
    </row>
    <row r="52" spans="1:2" x14ac:dyDescent="0.45">
      <c r="A52" t="s">
        <v>610</v>
      </c>
      <c r="B52" t="s">
        <v>625</v>
      </c>
    </row>
    <row r="53" spans="1:2" x14ac:dyDescent="0.45">
      <c r="A53" t="s">
        <v>611</v>
      </c>
      <c r="B53" t="s">
        <v>626</v>
      </c>
    </row>
    <row r="54" spans="1:2" x14ac:dyDescent="0.45">
      <c r="A54" t="s">
        <v>612</v>
      </c>
      <c r="B54" t="s">
        <v>627</v>
      </c>
    </row>
    <row r="55" spans="1:2" x14ac:dyDescent="0.45">
      <c r="A55" t="s">
        <v>613</v>
      </c>
      <c r="B55" t="s">
        <v>628</v>
      </c>
    </row>
    <row r="56" spans="1:2" x14ac:dyDescent="0.45">
      <c r="A56" t="s">
        <v>629</v>
      </c>
      <c r="B56" t="s">
        <v>632</v>
      </c>
    </row>
  </sheetData>
  <mergeCells count="1">
    <mergeCell ref="A4:I4"/>
  </mergeCells>
  <phoneticPr fontId="5"/>
  <pageMargins left="0.25" right="0.25" top="0.75" bottom="0.75" header="0.3" footer="0.3"/>
  <pageSetup paperSize="9" scale="2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A7909-5F84-4E80-B53F-B0A17B4FA0A3}">
  <sheetPr>
    <pageSetUpPr fitToPage="1"/>
  </sheetPr>
  <dimension ref="A1:AZ116"/>
  <sheetViews>
    <sheetView zoomScale="80" zoomScaleNormal="80" workbookViewId="0">
      <pane xSplit="6" ySplit="12" topLeftCell="AH102" activePane="bottomRight" state="frozen"/>
      <selection pane="topRight" activeCell="M13" sqref="M13"/>
      <selection pane="bottomLeft" activeCell="M13" sqref="M13"/>
      <selection pane="bottomRight" activeCell="D130" sqref="D130"/>
    </sheetView>
  </sheetViews>
  <sheetFormatPr defaultRowHeight="18" x14ac:dyDescent="0.45"/>
  <cols>
    <col min="1" max="1" width="7.69921875" customWidth="1"/>
    <col min="2" max="2" width="7.09765625" customWidth="1"/>
    <col min="3" max="3" width="2.796875" customWidth="1"/>
    <col min="4" max="4" width="15.796875" customWidth="1"/>
    <col min="5" max="5" width="36.796875" customWidth="1"/>
    <col min="6" max="6" width="13" customWidth="1"/>
    <col min="7" max="7" width="5.19921875" customWidth="1"/>
    <col min="8" max="8" width="6.796875" bestFit="1" customWidth="1"/>
    <col min="9" max="9" width="5.09765625" bestFit="1" customWidth="1"/>
    <col min="10" max="12" width="6.796875" bestFit="1" customWidth="1"/>
    <col min="13" max="13" width="4.8984375" customWidth="1"/>
    <col min="14" max="14" width="6.3984375" customWidth="1"/>
    <col min="15" max="15" width="5.09765625" bestFit="1" customWidth="1"/>
    <col min="16" max="16" width="6.796875" bestFit="1" customWidth="1"/>
    <col min="17" max="17" width="5.09765625" bestFit="1" customWidth="1"/>
    <col min="18" max="18" width="8.19921875" customWidth="1"/>
    <col min="19" max="19" width="5.09765625" bestFit="1" customWidth="1"/>
    <col min="20" max="20" width="6.796875" bestFit="1" customWidth="1"/>
    <col min="21" max="21" width="5.09765625" bestFit="1" customWidth="1"/>
    <col min="22" max="22" width="12.69921875" bestFit="1" customWidth="1"/>
    <col min="23" max="23" width="5.09765625" bestFit="1" customWidth="1"/>
    <col min="24" max="24" width="6.796875" customWidth="1"/>
    <col min="25" max="25" width="4.8984375" bestFit="1" customWidth="1"/>
    <col min="26" max="26" width="6.796875" bestFit="1" customWidth="1"/>
    <col min="27" max="27" width="5.09765625" bestFit="1" customWidth="1"/>
    <col min="28" max="28" width="6.796875" bestFit="1" customWidth="1"/>
    <col min="29" max="30" width="7.796875" bestFit="1" customWidth="1"/>
    <col min="31" max="31" width="4.69921875" customWidth="1"/>
    <col min="32" max="32" width="6" bestFit="1" customWidth="1"/>
    <col min="33" max="33" width="5.09765625" bestFit="1" customWidth="1"/>
    <col min="34" max="34" width="6" bestFit="1" customWidth="1"/>
    <col min="35" max="35" width="5.09765625" bestFit="1" customWidth="1"/>
    <col min="36" max="36" width="6" bestFit="1" customWidth="1"/>
    <col min="37" max="37" width="5.09765625" bestFit="1" customWidth="1"/>
    <col min="38" max="38" width="6" bestFit="1" customWidth="1"/>
    <col min="39" max="39" width="5.09765625" bestFit="1" customWidth="1"/>
    <col min="40" max="40" width="8.19921875" bestFit="1" customWidth="1"/>
    <col min="41" max="41" width="8.296875" customWidth="1"/>
    <col min="43" max="43" width="6.796875" customWidth="1"/>
    <col min="45" max="45" width="6.296875" customWidth="1"/>
    <col min="46" max="46" width="7.296875" customWidth="1"/>
    <col min="47" max="47" width="6.796875" style="22" customWidth="1"/>
    <col min="48" max="48" width="6.796875" style="22" bestFit="1" customWidth="1"/>
    <col min="50" max="50" width="17.19921875" bestFit="1" customWidth="1"/>
  </cols>
  <sheetData>
    <row r="1" spans="1:52" x14ac:dyDescent="0.45">
      <c r="I1" s="527"/>
      <c r="J1" s="527"/>
      <c r="K1" s="527"/>
      <c r="L1" s="527"/>
      <c r="M1" s="528" t="s">
        <v>100</v>
      </c>
      <c r="N1" s="528"/>
      <c r="O1" s="529" t="s">
        <v>101</v>
      </c>
      <c r="P1" s="530"/>
      <c r="Q1" s="530"/>
      <c r="R1" s="530"/>
      <c r="S1" s="530"/>
      <c r="T1" s="531"/>
      <c r="AW1" s="532">
        <v>45320</v>
      </c>
      <c r="AX1" s="532"/>
    </row>
    <row r="2" spans="1:52" ht="13.95" customHeight="1" x14ac:dyDescent="0.45">
      <c r="A2" s="23" t="s">
        <v>102</v>
      </c>
      <c r="B2" s="24"/>
      <c r="C2" s="25"/>
      <c r="D2" s="24"/>
      <c r="E2" s="24"/>
      <c r="F2" s="26"/>
      <c r="G2" s="27"/>
      <c r="H2" s="27"/>
      <c r="I2" s="527"/>
      <c r="J2" s="527"/>
      <c r="K2" s="527"/>
      <c r="L2" s="527"/>
      <c r="M2" s="528"/>
      <c r="N2" s="528"/>
      <c r="O2" s="528" t="s">
        <v>103</v>
      </c>
      <c r="P2" s="528"/>
      <c r="Q2" s="528"/>
      <c r="R2" s="533" t="s">
        <v>104</v>
      </c>
      <c r="S2" s="533"/>
      <c r="T2" s="533"/>
      <c r="V2">
        <v>295.83</v>
      </c>
      <c r="Y2">
        <v>91.5</v>
      </c>
      <c r="AU2" s="28"/>
      <c r="AW2" s="29"/>
      <c r="AX2" s="28" t="s">
        <v>542</v>
      </c>
    </row>
    <row r="3" spans="1:52" ht="13.95" customHeight="1" x14ac:dyDescent="0.45">
      <c r="A3" s="23"/>
      <c r="B3" s="24"/>
      <c r="C3" s="25"/>
      <c r="D3" s="24"/>
      <c r="E3" s="24"/>
      <c r="F3" s="26"/>
      <c r="G3" s="27"/>
      <c r="H3" s="27"/>
      <c r="I3" s="534" t="s">
        <v>106</v>
      </c>
      <c r="J3" s="534"/>
      <c r="K3" s="534"/>
      <c r="L3" s="534"/>
      <c r="M3" s="535">
        <f>K12</f>
        <v>1</v>
      </c>
      <c r="N3" s="535"/>
      <c r="O3" s="535">
        <v>180.75</v>
      </c>
      <c r="P3" s="535"/>
      <c r="Q3" s="535"/>
      <c r="R3" s="678">
        <f>M3*O3</f>
        <v>180.75</v>
      </c>
      <c r="S3" s="678"/>
      <c r="T3" s="678"/>
      <c r="V3" s="657">
        <f>V2/13</f>
        <v>22.756153846153843</v>
      </c>
      <c r="AU3" s="28"/>
    </row>
    <row r="4" spans="1:52" ht="13.95" customHeight="1" x14ac:dyDescent="0.45">
      <c r="A4" s="23"/>
      <c r="B4" s="24"/>
      <c r="C4" s="25"/>
      <c r="D4" s="24"/>
      <c r="E4" s="24"/>
      <c r="F4" s="26"/>
      <c r="G4" s="27"/>
      <c r="H4" s="27"/>
      <c r="I4" s="534" t="s">
        <v>107</v>
      </c>
      <c r="J4" s="534"/>
      <c r="K4" s="534"/>
      <c r="L4" s="534"/>
      <c r="M4" s="535">
        <v>8</v>
      </c>
      <c r="N4" s="535"/>
      <c r="O4" s="535">
        <f>V3</f>
        <v>22.756153846153843</v>
      </c>
      <c r="P4" s="535"/>
      <c r="Q4" s="535"/>
      <c r="R4" s="678">
        <f>M4*O4</f>
        <v>182.04923076923075</v>
      </c>
      <c r="S4" s="678"/>
      <c r="T4" s="678"/>
      <c r="AU4" s="28"/>
    </row>
    <row r="5" spans="1:52" ht="19.2" x14ac:dyDescent="0.45">
      <c r="A5" s="30" t="s">
        <v>606</v>
      </c>
      <c r="B5" s="30"/>
      <c r="C5" s="30"/>
      <c r="D5" s="30"/>
      <c r="E5" s="30"/>
      <c r="F5" s="30"/>
      <c r="G5" s="27"/>
      <c r="H5" s="27"/>
      <c r="I5" s="534" t="s">
        <v>109</v>
      </c>
      <c r="J5" s="534"/>
      <c r="K5" s="534"/>
      <c r="L5" s="534"/>
      <c r="M5" s="536">
        <f>AO12</f>
        <v>5</v>
      </c>
      <c r="N5" s="536"/>
      <c r="O5" s="535">
        <f>V3</f>
        <v>22.756153846153843</v>
      </c>
      <c r="P5" s="535"/>
      <c r="Q5" s="535"/>
      <c r="R5" s="678">
        <f>M5*O5</f>
        <v>113.78076923076921</v>
      </c>
      <c r="S5" s="678"/>
      <c r="T5" s="678"/>
      <c r="U5" t="s">
        <v>110</v>
      </c>
      <c r="AU5" s="28"/>
    </row>
    <row r="6" spans="1:52" ht="13.95" customHeight="1" x14ac:dyDescent="0.45">
      <c r="A6" s="30"/>
      <c r="B6" s="30"/>
      <c r="C6" s="30"/>
      <c r="D6" s="30"/>
      <c r="E6" s="30"/>
      <c r="F6" s="30"/>
      <c r="G6" s="27"/>
      <c r="H6" s="27"/>
      <c r="I6" s="538" t="s">
        <v>111</v>
      </c>
      <c r="J6" s="539"/>
      <c r="K6" s="539"/>
      <c r="L6" s="540"/>
      <c r="M6" s="541">
        <v>1</v>
      </c>
      <c r="N6" s="542"/>
      <c r="O6" s="535">
        <f t="shared" ref="O4:O6" si="0">R6/M6</f>
        <v>91.5</v>
      </c>
      <c r="P6" s="535"/>
      <c r="Q6" s="535"/>
      <c r="R6" s="679">
        <v>91.5</v>
      </c>
      <c r="S6" s="680"/>
      <c r="T6" s="681"/>
      <c r="U6" t="s">
        <v>112</v>
      </c>
    </row>
    <row r="7" spans="1:52" ht="13.95" customHeight="1" x14ac:dyDescent="0.45">
      <c r="A7" s="31"/>
      <c r="B7" s="32"/>
      <c r="C7" s="33"/>
      <c r="D7" s="34"/>
      <c r="E7" s="34"/>
      <c r="F7" s="26"/>
      <c r="G7" s="27"/>
      <c r="H7" s="27"/>
      <c r="I7" s="534" t="s">
        <v>113</v>
      </c>
      <c r="J7" s="534"/>
      <c r="K7" s="534"/>
      <c r="L7" s="534"/>
      <c r="M7" s="537">
        <f>SUM(M3:N6)</f>
        <v>15</v>
      </c>
      <c r="N7" s="537"/>
      <c r="O7" s="537" t="s">
        <v>114</v>
      </c>
      <c r="P7" s="537"/>
      <c r="Q7" s="537"/>
      <c r="R7" s="546">
        <f>SUM(R3:T6)</f>
        <v>568.07999999999993</v>
      </c>
      <c r="S7" s="546"/>
      <c r="T7" s="546"/>
      <c r="U7" t="s">
        <v>115</v>
      </c>
      <c r="V7" s="35">
        <f>R7/12</f>
        <v>47.339999999999996</v>
      </c>
      <c r="W7" s="35" t="s">
        <v>116</v>
      </c>
      <c r="X7" t="s">
        <v>117</v>
      </c>
      <c r="Y7" s="547">
        <f>V7*1000*135</f>
        <v>6390899.9999999991</v>
      </c>
      <c r="Z7" s="547"/>
      <c r="AA7" t="s">
        <v>118</v>
      </c>
    </row>
    <row r="8" spans="1:52" ht="18.600000000000001" thickBot="1" x14ac:dyDescent="0.5">
      <c r="A8" s="27"/>
      <c r="B8" s="27"/>
      <c r="C8" s="27"/>
      <c r="D8" s="27"/>
      <c r="E8" s="27"/>
      <c r="F8" s="27"/>
      <c r="G8" s="27"/>
      <c r="H8" s="27"/>
      <c r="I8" s="27"/>
      <c r="J8" s="27"/>
      <c r="K8" s="27"/>
      <c r="L8" s="27"/>
      <c r="M8" s="27"/>
      <c r="N8" s="27"/>
      <c r="O8" s="27"/>
      <c r="P8" s="27"/>
      <c r="Q8" s="27"/>
      <c r="R8" s="27"/>
      <c r="S8" s="27"/>
      <c r="T8" s="27"/>
      <c r="U8" s="36"/>
      <c r="V8" s="36"/>
      <c r="W8" s="36"/>
      <c r="Y8" s="37"/>
      <c r="Z8" s="37"/>
      <c r="AA8" s="37"/>
      <c r="AB8" s="37"/>
      <c r="AX8" t="s">
        <v>119</v>
      </c>
    </row>
    <row r="9" spans="1:52" x14ac:dyDescent="0.45">
      <c r="A9" s="38"/>
      <c r="B9" s="39"/>
      <c r="C9" s="40"/>
      <c r="D9" s="39"/>
      <c r="E9" s="39"/>
      <c r="F9" s="41"/>
      <c r="G9" s="564" t="s">
        <v>120</v>
      </c>
      <c r="H9" s="565"/>
      <c r="I9" s="565"/>
      <c r="J9" s="565"/>
      <c r="K9" s="565"/>
      <c r="L9" s="566"/>
      <c r="M9" s="550" t="s">
        <v>121</v>
      </c>
      <c r="N9" s="551"/>
      <c r="O9" s="551"/>
      <c r="P9" s="551"/>
      <c r="Q9" s="551"/>
      <c r="R9" s="551"/>
      <c r="S9" s="551"/>
      <c r="T9" s="551"/>
      <c r="U9" s="551"/>
      <c r="V9" s="551"/>
      <c r="W9" s="551"/>
      <c r="X9" s="551"/>
      <c r="Y9" s="551"/>
      <c r="Z9" s="551"/>
      <c r="AA9" s="551"/>
      <c r="AB9" s="551"/>
      <c r="AC9" s="551"/>
      <c r="AD9" s="567"/>
      <c r="AE9" s="550" t="s">
        <v>122</v>
      </c>
      <c r="AF9" s="551"/>
      <c r="AG9" s="551"/>
      <c r="AH9" s="551"/>
      <c r="AI9" s="551"/>
      <c r="AJ9" s="551"/>
      <c r="AK9" s="551"/>
      <c r="AL9" s="551"/>
      <c r="AM9" s="551"/>
      <c r="AN9" s="551"/>
      <c r="AO9" s="551"/>
      <c r="AP9" s="552"/>
      <c r="AQ9" s="553" t="s">
        <v>123</v>
      </c>
      <c r="AR9" s="554"/>
      <c r="AS9" s="554"/>
      <c r="AT9" s="555"/>
      <c r="AU9" s="556" t="s">
        <v>124</v>
      </c>
      <c r="AV9" s="557"/>
    </row>
    <row r="10" spans="1:52" x14ac:dyDescent="0.45">
      <c r="A10" s="42"/>
      <c r="B10" s="24"/>
      <c r="C10" s="25"/>
      <c r="D10" s="24"/>
      <c r="E10" s="24"/>
      <c r="F10" s="43"/>
      <c r="G10" s="560" t="s">
        <v>125</v>
      </c>
      <c r="H10" s="561"/>
      <c r="I10" s="561"/>
      <c r="J10" s="561"/>
      <c r="K10" s="562" t="s">
        <v>127</v>
      </c>
      <c r="L10" s="563"/>
      <c r="M10" s="548" t="s">
        <v>128</v>
      </c>
      <c r="N10" s="549"/>
      <c r="O10" s="549" t="s">
        <v>129</v>
      </c>
      <c r="P10" s="549"/>
      <c r="Q10" s="549" t="s">
        <v>130</v>
      </c>
      <c r="R10" s="549"/>
      <c r="S10" s="549" t="s">
        <v>131</v>
      </c>
      <c r="T10" s="549"/>
      <c r="U10" s="549" t="s">
        <v>132</v>
      </c>
      <c r="V10" s="549"/>
      <c r="W10" s="549" t="s">
        <v>133</v>
      </c>
      <c r="X10" s="549"/>
      <c r="Y10" s="549" t="s">
        <v>134</v>
      </c>
      <c r="Z10" s="549"/>
      <c r="AA10" s="549" t="s">
        <v>135</v>
      </c>
      <c r="AB10" s="549"/>
      <c r="AC10" s="568" t="s">
        <v>136</v>
      </c>
      <c r="AD10" s="569"/>
      <c r="AE10" s="548" t="s">
        <v>137</v>
      </c>
      <c r="AF10" s="549"/>
      <c r="AG10" s="549" t="s">
        <v>138</v>
      </c>
      <c r="AH10" s="549"/>
      <c r="AI10" s="549" t="s">
        <v>543</v>
      </c>
      <c r="AJ10" s="549"/>
      <c r="AK10" s="549" t="s">
        <v>139</v>
      </c>
      <c r="AL10" s="549"/>
      <c r="AM10" s="549" t="s">
        <v>140</v>
      </c>
      <c r="AN10" s="549"/>
      <c r="AO10" s="568" t="s">
        <v>136</v>
      </c>
      <c r="AP10" s="570"/>
      <c r="AQ10" s="548" t="s">
        <v>141</v>
      </c>
      <c r="AR10" s="549"/>
      <c r="AS10" s="568" t="s">
        <v>136</v>
      </c>
      <c r="AT10" s="569"/>
      <c r="AU10" s="558"/>
      <c r="AV10" s="559"/>
    </row>
    <row r="11" spans="1:52" x14ac:dyDescent="0.45">
      <c r="A11" s="42"/>
      <c r="B11" s="24"/>
      <c r="C11" s="25"/>
      <c r="D11" s="24"/>
      <c r="E11" s="24"/>
      <c r="F11" s="43"/>
      <c r="G11" s="44" t="s">
        <v>100</v>
      </c>
      <c r="H11" s="503" t="s">
        <v>142</v>
      </c>
      <c r="I11" s="495" t="s">
        <v>100</v>
      </c>
      <c r="J11" s="45" t="s">
        <v>142</v>
      </c>
      <c r="K11" s="46" t="s">
        <v>100</v>
      </c>
      <c r="L11" s="47" t="s">
        <v>142</v>
      </c>
      <c r="M11" s="48" t="s">
        <v>100</v>
      </c>
      <c r="N11" s="49" t="s">
        <v>142</v>
      </c>
      <c r="O11" s="49" t="s">
        <v>100</v>
      </c>
      <c r="P11" s="49" t="s">
        <v>142</v>
      </c>
      <c r="Q11" s="49" t="s">
        <v>100</v>
      </c>
      <c r="R11" s="49" t="s">
        <v>142</v>
      </c>
      <c r="S11" s="49" t="s">
        <v>100</v>
      </c>
      <c r="T11" s="49" t="s">
        <v>142</v>
      </c>
      <c r="U11" s="49" t="s">
        <v>100</v>
      </c>
      <c r="V11" s="49" t="s">
        <v>142</v>
      </c>
      <c r="W11" s="49" t="s">
        <v>100</v>
      </c>
      <c r="X11" s="49" t="s">
        <v>142</v>
      </c>
      <c r="Y11" s="49" t="s">
        <v>100</v>
      </c>
      <c r="Z11" s="49" t="s">
        <v>142</v>
      </c>
      <c r="AA11" s="49" t="s">
        <v>100</v>
      </c>
      <c r="AB11" s="49" t="s">
        <v>142</v>
      </c>
      <c r="AC11" s="50" t="s">
        <v>100</v>
      </c>
      <c r="AD11" s="51" t="s">
        <v>142</v>
      </c>
      <c r="AE11" s="48" t="s">
        <v>100</v>
      </c>
      <c r="AF11" s="49" t="s">
        <v>142</v>
      </c>
      <c r="AG11" s="49" t="s">
        <v>100</v>
      </c>
      <c r="AH11" s="49" t="s">
        <v>142</v>
      </c>
      <c r="AI11" s="49" t="s">
        <v>100</v>
      </c>
      <c r="AJ11" s="49" t="s">
        <v>142</v>
      </c>
      <c r="AK11" s="49" t="s">
        <v>100</v>
      </c>
      <c r="AL11" s="49" t="s">
        <v>142</v>
      </c>
      <c r="AM11" s="49" t="s">
        <v>100</v>
      </c>
      <c r="AN11" s="49" t="s">
        <v>142</v>
      </c>
      <c r="AO11" s="50" t="s">
        <v>100</v>
      </c>
      <c r="AP11" s="52" t="s">
        <v>142</v>
      </c>
      <c r="AQ11" s="48" t="s">
        <v>100</v>
      </c>
      <c r="AR11" s="49" t="s">
        <v>142</v>
      </c>
      <c r="AS11" s="50" t="s">
        <v>100</v>
      </c>
      <c r="AT11" s="51" t="s">
        <v>142</v>
      </c>
      <c r="AU11" s="53" t="s">
        <v>100</v>
      </c>
      <c r="AV11" s="54" t="s">
        <v>142</v>
      </c>
      <c r="AW11" s="55" t="s">
        <v>143</v>
      </c>
      <c r="AX11" s="56" t="s">
        <v>144</v>
      </c>
    </row>
    <row r="12" spans="1:52" ht="18.600000000000001" thickBot="1" x14ac:dyDescent="0.5">
      <c r="A12" s="57" t="s">
        <v>145</v>
      </c>
      <c r="B12" s="58" t="s">
        <v>146</v>
      </c>
      <c r="C12" s="59"/>
      <c r="D12" s="58" t="s">
        <v>147</v>
      </c>
      <c r="E12" s="58" t="s">
        <v>148</v>
      </c>
      <c r="F12" s="60" t="s">
        <v>149</v>
      </c>
      <c r="G12" s="61">
        <v>1</v>
      </c>
      <c r="H12" s="62">
        <f>O3</f>
        <v>180.75</v>
      </c>
      <c r="I12" s="62"/>
      <c r="J12" s="62"/>
      <c r="K12" s="63">
        <f>G12+I12</f>
        <v>1</v>
      </c>
      <c r="L12" s="64">
        <f>H12+J12</f>
        <v>180.75</v>
      </c>
      <c r="M12" s="65">
        <v>1</v>
      </c>
      <c r="N12" s="66">
        <f>O4</f>
        <v>22.756153846153843</v>
      </c>
      <c r="O12" s="66">
        <v>1</v>
      </c>
      <c r="P12" s="66">
        <f>O4</f>
        <v>22.756153846153843</v>
      </c>
      <c r="Q12" s="66">
        <v>1</v>
      </c>
      <c r="R12" s="66">
        <f>O4</f>
        <v>22.756153846153843</v>
      </c>
      <c r="S12" s="66">
        <v>1</v>
      </c>
      <c r="T12" s="66">
        <f>O4</f>
        <v>22.756153846153843</v>
      </c>
      <c r="U12" s="66">
        <v>1</v>
      </c>
      <c r="V12" s="66">
        <f>O4</f>
        <v>22.756153846153843</v>
      </c>
      <c r="W12" s="66">
        <v>1</v>
      </c>
      <c r="X12" s="66">
        <f>O4</f>
        <v>22.756153846153843</v>
      </c>
      <c r="Y12" s="66">
        <v>1</v>
      </c>
      <c r="Z12" s="66">
        <f>O4</f>
        <v>22.756153846153843</v>
      </c>
      <c r="AA12" s="66">
        <v>1</v>
      </c>
      <c r="AB12" s="66">
        <f>O4</f>
        <v>22.756153846153843</v>
      </c>
      <c r="AC12" s="67">
        <f>M4</f>
        <v>8</v>
      </c>
      <c r="AD12" s="68">
        <f>N12+P12+R12+T12+V12+X12+Z12+AB12</f>
        <v>182.04923076923072</v>
      </c>
      <c r="AE12" s="65">
        <v>1</v>
      </c>
      <c r="AF12" s="66">
        <f>O5</f>
        <v>22.756153846153843</v>
      </c>
      <c r="AG12" s="66">
        <v>1</v>
      </c>
      <c r="AH12" s="66">
        <f>O5</f>
        <v>22.756153846153843</v>
      </c>
      <c r="AI12" s="66">
        <v>1</v>
      </c>
      <c r="AJ12" s="66">
        <f>O5</f>
        <v>22.756153846153843</v>
      </c>
      <c r="AK12" s="66">
        <v>1</v>
      </c>
      <c r="AL12" s="66">
        <f>O5</f>
        <v>22.756153846153843</v>
      </c>
      <c r="AM12" s="66">
        <v>1</v>
      </c>
      <c r="AN12" s="66">
        <f>O5</f>
        <v>22.756153846153843</v>
      </c>
      <c r="AO12" s="67">
        <f>AE12+AG12+AK12+AM12+AI12</f>
        <v>5</v>
      </c>
      <c r="AP12" s="69">
        <f>AF12+AH12+AL12+AN12+AJ12</f>
        <v>113.78076923076921</v>
      </c>
      <c r="AQ12" s="65">
        <v>1</v>
      </c>
      <c r="AR12" s="66">
        <f>O6</f>
        <v>91.5</v>
      </c>
      <c r="AS12" s="67">
        <f>AQ12</f>
        <v>1</v>
      </c>
      <c r="AT12" s="70">
        <f>AR12</f>
        <v>91.5</v>
      </c>
      <c r="AU12" s="71">
        <f>K12+AC12+AO12+AS12</f>
        <v>15</v>
      </c>
      <c r="AV12" s="72">
        <f>L12+AD12+AP12+AT12</f>
        <v>568.07999999999993</v>
      </c>
      <c r="AW12" s="56"/>
      <c r="AX12" s="56"/>
    </row>
    <row r="13" spans="1:52" ht="15" customHeight="1" x14ac:dyDescent="0.45">
      <c r="A13" s="73" t="s">
        <v>150</v>
      </c>
      <c r="B13" s="74" t="s">
        <v>151</v>
      </c>
      <c r="C13" s="75">
        <v>1</v>
      </c>
      <c r="D13" s="74" t="s">
        <v>152</v>
      </c>
      <c r="E13" s="76" t="s">
        <v>153</v>
      </c>
      <c r="F13" s="77" t="s">
        <v>154</v>
      </c>
      <c r="G13" s="78"/>
      <c r="H13" s="79">
        <f>$H$12/$G$12*G13</f>
        <v>0</v>
      </c>
      <c r="I13" s="79"/>
      <c r="J13" s="79"/>
      <c r="K13" s="80">
        <f t="shared" ref="K13:L76" si="1">G13+I13</f>
        <v>0</v>
      </c>
      <c r="L13" s="81">
        <f t="shared" si="1"/>
        <v>0</v>
      </c>
      <c r="M13" s="82">
        <v>0.01</v>
      </c>
      <c r="N13" s="83">
        <f>N$12/M$12*M13</f>
        <v>0.22756153846153843</v>
      </c>
      <c r="O13" s="83"/>
      <c r="P13" s="83">
        <f>P$12/O$12*O13</f>
        <v>0</v>
      </c>
      <c r="Q13" s="83"/>
      <c r="R13" s="83">
        <f>R$12/Q$12*Q13</f>
        <v>0</v>
      </c>
      <c r="S13" s="83"/>
      <c r="T13" s="83">
        <f>T$12/S$12*S13</f>
        <v>0</v>
      </c>
      <c r="U13" s="83"/>
      <c r="V13" s="83">
        <f>V$12/U$12*U13</f>
        <v>0</v>
      </c>
      <c r="W13" s="83"/>
      <c r="X13" s="83">
        <f>X$12/W$12*W13</f>
        <v>0</v>
      </c>
      <c r="Y13" s="83">
        <v>0.01</v>
      </c>
      <c r="Z13" s="83">
        <f>Z$12/Y$12*Y13</f>
        <v>0.22756153846153843</v>
      </c>
      <c r="AA13" s="83"/>
      <c r="AB13" s="83">
        <f>AB$12/AA$12*AA13</f>
        <v>0</v>
      </c>
      <c r="AC13" s="84">
        <f t="shared" ref="AC13:AD76" si="2">M13+O13+Q13+S13+U13+W13+Y13+AA13</f>
        <v>0.02</v>
      </c>
      <c r="AD13" s="85">
        <f t="shared" si="2"/>
        <v>0.45512307692307685</v>
      </c>
      <c r="AE13" s="82"/>
      <c r="AF13" s="83">
        <f>AF$12/AE$12*AE13</f>
        <v>0</v>
      </c>
      <c r="AG13" s="83"/>
      <c r="AH13" s="83">
        <f>AH$12/AG$12*AG13</f>
        <v>0</v>
      </c>
      <c r="AI13" s="83"/>
      <c r="AJ13" s="83">
        <f>AJ$12/AI$12*AI13</f>
        <v>0</v>
      </c>
      <c r="AK13" s="83"/>
      <c r="AL13" s="83">
        <f>AL$12/AK$12*AK13</f>
        <v>0</v>
      </c>
      <c r="AM13" s="83"/>
      <c r="AN13" s="83">
        <f>AN$12/AM$12*AM13</f>
        <v>0</v>
      </c>
      <c r="AO13" s="84">
        <f t="shared" ref="AO13:AP76" si="3">AE13+AG13+AK13+AM13+AI13</f>
        <v>0</v>
      </c>
      <c r="AP13" s="504">
        <f t="shared" si="3"/>
        <v>0</v>
      </c>
      <c r="AQ13" s="82"/>
      <c r="AR13" s="83"/>
      <c r="AS13" s="84">
        <f>AQ13</f>
        <v>0</v>
      </c>
      <c r="AT13" s="87">
        <f t="shared" ref="AT13:AT76" si="4">AR13</f>
        <v>0</v>
      </c>
      <c r="AU13" s="88">
        <f t="shared" ref="AU13:AU76" si="5">K13+AC13+AO13</f>
        <v>0.02</v>
      </c>
      <c r="AV13" s="89">
        <f t="shared" ref="AV13:AV76" si="6">L13+AD13+AP13+AT13</f>
        <v>0.45512307692307685</v>
      </c>
      <c r="AW13" s="56" t="s">
        <v>155</v>
      </c>
      <c r="AX13" s="56">
        <f>IF(AW13="●",AV13,0)</f>
        <v>0</v>
      </c>
      <c r="AZ13" s="56" t="s">
        <v>156</v>
      </c>
    </row>
    <row r="14" spans="1:52" ht="15" customHeight="1" x14ac:dyDescent="0.45">
      <c r="A14" s="73"/>
      <c r="B14" s="90" t="s">
        <v>157</v>
      </c>
      <c r="C14" s="91">
        <v>2</v>
      </c>
      <c r="D14" s="74" t="s">
        <v>158</v>
      </c>
      <c r="E14" s="76" t="s">
        <v>159</v>
      </c>
      <c r="F14" s="92" t="s">
        <v>154</v>
      </c>
      <c r="G14" s="93"/>
      <c r="H14" s="94">
        <f t="shared" ref="H14:H77" si="7">$H$12/$G$12*G14</f>
        <v>0</v>
      </c>
      <c r="I14" s="94"/>
      <c r="J14" s="94"/>
      <c r="K14" s="95">
        <f t="shared" si="1"/>
        <v>0</v>
      </c>
      <c r="L14" s="96">
        <f t="shared" si="1"/>
        <v>0</v>
      </c>
      <c r="M14" s="97"/>
      <c r="N14" s="492">
        <f t="shared" ref="N14:N77" si="8">N$12/M$12*M14</f>
        <v>0</v>
      </c>
      <c r="O14" s="492"/>
      <c r="P14" s="492">
        <f t="shared" ref="P14:R29" si="9">P$12/O$12*O14</f>
        <v>0</v>
      </c>
      <c r="Q14" s="492"/>
      <c r="R14" s="492">
        <f t="shared" si="9"/>
        <v>0</v>
      </c>
      <c r="S14" s="492"/>
      <c r="T14" s="492">
        <f t="shared" ref="T14:V29" si="10">T$12/S$12*S14</f>
        <v>0</v>
      </c>
      <c r="U14" s="492"/>
      <c r="V14" s="492">
        <f t="shared" si="10"/>
        <v>0</v>
      </c>
      <c r="W14" s="492"/>
      <c r="X14" s="492">
        <f t="shared" ref="X14:Z29" si="11">X$12/W$12*W14</f>
        <v>0</v>
      </c>
      <c r="Y14" s="492"/>
      <c r="Z14" s="492">
        <f t="shared" si="11"/>
        <v>0</v>
      </c>
      <c r="AA14" s="492"/>
      <c r="AB14" s="492">
        <f t="shared" ref="AB14:AB77" si="12">AB$12/AA$12*AA14</f>
        <v>0</v>
      </c>
      <c r="AC14" s="99">
        <f t="shared" si="2"/>
        <v>0</v>
      </c>
      <c r="AD14" s="100">
        <f t="shared" si="2"/>
        <v>0</v>
      </c>
      <c r="AE14" s="97"/>
      <c r="AF14" s="492">
        <f t="shared" ref="AF14:AF77" si="13">AF$12/AE$12*AE14</f>
        <v>0</v>
      </c>
      <c r="AG14" s="492"/>
      <c r="AH14" s="492">
        <f t="shared" ref="AH14:AH77" si="14">AH$12/AG$12*AG14</f>
        <v>0</v>
      </c>
      <c r="AI14" s="492"/>
      <c r="AJ14" s="492">
        <f t="shared" ref="AJ14:AJ77" si="15">AJ$12/AI$12*AI14</f>
        <v>0</v>
      </c>
      <c r="AK14" s="492"/>
      <c r="AL14" s="492">
        <f t="shared" ref="AL14:AL77" si="16">AL$12/AK$12*AK14</f>
        <v>0</v>
      </c>
      <c r="AM14" s="492"/>
      <c r="AN14" s="492">
        <f t="shared" ref="AN14:AN77" si="17">AN$12/AM$12*AM14</f>
        <v>0</v>
      </c>
      <c r="AO14" s="99">
        <f t="shared" si="3"/>
        <v>0</v>
      </c>
      <c r="AP14" s="505">
        <f t="shared" si="3"/>
        <v>0</v>
      </c>
      <c r="AQ14" s="97"/>
      <c r="AR14" s="492"/>
      <c r="AS14" s="99">
        <f t="shared" ref="AS14:AT77" si="18">AQ14</f>
        <v>0</v>
      </c>
      <c r="AT14" s="102">
        <f t="shared" si="4"/>
        <v>0</v>
      </c>
      <c r="AU14" s="103">
        <f t="shared" si="5"/>
        <v>0</v>
      </c>
      <c r="AV14" s="104">
        <f t="shared" si="6"/>
        <v>0</v>
      </c>
      <c r="AW14" s="56" t="s">
        <v>155</v>
      </c>
      <c r="AX14" s="56">
        <f t="shared" ref="AX14:AX77" si="19">IF(AW14="●",AV14,0)</f>
        <v>0</v>
      </c>
      <c r="AZ14" t="s">
        <v>114</v>
      </c>
    </row>
    <row r="15" spans="1:52" ht="15" customHeight="1" x14ac:dyDescent="0.45">
      <c r="A15" s="73"/>
      <c r="B15" s="90"/>
      <c r="C15" s="91">
        <v>3</v>
      </c>
      <c r="D15" s="74" t="s">
        <v>160</v>
      </c>
      <c r="E15" s="76" t="s">
        <v>161</v>
      </c>
      <c r="F15" s="77" t="s">
        <v>162</v>
      </c>
      <c r="G15" s="93">
        <v>0.01</v>
      </c>
      <c r="H15" s="94">
        <f t="shared" si="7"/>
        <v>1.8075000000000001</v>
      </c>
      <c r="I15" s="94"/>
      <c r="J15" s="94"/>
      <c r="K15" s="95">
        <f t="shared" si="1"/>
        <v>0.01</v>
      </c>
      <c r="L15" s="96">
        <f t="shared" si="1"/>
        <v>1.8075000000000001</v>
      </c>
      <c r="M15" s="97">
        <v>0.01</v>
      </c>
      <c r="N15" s="492">
        <f t="shared" si="8"/>
        <v>0.22756153846153843</v>
      </c>
      <c r="O15" s="492"/>
      <c r="P15" s="492">
        <f t="shared" si="9"/>
        <v>0</v>
      </c>
      <c r="Q15" s="492"/>
      <c r="R15" s="492">
        <f t="shared" si="9"/>
        <v>0</v>
      </c>
      <c r="S15" s="492"/>
      <c r="T15" s="492">
        <f t="shared" si="10"/>
        <v>0</v>
      </c>
      <c r="U15" s="492"/>
      <c r="V15" s="492">
        <f t="shared" si="10"/>
        <v>0</v>
      </c>
      <c r="W15" s="492"/>
      <c r="X15" s="492">
        <f t="shared" si="11"/>
        <v>0</v>
      </c>
      <c r="Y15" s="492"/>
      <c r="Z15" s="492">
        <f t="shared" si="11"/>
        <v>0</v>
      </c>
      <c r="AA15" s="492"/>
      <c r="AB15" s="492">
        <f t="shared" si="12"/>
        <v>0</v>
      </c>
      <c r="AC15" s="99">
        <f t="shared" si="2"/>
        <v>0.01</v>
      </c>
      <c r="AD15" s="100">
        <f t="shared" si="2"/>
        <v>0.22756153846153843</v>
      </c>
      <c r="AE15" s="97"/>
      <c r="AF15" s="492">
        <f t="shared" si="13"/>
        <v>0</v>
      </c>
      <c r="AG15" s="492"/>
      <c r="AH15" s="492">
        <f t="shared" si="14"/>
        <v>0</v>
      </c>
      <c r="AI15" s="492"/>
      <c r="AJ15" s="492">
        <f t="shared" si="15"/>
        <v>0</v>
      </c>
      <c r="AK15" s="492"/>
      <c r="AL15" s="492">
        <f t="shared" si="16"/>
        <v>0</v>
      </c>
      <c r="AM15" s="492"/>
      <c r="AN15" s="492">
        <f t="shared" si="17"/>
        <v>0</v>
      </c>
      <c r="AO15" s="99">
        <f t="shared" si="3"/>
        <v>0</v>
      </c>
      <c r="AP15" s="505">
        <f t="shared" si="3"/>
        <v>0</v>
      </c>
      <c r="AQ15" s="97"/>
      <c r="AR15" s="492"/>
      <c r="AS15" s="99">
        <f t="shared" si="18"/>
        <v>0</v>
      </c>
      <c r="AT15" s="102">
        <f t="shared" si="4"/>
        <v>0</v>
      </c>
      <c r="AU15" s="103">
        <f t="shared" si="5"/>
        <v>0.02</v>
      </c>
      <c r="AV15" s="104">
        <f t="shared" si="6"/>
        <v>2.0350615384615387</v>
      </c>
      <c r="AW15" s="56" t="s">
        <v>155</v>
      </c>
      <c r="AX15" s="56">
        <f t="shared" si="19"/>
        <v>0</v>
      </c>
    </row>
    <row r="16" spans="1:52" ht="15" customHeight="1" x14ac:dyDescent="0.45">
      <c r="A16" s="73"/>
      <c r="B16" s="90"/>
      <c r="C16" s="105">
        <v>4</v>
      </c>
      <c r="D16" s="74" t="s">
        <v>163</v>
      </c>
      <c r="E16" s="76" t="s">
        <v>164</v>
      </c>
      <c r="F16" s="77" t="s">
        <v>165</v>
      </c>
      <c r="G16" s="93">
        <v>0.08</v>
      </c>
      <c r="H16" s="94">
        <f t="shared" si="7"/>
        <v>14.46</v>
      </c>
      <c r="I16" s="94"/>
      <c r="J16" s="94"/>
      <c r="K16" s="95">
        <f t="shared" si="1"/>
        <v>0.08</v>
      </c>
      <c r="L16" s="96">
        <f t="shared" si="1"/>
        <v>14.46</v>
      </c>
      <c r="M16" s="97">
        <v>0.01</v>
      </c>
      <c r="N16" s="492">
        <f t="shared" si="8"/>
        <v>0.22756153846153843</v>
      </c>
      <c r="O16" s="492"/>
      <c r="P16" s="492">
        <f t="shared" si="9"/>
        <v>0</v>
      </c>
      <c r="Q16" s="492"/>
      <c r="R16" s="492">
        <f t="shared" si="9"/>
        <v>0</v>
      </c>
      <c r="S16" s="112"/>
      <c r="T16" s="112">
        <f t="shared" si="10"/>
        <v>0</v>
      </c>
      <c r="U16" s="112"/>
      <c r="V16" s="112">
        <f t="shared" si="10"/>
        <v>0</v>
      </c>
      <c r="W16" s="112"/>
      <c r="X16" s="112">
        <f t="shared" si="11"/>
        <v>0</v>
      </c>
      <c r="Y16" s="112"/>
      <c r="Z16" s="112">
        <f t="shared" si="11"/>
        <v>0</v>
      </c>
      <c r="AA16" s="112"/>
      <c r="AB16" s="112">
        <f t="shared" si="12"/>
        <v>0</v>
      </c>
      <c r="AC16" s="506">
        <f t="shared" si="2"/>
        <v>0.01</v>
      </c>
      <c r="AD16" s="507">
        <f t="shared" si="2"/>
        <v>0.22756153846153843</v>
      </c>
      <c r="AE16" s="111"/>
      <c r="AF16" s="112">
        <f t="shared" si="13"/>
        <v>0</v>
      </c>
      <c r="AG16" s="112"/>
      <c r="AH16" s="112">
        <f t="shared" si="14"/>
        <v>0</v>
      </c>
      <c r="AI16" s="112"/>
      <c r="AJ16" s="112">
        <f t="shared" si="15"/>
        <v>0</v>
      </c>
      <c r="AK16" s="492"/>
      <c r="AL16" s="492">
        <f t="shared" si="16"/>
        <v>0</v>
      </c>
      <c r="AM16" s="492"/>
      <c r="AN16" s="492">
        <f t="shared" si="17"/>
        <v>0</v>
      </c>
      <c r="AO16" s="99">
        <f t="shared" si="3"/>
        <v>0</v>
      </c>
      <c r="AP16" s="505">
        <f t="shared" si="3"/>
        <v>0</v>
      </c>
      <c r="AQ16" s="97"/>
      <c r="AR16" s="492"/>
      <c r="AS16" s="99">
        <f t="shared" si="18"/>
        <v>0</v>
      </c>
      <c r="AT16" s="102">
        <f t="shared" si="4"/>
        <v>0</v>
      </c>
      <c r="AU16" s="103">
        <f t="shared" si="5"/>
        <v>0.09</v>
      </c>
      <c r="AV16" s="104">
        <f t="shared" si="6"/>
        <v>14.687561538461539</v>
      </c>
      <c r="AW16" s="56" t="s">
        <v>155</v>
      </c>
      <c r="AX16" s="56">
        <f t="shared" si="19"/>
        <v>0</v>
      </c>
    </row>
    <row r="17" spans="1:50" ht="15" customHeight="1" x14ac:dyDescent="0.45">
      <c r="A17" s="73"/>
      <c r="B17" s="90"/>
      <c r="C17" s="105">
        <v>5</v>
      </c>
      <c r="D17" s="74" t="s">
        <v>166</v>
      </c>
      <c r="E17" s="76"/>
      <c r="F17" s="77" t="s">
        <v>162</v>
      </c>
      <c r="G17" s="93">
        <v>0.01</v>
      </c>
      <c r="H17" s="94">
        <f t="shared" si="7"/>
        <v>1.8075000000000001</v>
      </c>
      <c r="I17" s="94"/>
      <c r="J17" s="94"/>
      <c r="K17" s="95">
        <f t="shared" si="1"/>
        <v>0.01</v>
      </c>
      <c r="L17" s="96">
        <f t="shared" si="1"/>
        <v>1.8075000000000001</v>
      </c>
      <c r="M17" s="97">
        <v>0.01</v>
      </c>
      <c r="N17" s="492">
        <f t="shared" si="8"/>
        <v>0.22756153846153843</v>
      </c>
      <c r="O17" s="492"/>
      <c r="P17" s="492">
        <f t="shared" si="9"/>
        <v>0</v>
      </c>
      <c r="Q17" s="492"/>
      <c r="R17" s="492">
        <f t="shared" si="9"/>
        <v>0</v>
      </c>
      <c r="S17" s="112"/>
      <c r="T17" s="112">
        <f t="shared" si="10"/>
        <v>0</v>
      </c>
      <c r="U17" s="112"/>
      <c r="V17" s="112">
        <f t="shared" si="10"/>
        <v>0</v>
      </c>
      <c r="W17" s="112"/>
      <c r="X17" s="112">
        <f t="shared" si="11"/>
        <v>0</v>
      </c>
      <c r="Y17" s="112"/>
      <c r="Z17" s="112">
        <f t="shared" si="11"/>
        <v>0</v>
      </c>
      <c r="AA17" s="112"/>
      <c r="AB17" s="112">
        <f t="shared" si="12"/>
        <v>0</v>
      </c>
      <c r="AC17" s="506">
        <f t="shared" si="2"/>
        <v>0.01</v>
      </c>
      <c r="AD17" s="507">
        <f t="shared" si="2"/>
        <v>0.22756153846153843</v>
      </c>
      <c r="AE17" s="111"/>
      <c r="AF17" s="112">
        <f t="shared" si="13"/>
        <v>0</v>
      </c>
      <c r="AG17" s="112"/>
      <c r="AH17" s="112">
        <f t="shared" si="14"/>
        <v>0</v>
      </c>
      <c r="AI17" s="112"/>
      <c r="AJ17" s="112">
        <f t="shared" si="15"/>
        <v>0</v>
      </c>
      <c r="AK17" s="492"/>
      <c r="AL17" s="492">
        <f t="shared" si="16"/>
        <v>0</v>
      </c>
      <c r="AM17" s="492"/>
      <c r="AN17" s="492">
        <f t="shared" si="17"/>
        <v>0</v>
      </c>
      <c r="AO17" s="99">
        <f t="shared" si="3"/>
        <v>0</v>
      </c>
      <c r="AP17" s="505">
        <f t="shared" si="3"/>
        <v>0</v>
      </c>
      <c r="AQ17" s="97"/>
      <c r="AR17" s="492"/>
      <c r="AS17" s="99">
        <f t="shared" si="18"/>
        <v>0</v>
      </c>
      <c r="AT17" s="102">
        <f t="shared" si="4"/>
        <v>0</v>
      </c>
      <c r="AU17" s="103">
        <f t="shared" si="5"/>
        <v>0.02</v>
      </c>
      <c r="AV17" s="104">
        <f t="shared" si="6"/>
        <v>2.0350615384615387</v>
      </c>
      <c r="AW17" s="56" t="s">
        <v>155</v>
      </c>
      <c r="AX17" s="56">
        <f t="shared" si="19"/>
        <v>0</v>
      </c>
    </row>
    <row r="18" spans="1:50" ht="15" customHeight="1" x14ac:dyDescent="0.45">
      <c r="A18" s="73"/>
      <c r="B18" s="90"/>
      <c r="C18" s="91">
        <v>6</v>
      </c>
      <c r="D18" s="74" t="s">
        <v>167</v>
      </c>
      <c r="E18" s="76"/>
      <c r="F18" s="77" t="s">
        <v>162</v>
      </c>
      <c r="G18" s="93">
        <v>0.01</v>
      </c>
      <c r="H18" s="94">
        <f t="shared" si="7"/>
        <v>1.8075000000000001</v>
      </c>
      <c r="I18" s="94"/>
      <c r="J18" s="94"/>
      <c r="K18" s="95">
        <f t="shared" si="1"/>
        <v>0.01</v>
      </c>
      <c r="L18" s="96">
        <f t="shared" si="1"/>
        <v>1.8075000000000001</v>
      </c>
      <c r="M18" s="97">
        <v>0.01</v>
      </c>
      <c r="N18" s="492">
        <f t="shared" si="8"/>
        <v>0.22756153846153843</v>
      </c>
      <c r="O18" s="492"/>
      <c r="P18" s="492">
        <f t="shared" si="9"/>
        <v>0</v>
      </c>
      <c r="Q18" s="492"/>
      <c r="R18" s="492">
        <f t="shared" si="9"/>
        <v>0</v>
      </c>
      <c r="S18" s="112"/>
      <c r="T18" s="112">
        <f t="shared" si="10"/>
        <v>0</v>
      </c>
      <c r="U18" s="112"/>
      <c r="V18" s="112">
        <f t="shared" si="10"/>
        <v>0</v>
      </c>
      <c r="W18" s="112"/>
      <c r="X18" s="112">
        <f t="shared" si="11"/>
        <v>0</v>
      </c>
      <c r="Y18" s="112"/>
      <c r="Z18" s="112">
        <f t="shared" si="11"/>
        <v>0</v>
      </c>
      <c r="AA18" s="112"/>
      <c r="AB18" s="112">
        <f t="shared" si="12"/>
        <v>0</v>
      </c>
      <c r="AC18" s="506">
        <f t="shared" si="2"/>
        <v>0.01</v>
      </c>
      <c r="AD18" s="507">
        <f t="shared" si="2"/>
        <v>0.22756153846153843</v>
      </c>
      <c r="AE18" s="111"/>
      <c r="AF18" s="112">
        <f t="shared" si="13"/>
        <v>0</v>
      </c>
      <c r="AG18" s="112"/>
      <c r="AH18" s="112">
        <f t="shared" si="14"/>
        <v>0</v>
      </c>
      <c r="AI18" s="112"/>
      <c r="AJ18" s="112">
        <f t="shared" si="15"/>
        <v>0</v>
      </c>
      <c r="AK18" s="492"/>
      <c r="AL18" s="492">
        <f t="shared" si="16"/>
        <v>0</v>
      </c>
      <c r="AM18" s="492"/>
      <c r="AN18" s="492">
        <f t="shared" si="17"/>
        <v>0</v>
      </c>
      <c r="AO18" s="99">
        <f t="shared" si="3"/>
        <v>0</v>
      </c>
      <c r="AP18" s="505">
        <f t="shared" si="3"/>
        <v>0</v>
      </c>
      <c r="AQ18" s="97"/>
      <c r="AR18" s="492"/>
      <c r="AS18" s="99">
        <f t="shared" si="18"/>
        <v>0</v>
      </c>
      <c r="AT18" s="102">
        <f t="shared" si="4"/>
        <v>0</v>
      </c>
      <c r="AU18" s="103">
        <f t="shared" si="5"/>
        <v>0.02</v>
      </c>
      <c r="AV18" s="104">
        <f t="shared" si="6"/>
        <v>2.0350615384615387</v>
      </c>
      <c r="AW18" s="56" t="s">
        <v>155</v>
      </c>
      <c r="AX18" s="56">
        <f t="shared" si="19"/>
        <v>0</v>
      </c>
    </row>
    <row r="19" spans="1:50" ht="15" customHeight="1" x14ac:dyDescent="0.45">
      <c r="A19" s="73"/>
      <c r="B19" s="90"/>
      <c r="C19" s="75">
        <v>7</v>
      </c>
      <c r="D19" s="74" t="s">
        <v>168</v>
      </c>
      <c r="E19" s="76"/>
      <c r="F19" s="77" t="s">
        <v>162</v>
      </c>
      <c r="G19" s="93">
        <v>0.01</v>
      </c>
      <c r="H19" s="94">
        <f t="shared" si="7"/>
        <v>1.8075000000000001</v>
      </c>
      <c r="I19" s="94"/>
      <c r="J19" s="94"/>
      <c r="K19" s="95">
        <f t="shared" si="1"/>
        <v>0.01</v>
      </c>
      <c r="L19" s="96">
        <f t="shared" si="1"/>
        <v>1.8075000000000001</v>
      </c>
      <c r="M19" s="97">
        <v>0.01</v>
      </c>
      <c r="N19" s="492">
        <f t="shared" si="8"/>
        <v>0.22756153846153843</v>
      </c>
      <c r="O19" s="492"/>
      <c r="P19" s="492">
        <f t="shared" si="9"/>
        <v>0</v>
      </c>
      <c r="Q19" s="492"/>
      <c r="R19" s="492">
        <f t="shared" si="9"/>
        <v>0</v>
      </c>
      <c r="S19" s="112"/>
      <c r="T19" s="112">
        <f t="shared" si="10"/>
        <v>0</v>
      </c>
      <c r="U19" s="112"/>
      <c r="V19" s="112">
        <f t="shared" si="10"/>
        <v>0</v>
      </c>
      <c r="W19" s="112"/>
      <c r="X19" s="112">
        <f t="shared" si="11"/>
        <v>0</v>
      </c>
      <c r="Y19" s="112"/>
      <c r="Z19" s="112">
        <f t="shared" si="11"/>
        <v>0</v>
      </c>
      <c r="AA19" s="112"/>
      <c r="AB19" s="112">
        <f t="shared" si="12"/>
        <v>0</v>
      </c>
      <c r="AC19" s="506">
        <f t="shared" si="2"/>
        <v>0.01</v>
      </c>
      <c r="AD19" s="507">
        <f t="shared" si="2"/>
        <v>0.22756153846153843</v>
      </c>
      <c r="AE19" s="111"/>
      <c r="AF19" s="112">
        <f t="shared" si="13"/>
        <v>0</v>
      </c>
      <c r="AG19" s="112"/>
      <c r="AH19" s="112">
        <f t="shared" si="14"/>
        <v>0</v>
      </c>
      <c r="AI19" s="112"/>
      <c r="AJ19" s="112">
        <f t="shared" si="15"/>
        <v>0</v>
      </c>
      <c r="AK19" s="492"/>
      <c r="AL19" s="492">
        <f t="shared" si="16"/>
        <v>0</v>
      </c>
      <c r="AM19" s="492"/>
      <c r="AN19" s="492">
        <f t="shared" si="17"/>
        <v>0</v>
      </c>
      <c r="AO19" s="99">
        <f t="shared" si="3"/>
        <v>0</v>
      </c>
      <c r="AP19" s="505">
        <f t="shared" si="3"/>
        <v>0</v>
      </c>
      <c r="AQ19" s="97"/>
      <c r="AR19" s="492"/>
      <c r="AS19" s="99">
        <f t="shared" si="18"/>
        <v>0</v>
      </c>
      <c r="AT19" s="102">
        <f t="shared" si="4"/>
        <v>0</v>
      </c>
      <c r="AU19" s="103">
        <f t="shared" si="5"/>
        <v>0.02</v>
      </c>
      <c r="AV19" s="104">
        <f t="shared" si="6"/>
        <v>2.0350615384615387</v>
      </c>
      <c r="AW19" s="56" t="s">
        <v>155</v>
      </c>
      <c r="AX19" s="56">
        <f t="shared" si="19"/>
        <v>0</v>
      </c>
    </row>
    <row r="20" spans="1:50" ht="15" customHeight="1" x14ac:dyDescent="0.45">
      <c r="A20" s="73"/>
      <c r="B20" s="106" t="s">
        <v>169</v>
      </c>
      <c r="C20" s="107">
        <v>8</v>
      </c>
      <c r="D20" s="108" t="s">
        <v>170</v>
      </c>
      <c r="E20" s="109" t="s">
        <v>171</v>
      </c>
      <c r="F20" s="110" t="s">
        <v>162</v>
      </c>
      <c r="G20" s="93"/>
      <c r="H20" s="94">
        <f t="shared" si="7"/>
        <v>0</v>
      </c>
      <c r="I20" s="94"/>
      <c r="J20" s="94"/>
      <c r="K20" s="95">
        <f t="shared" si="1"/>
        <v>0</v>
      </c>
      <c r="L20" s="96">
        <f t="shared" si="1"/>
        <v>0</v>
      </c>
      <c r="M20" s="111">
        <v>0.01</v>
      </c>
      <c r="N20" s="112">
        <f t="shared" si="8"/>
        <v>0.22756153846153843</v>
      </c>
      <c r="O20" s="112"/>
      <c r="P20" s="112">
        <f t="shared" si="9"/>
        <v>0</v>
      </c>
      <c r="Q20" s="112"/>
      <c r="R20" s="112">
        <f t="shared" si="9"/>
        <v>0</v>
      </c>
      <c r="S20" s="112"/>
      <c r="T20" s="112">
        <f t="shared" si="10"/>
        <v>0</v>
      </c>
      <c r="U20" s="112"/>
      <c r="V20" s="112">
        <f t="shared" si="10"/>
        <v>0</v>
      </c>
      <c r="W20" s="112"/>
      <c r="X20" s="112">
        <f t="shared" si="11"/>
        <v>0</v>
      </c>
      <c r="Y20" s="112">
        <v>0.01</v>
      </c>
      <c r="Z20" s="112">
        <f t="shared" si="11"/>
        <v>0.22756153846153843</v>
      </c>
      <c r="AA20" s="112"/>
      <c r="AB20" s="112">
        <f t="shared" si="12"/>
        <v>0</v>
      </c>
      <c r="AC20" s="506">
        <f t="shared" si="2"/>
        <v>0.02</v>
      </c>
      <c r="AD20" s="507">
        <f t="shared" si="2"/>
        <v>0.45512307692307685</v>
      </c>
      <c r="AE20" s="111"/>
      <c r="AF20" s="112">
        <f t="shared" si="13"/>
        <v>0</v>
      </c>
      <c r="AG20" s="112"/>
      <c r="AH20" s="112">
        <f t="shared" si="14"/>
        <v>0</v>
      </c>
      <c r="AI20" s="112"/>
      <c r="AJ20" s="112">
        <f t="shared" si="15"/>
        <v>0</v>
      </c>
      <c r="AK20" s="112"/>
      <c r="AL20" s="112">
        <f t="shared" si="16"/>
        <v>0</v>
      </c>
      <c r="AM20" s="112"/>
      <c r="AN20" s="112">
        <f t="shared" si="17"/>
        <v>0</v>
      </c>
      <c r="AO20" s="99">
        <f t="shared" si="3"/>
        <v>0</v>
      </c>
      <c r="AP20" s="505">
        <f t="shared" si="3"/>
        <v>0</v>
      </c>
      <c r="AQ20" s="111"/>
      <c r="AR20" s="112"/>
      <c r="AS20" s="99">
        <f t="shared" si="18"/>
        <v>0</v>
      </c>
      <c r="AT20" s="102">
        <f t="shared" si="4"/>
        <v>0</v>
      </c>
      <c r="AU20" s="103">
        <f t="shared" si="5"/>
        <v>0.02</v>
      </c>
      <c r="AV20" s="104">
        <f t="shared" si="6"/>
        <v>0.45512307692307685</v>
      </c>
      <c r="AW20" s="56" t="s">
        <v>155</v>
      </c>
      <c r="AX20" s="56">
        <f t="shared" si="19"/>
        <v>0</v>
      </c>
    </row>
    <row r="21" spans="1:50" ht="15" customHeight="1" x14ac:dyDescent="0.45">
      <c r="A21" s="73"/>
      <c r="B21" s="90" t="s">
        <v>172</v>
      </c>
      <c r="C21" s="107">
        <v>9</v>
      </c>
      <c r="D21" s="108" t="s">
        <v>173</v>
      </c>
      <c r="E21" s="109"/>
      <c r="F21" s="110" t="s">
        <v>162</v>
      </c>
      <c r="G21" s="93">
        <v>0.01</v>
      </c>
      <c r="H21" s="94">
        <f t="shared" si="7"/>
        <v>1.8075000000000001</v>
      </c>
      <c r="I21" s="94"/>
      <c r="J21" s="94"/>
      <c r="K21" s="95">
        <f t="shared" si="1"/>
        <v>0.01</v>
      </c>
      <c r="L21" s="96">
        <f t="shared" si="1"/>
        <v>1.8075000000000001</v>
      </c>
      <c r="M21" s="111">
        <v>0.01</v>
      </c>
      <c r="N21" s="112">
        <f t="shared" si="8"/>
        <v>0.22756153846153843</v>
      </c>
      <c r="O21" s="112"/>
      <c r="P21" s="112">
        <f t="shared" si="9"/>
        <v>0</v>
      </c>
      <c r="Q21" s="112"/>
      <c r="R21" s="112">
        <f t="shared" si="9"/>
        <v>0</v>
      </c>
      <c r="S21" s="112"/>
      <c r="T21" s="112">
        <f t="shared" si="10"/>
        <v>0</v>
      </c>
      <c r="U21" s="112"/>
      <c r="V21" s="112">
        <f t="shared" si="10"/>
        <v>0</v>
      </c>
      <c r="W21" s="112"/>
      <c r="X21" s="112">
        <f t="shared" si="11"/>
        <v>0</v>
      </c>
      <c r="Y21" s="112">
        <v>0.01</v>
      </c>
      <c r="Z21" s="112">
        <f t="shared" si="11"/>
        <v>0.22756153846153843</v>
      </c>
      <c r="AA21" s="112"/>
      <c r="AB21" s="112">
        <f t="shared" si="12"/>
        <v>0</v>
      </c>
      <c r="AC21" s="506">
        <f t="shared" si="2"/>
        <v>0.02</v>
      </c>
      <c r="AD21" s="507">
        <f t="shared" si="2"/>
        <v>0.45512307692307685</v>
      </c>
      <c r="AE21" s="111"/>
      <c r="AF21" s="112">
        <f t="shared" si="13"/>
        <v>0</v>
      </c>
      <c r="AG21" s="112"/>
      <c r="AH21" s="112">
        <f t="shared" si="14"/>
        <v>0</v>
      </c>
      <c r="AI21" s="112"/>
      <c r="AJ21" s="112">
        <f t="shared" si="15"/>
        <v>0</v>
      </c>
      <c r="AK21" s="112"/>
      <c r="AL21" s="112">
        <f t="shared" si="16"/>
        <v>0</v>
      </c>
      <c r="AM21" s="112"/>
      <c r="AN21" s="112">
        <f t="shared" si="17"/>
        <v>0</v>
      </c>
      <c r="AO21" s="99">
        <f t="shared" si="3"/>
        <v>0</v>
      </c>
      <c r="AP21" s="505">
        <f t="shared" si="3"/>
        <v>0</v>
      </c>
      <c r="AQ21" s="111"/>
      <c r="AR21" s="112"/>
      <c r="AS21" s="99">
        <f t="shared" si="18"/>
        <v>0</v>
      </c>
      <c r="AT21" s="102">
        <f t="shared" si="4"/>
        <v>0</v>
      </c>
      <c r="AU21" s="103">
        <f t="shared" si="5"/>
        <v>0.03</v>
      </c>
      <c r="AV21" s="104">
        <f t="shared" si="6"/>
        <v>2.2626230769230768</v>
      </c>
      <c r="AW21" s="56" t="s">
        <v>155</v>
      </c>
      <c r="AX21" s="56">
        <f t="shared" si="19"/>
        <v>0</v>
      </c>
    </row>
    <row r="22" spans="1:50" ht="15" customHeight="1" x14ac:dyDescent="0.45">
      <c r="A22" s="73"/>
      <c r="B22" s="113" t="s">
        <v>174</v>
      </c>
      <c r="C22" s="114">
        <v>10</v>
      </c>
      <c r="D22" s="108" t="s">
        <v>175</v>
      </c>
      <c r="E22" s="109" t="s">
        <v>176</v>
      </c>
      <c r="F22" s="110" t="s">
        <v>177</v>
      </c>
      <c r="G22" s="93">
        <v>0.01</v>
      </c>
      <c r="H22" s="94">
        <f t="shared" si="7"/>
        <v>1.8075000000000001</v>
      </c>
      <c r="I22" s="94"/>
      <c r="J22" s="94"/>
      <c r="K22" s="95">
        <f t="shared" si="1"/>
        <v>0.01</v>
      </c>
      <c r="L22" s="96">
        <f t="shared" si="1"/>
        <v>1.8075000000000001</v>
      </c>
      <c r="M22" s="111">
        <v>0.01</v>
      </c>
      <c r="N22" s="112">
        <f t="shared" si="8"/>
        <v>0.22756153846153843</v>
      </c>
      <c r="O22" s="112"/>
      <c r="P22" s="112">
        <f t="shared" si="9"/>
        <v>0</v>
      </c>
      <c r="Q22" s="112"/>
      <c r="R22" s="112">
        <f t="shared" si="9"/>
        <v>0</v>
      </c>
      <c r="S22" s="112"/>
      <c r="T22" s="112">
        <f t="shared" si="10"/>
        <v>0</v>
      </c>
      <c r="U22" s="112"/>
      <c r="V22" s="112">
        <f t="shared" si="10"/>
        <v>0</v>
      </c>
      <c r="W22" s="112"/>
      <c r="X22" s="112">
        <f t="shared" si="11"/>
        <v>0</v>
      </c>
      <c r="Y22" s="112"/>
      <c r="Z22" s="112">
        <f t="shared" si="11"/>
        <v>0</v>
      </c>
      <c r="AA22" s="112">
        <v>0.01</v>
      </c>
      <c r="AB22" s="112">
        <f t="shared" si="12"/>
        <v>0.22756153846153843</v>
      </c>
      <c r="AC22" s="506">
        <f t="shared" si="2"/>
        <v>0.02</v>
      </c>
      <c r="AD22" s="507">
        <f t="shared" si="2"/>
        <v>0.45512307692307685</v>
      </c>
      <c r="AE22" s="111"/>
      <c r="AF22" s="112">
        <f t="shared" si="13"/>
        <v>0</v>
      </c>
      <c r="AG22" s="112"/>
      <c r="AH22" s="112">
        <f t="shared" si="14"/>
        <v>0</v>
      </c>
      <c r="AI22" s="112"/>
      <c r="AJ22" s="112">
        <f t="shared" si="15"/>
        <v>0</v>
      </c>
      <c r="AK22" s="112"/>
      <c r="AL22" s="112">
        <f t="shared" si="16"/>
        <v>0</v>
      </c>
      <c r="AM22" s="112"/>
      <c r="AN22" s="112">
        <f t="shared" si="17"/>
        <v>0</v>
      </c>
      <c r="AO22" s="99">
        <f t="shared" si="3"/>
        <v>0</v>
      </c>
      <c r="AP22" s="505">
        <f t="shared" si="3"/>
        <v>0</v>
      </c>
      <c r="AQ22" s="111">
        <v>0.5</v>
      </c>
      <c r="AR22" s="112">
        <f>$AR$12/$AQ$12*AQ22</f>
        <v>45.75</v>
      </c>
      <c r="AS22" s="99">
        <f t="shared" si="18"/>
        <v>0.5</v>
      </c>
      <c r="AT22" s="102">
        <f t="shared" si="4"/>
        <v>45.75</v>
      </c>
      <c r="AU22" s="103">
        <f t="shared" si="5"/>
        <v>0.03</v>
      </c>
      <c r="AV22" s="104">
        <f t="shared" si="6"/>
        <v>48.012623076923077</v>
      </c>
      <c r="AW22" s="56" t="s">
        <v>155</v>
      </c>
      <c r="AX22" s="56">
        <f t="shared" si="19"/>
        <v>0</v>
      </c>
    </row>
    <row r="23" spans="1:50" ht="15" customHeight="1" x14ac:dyDescent="0.45">
      <c r="A23" s="73"/>
      <c r="B23" s="90" t="s">
        <v>178</v>
      </c>
      <c r="C23" s="107">
        <v>11</v>
      </c>
      <c r="D23" s="108" t="s">
        <v>179</v>
      </c>
      <c r="E23" s="109" t="s">
        <v>180</v>
      </c>
      <c r="F23" s="110" t="s">
        <v>162</v>
      </c>
      <c r="G23" s="93">
        <v>0.05</v>
      </c>
      <c r="H23" s="94">
        <f t="shared" si="7"/>
        <v>9.0374999999999996</v>
      </c>
      <c r="I23" s="94"/>
      <c r="J23" s="94"/>
      <c r="K23" s="95">
        <f t="shared" si="1"/>
        <v>0.05</v>
      </c>
      <c r="L23" s="96">
        <f t="shared" si="1"/>
        <v>9.0374999999999996</v>
      </c>
      <c r="M23" s="111">
        <v>0.01</v>
      </c>
      <c r="N23" s="112">
        <f t="shared" si="8"/>
        <v>0.22756153846153843</v>
      </c>
      <c r="O23" s="112"/>
      <c r="P23" s="112">
        <f t="shared" si="9"/>
        <v>0</v>
      </c>
      <c r="Q23" s="112"/>
      <c r="R23" s="112">
        <f t="shared" si="9"/>
        <v>0</v>
      </c>
      <c r="S23" s="112"/>
      <c r="T23" s="112">
        <f t="shared" si="10"/>
        <v>0</v>
      </c>
      <c r="U23" s="112"/>
      <c r="V23" s="112">
        <f t="shared" si="10"/>
        <v>0</v>
      </c>
      <c r="W23" s="112"/>
      <c r="X23" s="112">
        <f t="shared" si="11"/>
        <v>0</v>
      </c>
      <c r="Y23" s="112"/>
      <c r="Z23" s="112">
        <f t="shared" si="11"/>
        <v>0</v>
      </c>
      <c r="AA23" s="112"/>
      <c r="AB23" s="112">
        <f t="shared" si="12"/>
        <v>0</v>
      </c>
      <c r="AC23" s="506">
        <f t="shared" si="2"/>
        <v>0.01</v>
      </c>
      <c r="AD23" s="507">
        <f t="shared" si="2"/>
        <v>0.22756153846153843</v>
      </c>
      <c r="AE23" s="111"/>
      <c r="AF23" s="112">
        <f t="shared" si="13"/>
        <v>0</v>
      </c>
      <c r="AG23" s="112">
        <v>0.05</v>
      </c>
      <c r="AH23" s="112">
        <f t="shared" si="14"/>
        <v>1.1378076923076923</v>
      </c>
      <c r="AI23" s="112">
        <v>0.02</v>
      </c>
      <c r="AJ23" s="112">
        <f t="shared" si="15"/>
        <v>0.45512307692307685</v>
      </c>
      <c r="AK23" s="112">
        <v>0.03</v>
      </c>
      <c r="AL23" s="112">
        <f t="shared" si="16"/>
        <v>0.68268461538461522</v>
      </c>
      <c r="AM23" s="112">
        <v>0.02</v>
      </c>
      <c r="AN23" s="112">
        <f t="shared" si="17"/>
        <v>0.45512307692307685</v>
      </c>
      <c r="AO23" s="99">
        <f t="shared" si="3"/>
        <v>0.12000000000000001</v>
      </c>
      <c r="AP23" s="505">
        <f t="shared" si="3"/>
        <v>2.7307384615384609</v>
      </c>
      <c r="AQ23" s="111">
        <v>0.5</v>
      </c>
      <c r="AR23" s="112">
        <f>$AR$12/$AQ$12*AQ23</f>
        <v>45.75</v>
      </c>
      <c r="AS23" s="99">
        <f t="shared" si="18"/>
        <v>0.5</v>
      </c>
      <c r="AT23" s="102">
        <f t="shared" si="4"/>
        <v>45.75</v>
      </c>
      <c r="AU23" s="103">
        <f t="shared" si="5"/>
        <v>0.18000000000000002</v>
      </c>
      <c r="AV23" s="104">
        <f t="shared" si="6"/>
        <v>57.745800000000003</v>
      </c>
      <c r="AW23" s="56" t="s">
        <v>155</v>
      </c>
      <c r="AX23" s="56">
        <f t="shared" si="19"/>
        <v>0</v>
      </c>
    </row>
    <row r="24" spans="1:50" ht="15" customHeight="1" thickBot="1" x14ac:dyDescent="0.5">
      <c r="A24" s="73"/>
      <c r="B24" s="90"/>
      <c r="C24" s="107">
        <v>12</v>
      </c>
      <c r="D24" s="115" t="s">
        <v>181</v>
      </c>
      <c r="E24" s="116" t="s">
        <v>182</v>
      </c>
      <c r="F24" s="117" t="s">
        <v>177</v>
      </c>
      <c r="G24" s="118">
        <v>0.05</v>
      </c>
      <c r="H24" s="119">
        <f t="shared" si="7"/>
        <v>9.0374999999999996</v>
      </c>
      <c r="I24" s="119"/>
      <c r="J24" s="119"/>
      <c r="K24" s="120">
        <f t="shared" si="1"/>
        <v>0.05</v>
      </c>
      <c r="L24" s="121">
        <f t="shared" si="1"/>
        <v>9.0374999999999996</v>
      </c>
      <c r="M24" s="122">
        <v>0.01</v>
      </c>
      <c r="N24" s="123">
        <f t="shared" si="8"/>
        <v>0.22756153846153843</v>
      </c>
      <c r="O24" s="123"/>
      <c r="P24" s="123">
        <f t="shared" si="9"/>
        <v>0</v>
      </c>
      <c r="Q24" s="123"/>
      <c r="R24" s="123">
        <f t="shared" si="9"/>
        <v>0</v>
      </c>
      <c r="S24" s="123"/>
      <c r="T24" s="123">
        <f t="shared" si="10"/>
        <v>0</v>
      </c>
      <c r="U24" s="123"/>
      <c r="V24" s="123">
        <f t="shared" si="10"/>
        <v>0</v>
      </c>
      <c r="W24" s="123"/>
      <c r="X24" s="123">
        <f t="shared" si="11"/>
        <v>0</v>
      </c>
      <c r="Y24" s="123"/>
      <c r="Z24" s="123">
        <f t="shared" si="11"/>
        <v>0</v>
      </c>
      <c r="AA24" s="123"/>
      <c r="AB24" s="123">
        <f t="shared" si="12"/>
        <v>0</v>
      </c>
      <c r="AC24" s="508">
        <f t="shared" si="2"/>
        <v>0.01</v>
      </c>
      <c r="AD24" s="509">
        <f t="shared" si="2"/>
        <v>0.22756153846153843</v>
      </c>
      <c r="AE24" s="122"/>
      <c r="AF24" s="123">
        <f t="shared" si="13"/>
        <v>0</v>
      </c>
      <c r="AG24" s="123"/>
      <c r="AH24" s="123">
        <f t="shared" si="14"/>
        <v>0</v>
      </c>
      <c r="AI24" s="123"/>
      <c r="AJ24" s="123">
        <f t="shared" si="15"/>
        <v>0</v>
      </c>
      <c r="AK24" s="123"/>
      <c r="AL24" s="123">
        <f t="shared" si="16"/>
        <v>0</v>
      </c>
      <c r="AM24" s="123"/>
      <c r="AN24" s="123">
        <f t="shared" si="17"/>
        <v>0</v>
      </c>
      <c r="AO24" s="124">
        <f t="shared" si="3"/>
        <v>0</v>
      </c>
      <c r="AP24" s="510">
        <f t="shared" si="3"/>
        <v>0</v>
      </c>
      <c r="AQ24" s="122"/>
      <c r="AR24" s="123"/>
      <c r="AS24" s="124">
        <f t="shared" si="18"/>
        <v>0</v>
      </c>
      <c r="AT24" s="127">
        <f t="shared" si="4"/>
        <v>0</v>
      </c>
      <c r="AU24" s="128">
        <f t="shared" si="5"/>
        <v>6.0000000000000005E-2</v>
      </c>
      <c r="AV24" s="129">
        <f t="shared" si="6"/>
        <v>9.2650615384615378</v>
      </c>
      <c r="AW24" s="130" t="s">
        <v>155</v>
      </c>
      <c r="AX24" s="56">
        <f t="shared" si="19"/>
        <v>0</v>
      </c>
    </row>
    <row r="25" spans="1:50" ht="15" customHeight="1" thickTop="1" x14ac:dyDescent="0.45">
      <c r="A25" s="131" t="s">
        <v>183</v>
      </c>
      <c r="B25" s="132" t="s">
        <v>184</v>
      </c>
      <c r="C25" s="133">
        <v>13</v>
      </c>
      <c r="D25" s="134" t="s">
        <v>185</v>
      </c>
      <c r="E25" s="135" t="s">
        <v>186</v>
      </c>
      <c r="F25" s="136" t="s">
        <v>187</v>
      </c>
      <c r="G25" s="137"/>
      <c r="H25" s="138">
        <f t="shared" si="7"/>
        <v>0</v>
      </c>
      <c r="I25" s="138"/>
      <c r="J25" s="138"/>
      <c r="K25" s="139">
        <f t="shared" si="1"/>
        <v>0</v>
      </c>
      <c r="L25" s="140">
        <f t="shared" si="1"/>
        <v>0</v>
      </c>
      <c r="M25" s="141"/>
      <c r="N25" s="142">
        <f t="shared" si="8"/>
        <v>0</v>
      </c>
      <c r="O25" s="142"/>
      <c r="P25" s="142">
        <f t="shared" si="9"/>
        <v>0</v>
      </c>
      <c r="Q25" s="142"/>
      <c r="R25" s="142">
        <f t="shared" si="9"/>
        <v>0</v>
      </c>
      <c r="S25" s="142"/>
      <c r="T25" s="142">
        <f t="shared" si="10"/>
        <v>0</v>
      </c>
      <c r="U25" s="142"/>
      <c r="V25" s="142">
        <f t="shared" si="10"/>
        <v>0</v>
      </c>
      <c r="W25" s="142"/>
      <c r="X25" s="142">
        <f t="shared" si="11"/>
        <v>0</v>
      </c>
      <c r="Y25" s="142"/>
      <c r="Z25" s="142">
        <f t="shared" si="11"/>
        <v>0</v>
      </c>
      <c r="AA25" s="142">
        <v>0.02</v>
      </c>
      <c r="AB25" s="142">
        <f t="shared" si="12"/>
        <v>0.45512307692307685</v>
      </c>
      <c r="AC25" s="511">
        <f t="shared" si="2"/>
        <v>0.02</v>
      </c>
      <c r="AD25" s="512">
        <f t="shared" si="2"/>
        <v>0.45512307692307685</v>
      </c>
      <c r="AE25" s="141"/>
      <c r="AF25" s="142">
        <f t="shared" si="13"/>
        <v>0</v>
      </c>
      <c r="AG25" s="142"/>
      <c r="AH25" s="142">
        <f t="shared" si="14"/>
        <v>0</v>
      </c>
      <c r="AI25" s="142"/>
      <c r="AJ25" s="142">
        <f t="shared" si="15"/>
        <v>0</v>
      </c>
      <c r="AK25" s="142"/>
      <c r="AL25" s="142">
        <f t="shared" si="16"/>
        <v>0</v>
      </c>
      <c r="AM25" s="142"/>
      <c r="AN25" s="142">
        <f t="shared" si="17"/>
        <v>0</v>
      </c>
      <c r="AO25" s="143">
        <f t="shared" si="3"/>
        <v>0</v>
      </c>
      <c r="AP25" s="513">
        <f t="shared" si="3"/>
        <v>0</v>
      </c>
      <c r="AQ25" s="141"/>
      <c r="AR25" s="142"/>
      <c r="AS25" s="143">
        <f t="shared" si="18"/>
        <v>0</v>
      </c>
      <c r="AT25" s="146">
        <f t="shared" si="4"/>
        <v>0</v>
      </c>
      <c r="AU25" s="147">
        <f t="shared" si="5"/>
        <v>0.02</v>
      </c>
      <c r="AV25" s="148">
        <f t="shared" si="6"/>
        <v>0.45512307692307685</v>
      </c>
      <c r="AW25" s="149" t="s">
        <v>156</v>
      </c>
      <c r="AX25" s="56">
        <f t="shared" si="19"/>
        <v>0.45512307692307685</v>
      </c>
    </row>
    <row r="26" spans="1:50" ht="15" customHeight="1" x14ac:dyDescent="0.45">
      <c r="A26" s="73"/>
      <c r="B26" s="90"/>
      <c r="C26" s="114">
        <v>14</v>
      </c>
      <c r="D26" s="108" t="s">
        <v>188</v>
      </c>
      <c r="E26" s="109" t="s">
        <v>189</v>
      </c>
      <c r="F26" s="110" t="s">
        <v>187</v>
      </c>
      <c r="G26" s="93"/>
      <c r="H26" s="94">
        <f t="shared" si="7"/>
        <v>0</v>
      </c>
      <c r="I26" s="94"/>
      <c r="J26" s="94"/>
      <c r="K26" s="95">
        <f t="shared" si="1"/>
        <v>0</v>
      </c>
      <c r="L26" s="96">
        <f t="shared" si="1"/>
        <v>0</v>
      </c>
      <c r="M26" s="111"/>
      <c r="N26" s="112">
        <f t="shared" si="8"/>
        <v>0</v>
      </c>
      <c r="O26" s="112"/>
      <c r="P26" s="112">
        <f t="shared" si="9"/>
        <v>0</v>
      </c>
      <c r="Q26" s="112"/>
      <c r="R26" s="112">
        <f t="shared" si="9"/>
        <v>0</v>
      </c>
      <c r="S26" s="112"/>
      <c r="T26" s="112">
        <f t="shared" si="10"/>
        <v>0</v>
      </c>
      <c r="U26" s="112"/>
      <c r="V26" s="112">
        <f t="shared" si="10"/>
        <v>0</v>
      </c>
      <c r="W26" s="112"/>
      <c r="X26" s="112">
        <f t="shared" si="11"/>
        <v>0</v>
      </c>
      <c r="Y26" s="112"/>
      <c r="Z26" s="112">
        <f t="shared" si="11"/>
        <v>0</v>
      </c>
      <c r="AA26" s="112">
        <v>0.01</v>
      </c>
      <c r="AB26" s="112">
        <f t="shared" si="12"/>
        <v>0.22756153846153843</v>
      </c>
      <c r="AC26" s="506">
        <f t="shared" si="2"/>
        <v>0.01</v>
      </c>
      <c r="AD26" s="507">
        <f t="shared" si="2"/>
        <v>0.22756153846153843</v>
      </c>
      <c r="AE26" s="111"/>
      <c r="AF26" s="112">
        <f t="shared" si="13"/>
        <v>0</v>
      </c>
      <c r="AG26" s="112"/>
      <c r="AH26" s="112">
        <f t="shared" si="14"/>
        <v>0</v>
      </c>
      <c r="AI26" s="112"/>
      <c r="AJ26" s="112">
        <f t="shared" si="15"/>
        <v>0</v>
      </c>
      <c r="AK26" s="112"/>
      <c r="AL26" s="112">
        <f t="shared" si="16"/>
        <v>0</v>
      </c>
      <c r="AM26" s="112"/>
      <c r="AN26" s="112">
        <f t="shared" si="17"/>
        <v>0</v>
      </c>
      <c r="AO26" s="99">
        <f t="shared" si="3"/>
        <v>0</v>
      </c>
      <c r="AP26" s="505">
        <f t="shared" si="3"/>
        <v>0</v>
      </c>
      <c r="AQ26" s="111"/>
      <c r="AR26" s="112"/>
      <c r="AS26" s="99">
        <f t="shared" si="18"/>
        <v>0</v>
      </c>
      <c r="AT26" s="102">
        <f t="shared" si="4"/>
        <v>0</v>
      </c>
      <c r="AU26" s="103">
        <f t="shared" si="5"/>
        <v>0.01</v>
      </c>
      <c r="AV26" s="104">
        <f t="shared" si="6"/>
        <v>0.22756153846153843</v>
      </c>
      <c r="AW26" s="56" t="s">
        <v>190</v>
      </c>
      <c r="AX26" s="56">
        <f t="shared" si="19"/>
        <v>0.22756153846153843</v>
      </c>
    </row>
    <row r="27" spans="1:50" ht="15" customHeight="1" x14ac:dyDescent="0.45">
      <c r="A27" s="73"/>
      <c r="B27" s="90"/>
      <c r="C27" s="107">
        <v>15</v>
      </c>
      <c r="D27" s="108" t="s">
        <v>191</v>
      </c>
      <c r="E27" s="109" t="s">
        <v>192</v>
      </c>
      <c r="F27" s="110" t="s">
        <v>162</v>
      </c>
      <c r="G27" s="93"/>
      <c r="H27" s="94">
        <f t="shared" si="7"/>
        <v>0</v>
      </c>
      <c r="I27" s="94"/>
      <c r="J27" s="94"/>
      <c r="K27" s="95">
        <f t="shared" si="1"/>
        <v>0</v>
      </c>
      <c r="L27" s="96">
        <f t="shared" si="1"/>
        <v>0</v>
      </c>
      <c r="M27" s="111"/>
      <c r="N27" s="112">
        <f t="shared" si="8"/>
        <v>0</v>
      </c>
      <c r="O27" s="112"/>
      <c r="P27" s="112">
        <f t="shared" si="9"/>
        <v>0</v>
      </c>
      <c r="Q27" s="112"/>
      <c r="R27" s="112">
        <f t="shared" si="9"/>
        <v>0</v>
      </c>
      <c r="S27" s="112"/>
      <c r="T27" s="112">
        <f t="shared" si="10"/>
        <v>0</v>
      </c>
      <c r="U27" s="112"/>
      <c r="V27" s="112">
        <f t="shared" si="10"/>
        <v>0</v>
      </c>
      <c r="W27" s="112"/>
      <c r="X27" s="112">
        <f t="shared" si="11"/>
        <v>0</v>
      </c>
      <c r="Y27" s="112"/>
      <c r="Z27" s="112">
        <f t="shared" si="11"/>
        <v>0</v>
      </c>
      <c r="AA27" s="112">
        <v>0.01</v>
      </c>
      <c r="AB27" s="112">
        <f t="shared" si="12"/>
        <v>0.22756153846153843</v>
      </c>
      <c r="AC27" s="506">
        <f t="shared" si="2"/>
        <v>0.01</v>
      </c>
      <c r="AD27" s="507">
        <f t="shared" si="2"/>
        <v>0.22756153846153843</v>
      </c>
      <c r="AE27" s="111"/>
      <c r="AF27" s="112">
        <f t="shared" si="13"/>
        <v>0</v>
      </c>
      <c r="AG27" s="112"/>
      <c r="AH27" s="112">
        <f t="shared" si="14"/>
        <v>0</v>
      </c>
      <c r="AI27" s="112"/>
      <c r="AJ27" s="112">
        <f t="shared" si="15"/>
        <v>0</v>
      </c>
      <c r="AK27" s="112"/>
      <c r="AL27" s="112">
        <f t="shared" si="16"/>
        <v>0</v>
      </c>
      <c r="AM27" s="112"/>
      <c r="AN27" s="112">
        <f t="shared" si="17"/>
        <v>0</v>
      </c>
      <c r="AO27" s="99">
        <f t="shared" si="3"/>
        <v>0</v>
      </c>
      <c r="AP27" s="505">
        <f t="shared" si="3"/>
        <v>0</v>
      </c>
      <c r="AQ27" s="111"/>
      <c r="AR27" s="112"/>
      <c r="AS27" s="99">
        <f t="shared" si="18"/>
        <v>0</v>
      </c>
      <c r="AT27" s="102">
        <f t="shared" si="4"/>
        <v>0</v>
      </c>
      <c r="AU27" s="103">
        <f t="shared" si="5"/>
        <v>0.01</v>
      </c>
      <c r="AV27" s="104">
        <f t="shared" si="6"/>
        <v>0.22756153846153843</v>
      </c>
      <c r="AW27" s="56" t="s">
        <v>190</v>
      </c>
      <c r="AX27" s="56">
        <f t="shared" si="19"/>
        <v>0.22756153846153843</v>
      </c>
    </row>
    <row r="28" spans="1:50" ht="15" customHeight="1" x14ac:dyDescent="0.45">
      <c r="A28" s="73"/>
      <c r="B28" s="90"/>
      <c r="C28" s="114">
        <v>16</v>
      </c>
      <c r="D28" s="108" t="s">
        <v>193</v>
      </c>
      <c r="E28" s="109" t="s">
        <v>194</v>
      </c>
      <c r="F28" s="110" t="s">
        <v>187</v>
      </c>
      <c r="G28" s="93"/>
      <c r="H28" s="94">
        <f t="shared" si="7"/>
        <v>0</v>
      </c>
      <c r="I28" s="94"/>
      <c r="J28" s="94"/>
      <c r="K28" s="95">
        <f t="shared" si="1"/>
        <v>0</v>
      </c>
      <c r="L28" s="96">
        <f t="shared" si="1"/>
        <v>0</v>
      </c>
      <c r="M28" s="111"/>
      <c r="N28" s="112">
        <f t="shared" si="8"/>
        <v>0</v>
      </c>
      <c r="O28" s="112"/>
      <c r="P28" s="112">
        <f t="shared" si="9"/>
        <v>0</v>
      </c>
      <c r="Q28" s="112"/>
      <c r="R28" s="112">
        <f t="shared" si="9"/>
        <v>0</v>
      </c>
      <c r="S28" s="112"/>
      <c r="T28" s="112">
        <f t="shared" si="10"/>
        <v>0</v>
      </c>
      <c r="U28" s="112"/>
      <c r="V28" s="112">
        <f t="shared" si="10"/>
        <v>0</v>
      </c>
      <c r="W28" s="112"/>
      <c r="X28" s="112">
        <f t="shared" si="11"/>
        <v>0</v>
      </c>
      <c r="Y28" s="112"/>
      <c r="Z28" s="112">
        <f t="shared" si="11"/>
        <v>0</v>
      </c>
      <c r="AA28" s="112">
        <v>0.02</v>
      </c>
      <c r="AB28" s="112">
        <f t="shared" si="12"/>
        <v>0.45512307692307685</v>
      </c>
      <c r="AC28" s="506">
        <f t="shared" si="2"/>
        <v>0.02</v>
      </c>
      <c r="AD28" s="507">
        <f t="shared" si="2"/>
        <v>0.45512307692307685</v>
      </c>
      <c r="AE28" s="111"/>
      <c r="AF28" s="112">
        <f t="shared" si="13"/>
        <v>0</v>
      </c>
      <c r="AG28" s="112"/>
      <c r="AH28" s="112">
        <f t="shared" si="14"/>
        <v>0</v>
      </c>
      <c r="AI28" s="112"/>
      <c r="AJ28" s="112">
        <f t="shared" si="15"/>
        <v>0</v>
      </c>
      <c r="AK28" s="112"/>
      <c r="AL28" s="112">
        <f t="shared" si="16"/>
        <v>0</v>
      </c>
      <c r="AM28" s="112"/>
      <c r="AN28" s="112">
        <f t="shared" si="17"/>
        <v>0</v>
      </c>
      <c r="AO28" s="99">
        <f t="shared" si="3"/>
        <v>0</v>
      </c>
      <c r="AP28" s="505">
        <f t="shared" si="3"/>
        <v>0</v>
      </c>
      <c r="AQ28" s="111"/>
      <c r="AR28" s="112"/>
      <c r="AS28" s="99">
        <f t="shared" si="18"/>
        <v>0</v>
      </c>
      <c r="AT28" s="102">
        <f t="shared" si="4"/>
        <v>0</v>
      </c>
      <c r="AU28" s="103">
        <f t="shared" si="5"/>
        <v>0.02</v>
      </c>
      <c r="AV28" s="104">
        <f t="shared" si="6"/>
        <v>0.45512307692307685</v>
      </c>
      <c r="AW28" s="56" t="s">
        <v>155</v>
      </c>
      <c r="AX28" s="56">
        <f t="shared" si="19"/>
        <v>0</v>
      </c>
    </row>
    <row r="29" spans="1:50" ht="15" customHeight="1" thickBot="1" x14ac:dyDescent="0.5">
      <c r="A29" s="150"/>
      <c r="B29" s="151"/>
      <c r="C29" s="152">
        <v>17</v>
      </c>
      <c r="D29" s="153" t="s">
        <v>195</v>
      </c>
      <c r="E29" s="154" t="s">
        <v>196</v>
      </c>
      <c r="F29" s="155" t="s">
        <v>187</v>
      </c>
      <c r="G29" s="156"/>
      <c r="H29" s="157">
        <f t="shared" si="7"/>
        <v>0</v>
      </c>
      <c r="I29" s="157"/>
      <c r="J29" s="157"/>
      <c r="K29" s="158">
        <f t="shared" si="1"/>
        <v>0</v>
      </c>
      <c r="L29" s="159">
        <f t="shared" si="1"/>
        <v>0</v>
      </c>
      <c r="M29" s="160"/>
      <c r="N29" s="161">
        <f t="shared" si="8"/>
        <v>0</v>
      </c>
      <c r="O29" s="161"/>
      <c r="P29" s="161">
        <f t="shared" si="9"/>
        <v>0</v>
      </c>
      <c r="Q29" s="161"/>
      <c r="R29" s="161">
        <f t="shared" si="9"/>
        <v>0</v>
      </c>
      <c r="S29" s="161"/>
      <c r="T29" s="161">
        <f t="shared" si="10"/>
        <v>0</v>
      </c>
      <c r="U29" s="161"/>
      <c r="V29" s="161">
        <f t="shared" si="10"/>
        <v>0</v>
      </c>
      <c r="W29" s="161"/>
      <c r="X29" s="161">
        <f t="shared" si="11"/>
        <v>0</v>
      </c>
      <c r="Y29" s="161"/>
      <c r="Z29" s="161">
        <f t="shared" si="11"/>
        <v>0</v>
      </c>
      <c r="AA29" s="161">
        <v>0.01</v>
      </c>
      <c r="AB29" s="161">
        <f t="shared" si="12"/>
        <v>0.22756153846153843</v>
      </c>
      <c r="AC29" s="514">
        <f t="shared" si="2"/>
        <v>0.01</v>
      </c>
      <c r="AD29" s="515">
        <f t="shared" si="2"/>
        <v>0.22756153846153843</v>
      </c>
      <c r="AE29" s="160"/>
      <c r="AF29" s="161">
        <f t="shared" si="13"/>
        <v>0</v>
      </c>
      <c r="AG29" s="161"/>
      <c r="AH29" s="161">
        <f t="shared" si="14"/>
        <v>0</v>
      </c>
      <c r="AI29" s="161"/>
      <c r="AJ29" s="161">
        <f t="shared" si="15"/>
        <v>0</v>
      </c>
      <c r="AK29" s="161"/>
      <c r="AL29" s="161">
        <f t="shared" si="16"/>
        <v>0</v>
      </c>
      <c r="AM29" s="161"/>
      <c r="AN29" s="161">
        <f t="shared" si="17"/>
        <v>0</v>
      </c>
      <c r="AO29" s="162">
        <f t="shared" si="3"/>
        <v>0</v>
      </c>
      <c r="AP29" s="516">
        <f t="shared" si="3"/>
        <v>0</v>
      </c>
      <c r="AQ29" s="160"/>
      <c r="AR29" s="161"/>
      <c r="AS29" s="162">
        <f t="shared" si="18"/>
        <v>0</v>
      </c>
      <c r="AT29" s="165">
        <f t="shared" si="4"/>
        <v>0</v>
      </c>
      <c r="AU29" s="166">
        <f t="shared" si="5"/>
        <v>0.01</v>
      </c>
      <c r="AV29" s="167">
        <f t="shared" si="6"/>
        <v>0.22756153846153843</v>
      </c>
      <c r="AW29" s="168" t="s">
        <v>190</v>
      </c>
      <c r="AX29" s="56">
        <f t="shared" si="19"/>
        <v>0.22756153846153843</v>
      </c>
    </row>
    <row r="30" spans="1:50" ht="15" customHeight="1" thickTop="1" x14ac:dyDescent="0.45">
      <c r="A30" s="73" t="s">
        <v>197</v>
      </c>
      <c r="B30" s="90" t="s">
        <v>198</v>
      </c>
      <c r="C30" s="114">
        <v>18</v>
      </c>
      <c r="D30" s="108" t="s">
        <v>199</v>
      </c>
      <c r="E30" s="109" t="s">
        <v>200</v>
      </c>
      <c r="F30" s="110" t="s">
        <v>165</v>
      </c>
      <c r="G30" s="78">
        <v>0.02</v>
      </c>
      <c r="H30" s="79">
        <f t="shared" si="7"/>
        <v>3.6150000000000002</v>
      </c>
      <c r="I30" s="79"/>
      <c r="J30" s="79"/>
      <c r="K30" s="80">
        <f t="shared" si="1"/>
        <v>0.02</v>
      </c>
      <c r="L30" s="81">
        <f t="shared" si="1"/>
        <v>3.6150000000000002</v>
      </c>
      <c r="M30" s="169">
        <v>0.05</v>
      </c>
      <c r="N30" s="170">
        <f t="shared" si="8"/>
        <v>1.1378076923076923</v>
      </c>
      <c r="O30" s="170"/>
      <c r="P30" s="170">
        <f t="shared" ref="P30:R45" si="20">P$12/O$12*O30</f>
        <v>0</v>
      </c>
      <c r="Q30" s="170"/>
      <c r="R30" s="170">
        <f t="shared" si="20"/>
        <v>0</v>
      </c>
      <c r="S30" s="170"/>
      <c r="T30" s="170">
        <f t="shared" ref="T30:V45" si="21">T$12/S$12*S30</f>
        <v>0</v>
      </c>
      <c r="U30" s="170"/>
      <c r="V30" s="170">
        <f t="shared" si="21"/>
        <v>0</v>
      </c>
      <c r="W30" s="170"/>
      <c r="X30" s="170">
        <f t="shared" ref="X30:Z45" si="22">X$12/W$12*W30</f>
        <v>0</v>
      </c>
      <c r="Y30" s="170"/>
      <c r="Z30" s="170">
        <f t="shared" si="22"/>
        <v>0</v>
      </c>
      <c r="AA30" s="170"/>
      <c r="AB30" s="170">
        <f t="shared" si="12"/>
        <v>0</v>
      </c>
      <c r="AC30" s="517">
        <f t="shared" si="2"/>
        <v>0.05</v>
      </c>
      <c r="AD30" s="518">
        <f t="shared" si="2"/>
        <v>1.1378076923076923</v>
      </c>
      <c r="AE30" s="169"/>
      <c r="AF30" s="170">
        <f t="shared" si="13"/>
        <v>0</v>
      </c>
      <c r="AG30" s="170"/>
      <c r="AH30" s="170">
        <f t="shared" si="14"/>
        <v>0</v>
      </c>
      <c r="AI30" s="170"/>
      <c r="AJ30" s="170">
        <f t="shared" si="15"/>
        <v>0</v>
      </c>
      <c r="AK30" s="170"/>
      <c r="AL30" s="170">
        <f t="shared" si="16"/>
        <v>0</v>
      </c>
      <c r="AM30" s="170"/>
      <c r="AN30" s="170">
        <f t="shared" si="17"/>
        <v>0</v>
      </c>
      <c r="AO30" s="84">
        <f t="shared" si="3"/>
        <v>0</v>
      </c>
      <c r="AP30" s="504">
        <f t="shared" si="3"/>
        <v>0</v>
      </c>
      <c r="AQ30" s="169"/>
      <c r="AR30" s="170"/>
      <c r="AS30" s="84">
        <f t="shared" si="18"/>
        <v>0</v>
      </c>
      <c r="AT30" s="87">
        <f t="shared" si="4"/>
        <v>0</v>
      </c>
      <c r="AU30" s="88">
        <f t="shared" si="5"/>
        <v>7.0000000000000007E-2</v>
      </c>
      <c r="AV30" s="89">
        <f t="shared" si="6"/>
        <v>4.7528076923076927</v>
      </c>
      <c r="AW30" s="171" t="s">
        <v>155</v>
      </c>
      <c r="AX30" s="56">
        <f t="shared" si="19"/>
        <v>0</v>
      </c>
    </row>
    <row r="31" spans="1:50" ht="15" customHeight="1" x14ac:dyDescent="0.45">
      <c r="A31" s="73"/>
      <c r="B31" s="90"/>
      <c r="C31" s="114">
        <v>19</v>
      </c>
      <c r="D31" s="172" t="s">
        <v>201</v>
      </c>
      <c r="E31" s="173" t="s">
        <v>202</v>
      </c>
      <c r="F31" s="174" t="s">
        <v>203</v>
      </c>
      <c r="G31" s="93"/>
      <c r="H31" s="94">
        <f t="shared" si="7"/>
        <v>0</v>
      </c>
      <c r="I31" s="94"/>
      <c r="J31" s="94"/>
      <c r="K31" s="95">
        <f t="shared" si="1"/>
        <v>0</v>
      </c>
      <c r="L31" s="96">
        <f t="shared" si="1"/>
        <v>0</v>
      </c>
      <c r="M31" s="111">
        <v>0.01</v>
      </c>
      <c r="N31" s="112">
        <f t="shared" si="8"/>
        <v>0.22756153846153843</v>
      </c>
      <c r="O31" s="112">
        <v>0.01</v>
      </c>
      <c r="P31" s="112">
        <f t="shared" si="20"/>
        <v>0.22756153846153843</v>
      </c>
      <c r="Q31" s="112">
        <v>0.01</v>
      </c>
      <c r="R31" s="112">
        <f t="shared" si="20"/>
        <v>0.22756153846153843</v>
      </c>
      <c r="S31" s="112">
        <v>0.01</v>
      </c>
      <c r="T31" s="112">
        <f t="shared" si="21"/>
        <v>0.22756153846153843</v>
      </c>
      <c r="U31" s="112">
        <v>0.01</v>
      </c>
      <c r="V31" s="112">
        <f t="shared" si="21"/>
        <v>0.22756153846153843</v>
      </c>
      <c r="W31" s="112">
        <v>0.01</v>
      </c>
      <c r="X31" s="112">
        <f t="shared" si="22"/>
        <v>0.22756153846153843</v>
      </c>
      <c r="Y31" s="112">
        <v>0.01</v>
      </c>
      <c r="Z31" s="112">
        <f t="shared" si="22"/>
        <v>0.22756153846153843</v>
      </c>
      <c r="AA31" s="112"/>
      <c r="AB31" s="112">
        <f t="shared" si="12"/>
        <v>0</v>
      </c>
      <c r="AC31" s="506">
        <f t="shared" si="2"/>
        <v>7.0000000000000007E-2</v>
      </c>
      <c r="AD31" s="507">
        <f t="shared" si="2"/>
        <v>1.5929307692307688</v>
      </c>
      <c r="AE31" s="111"/>
      <c r="AF31" s="112">
        <f t="shared" si="13"/>
        <v>0</v>
      </c>
      <c r="AG31" s="112"/>
      <c r="AH31" s="112">
        <f t="shared" si="14"/>
        <v>0</v>
      </c>
      <c r="AI31" s="112"/>
      <c r="AJ31" s="112">
        <f t="shared" si="15"/>
        <v>0</v>
      </c>
      <c r="AK31" s="112"/>
      <c r="AL31" s="112">
        <f t="shared" si="16"/>
        <v>0</v>
      </c>
      <c r="AM31" s="112"/>
      <c r="AN31" s="112">
        <f t="shared" si="17"/>
        <v>0</v>
      </c>
      <c r="AO31" s="99">
        <f t="shared" si="3"/>
        <v>0</v>
      </c>
      <c r="AP31" s="505">
        <f t="shared" si="3"/>
        <v>0</v>
      </c>
      <c r="AQ31" s="111"/>
      <c r="AR31" s="112"/>
      <c r="AS31" s="99">
        <f t="shared" si="18"/>
        <v>0</v>
      </c>
      <c r="AT31" s="102">
        <f t="shared" si="4"/>
        <v>0</v>
      </c>
      <c r="AU31" s="103">
        <f t="shared" si="5"/>
        <v>7.0000000000000007E-2</v>
      </c>
      <c r="AV31" s="104">
        <f t="shared" si="6"/>
        <v>1.5929307692307688</v>
      </c>
      <c r="AW31" s="56" t="s">
        <v>155</v>
      </c>
      <c r="AX31" s="56">
        <f t="shared" si="19"/>
        <v>0</v>
      </c>
    </row>
    <row r="32" spans="1:50" ht="15" customHeight="1" x14ac:dyDescent="0.45">
      <c r="A32" s="73"/>
      <c r="B32" s="90"/>
      <c r="C32" s="114">
        <v>20</v>
      </c>
      <c r="D32" s="172" t="s">
        <v>204</v>
      </c>
      <c r="E32" s="173" t="s">
        <v>205</v>
      </c>
      <c r="F32" s="174" t="s">
        <v>165</v>
      </c>
      <c r="G32" s="93">
        <v>0.02</v>
      </c>
      <c r="H32" s="94">
        <f t="shared" si="7"/>
        <v>3.6150000000000002</v>
      </c>
      <c r="I32" s="94"/>
      <c r="J32" s="94"/>
      <c r="K32" s="95">
        <f t="shared" si="1"/>
        <v>0.02</v>
      </c>
      <c r="L32" s="96">
        <f t="shared" si="1"/>
        <v>3.6150000000000002</v>
      </c>
      <c r="M32" s="111">
        <v>0.04</v>
      </c>
      <c r="N32" s="112">
        <f t="shared" si="8"/>
        <v>0.9102461538461537</v>
      </c>
      <c r="O32" s="112"/>
      <c r="P32" s="112">
        <f t="shared" si="20"/>
        <v>0</v>
      </c>
      <c r="Q32" s="112"/>
      <c r="R32" s="112">
        <f t="shared" si="20"/>
        <v>0</v>
      </c>
      <c r="S32" s="112"/>
      <c r="T32" s="112">
        <f t="shared" si="21"/>
        <v>0</v>
      </c>
      <c r="U32" s="112"/>
      <c r="V32" s="112">
        <f t="shared" si="21"/>
        <v>0</v>
      </c>
      <c r="W32" s="112"/>
      <c r="X32" s="112">
        <f t="shared" si="22"/>
        <v>0</v>
      </c>
      <c r="Y32" s="112"/>
      <c r="Z32" s="112">
        <f t="shared" si="22"/>
        <v>0</v>
      </c>
      <c r="AA32" s="112"/>
      <c r="AB32" s="112">
        <f t="shared" si="12"/>
        <v>0</v>
      </c>
      <c r="AC32" s="506">
        <f t="shared" si="2"/>
        <v>0.04</v>
      </c>
      <c r="AD32" s="507">
        <f t="shared" si="2"/>
        <v>0.9102461538461537</v>
      </c>
      <c r="AE32" s="111"/>
      <c r="AF32" s="112">
        <f t="shared" si="13"/>
        <v>0</v>
      </c>
      <c r="AG32" s="112"/>
      <c r="AH32" s="112">
        <f t="shared" si="14"/>
        <v>0</v>
      </c>
      <c r="AI32" s="112"/>
      <c r="AJ32" s="112">
        <f t="shared" si="15"/>
        <v>0</v>
      </c>
      <c r="AK32" s="112"/>
      <c r="AL32" s="112">
        <f t="shared" si="16"/>
        <v>0</v>
      </c>
      <c r="AM32" s="112"/>
      <c r="AN32" s="112">
        <f t="shared" si="17"/>
        <v>0</v>
      </c>
      <c r="AO32" s="99">
        <f t="shared" si="3"/>
        <v>0</v>
      </c>
      <c r="AP32" s="505">
        <f t="shared" si="3"/>
        <v>0</v>
      </c>
      <c r="AQ32" s="111"/>
      <c r="AR32" s="112"/>
      <c r="AS32" s="99">
        <f t="shared" si="18"/>
        <v>0</v>
      </c>
      <c r="AT32" s="102">
        <f t="shared" si="4"/>
        <v>0</v>
      </c>
      <c r="AU32" s="103">
        <f t="shared" si="5"/>
        <v>0.06</v>
      </c>
      <c r="AV32" s="104">
        <f t="shared" si="6"/>
        <v>4.5252461538461537</v>
      </c>
      <c r="AW32" s="56" t="s">
        <v>155</v>
      </c>
      <c r="AX32" s="56">
        <f t="shared" si="19"/>
        <v>0</v>
      </c>
    </row>
    <row r="33" spans="1:50" ht="15" customHeight="1" x14ac:dyDescent="0.45">
      <c r="A33" s="73"/>
      <c r="B33" s="90"/>
      <c r="C33" s="107">
        <v>21</v>
      </c>
      <c r="D33" s="172" t="s">
        <v>206</v>
      </c>
      <c r="E33" s="173" t="s">
        <v>207</v>
      </c>
      <c r="F33" s="174" t="s">
        <v>203</v>
      </c>
      <c r="G33" s="93"/>
      <c r="H33" s="94">
        <f t="shared" si="7"/>
        <v>0</v>
      </c>
      <c r="I33" s="94"/>
      <c r="J33" s="94"/>
      <c r="K33" s="95">
        <f t="shared" si="1"/>
        <v>0</v>
      </c>
      <c r="L33" s="96">
        <f t="shared" si="1"/>
        <v>0</v>
      </c>
      <c r="M33" s="111">
        <v>0.05</v>
      </c>
      <c r="N33" s="112">
        <f t="shared" si="8"/>
        <v>1.1378076923076923</v>
      </c>
      <c r="O33" s="112">
        <v>0.02</v>
      </c>
      <c r="P33" s="112">
        <f t="shared" si="20"/>
        <v>0.45512307692307685</v>
      </c>
      <c r="Q33" s="112">
        <v>0.02</v>
      </c>
      <c r="R33" s="112">
        <f t="shared" si="20"/>
        <v>0.45512307692307685</v>
      </c>
      <c r="S33" s="112">
        <v>0.02</v>
      </c>
      <c r="T33" s="112">
        <f t="shared" si="21"/>
        <v>0.45512307692307685</v>
      </c>
      <c r="U33" s="112">
        <v>0.02</v>
      </c>
      <c r="V33" s="112">
        <f t="shared" si="21"/>
        <v>0.45512307692307685</v>
      </c>
      <c r="W33" s="112">
        <v>0.05</v>
      </c>
      <c r="X33" s="112">
        <f t="shared" si="22"/>
        <v>1.1378076923076923</v>
      </c>
      <c r="Y33" s="112">
        <v>0.01</v>
      </c>
      <c r="Z33" s="112">
        <f t="shared" si="22"/>
        <v>0.22756153846153843</v>
      </c>
      <c r="AA33" s="112"/>
      <c r="AB33" s="112">
        <f t="shared" si="12"/>
        <v>0</v>
      </c>
      <c r="AC33" s="506">
        <f t="shared" si="2"/>
        <v>0.19</v>
      </c>
      <c r="AD33" s="507">
        <f t="shared" si="2"/>
        <v>4.3236692307692302</v>
      </c>
      <c r="AE33" s="111"/>
      <c r="AF33" s="112">
        <f t="shared" si="13"/>
        <v>0</v>
      </c>
      <c r="AG33" s="112"/>
      <c r="AH33" s="112">
        <f t="shared" si="14"/>
        <v>0</v>
      </c>
      <c r="AI33" s="112"/>
      <c r="AJ33" s="112">
        <f t="shared" si="15"/>
        <v>0</v>
      </c>
      <c r="AK33" s="112"/>
      <c r="AL33" s="112">
        <f t="shared" si="16"/>
        <v>0</v>
      </c>
      <c r="AM33" s="112"/>
      <c r="AN33" s="112">
        <f t="shared" si="17"/>
        <v>0</v>
      </c>
      <c r="AO33" s="99">
        <f t="shared" si="3"/>
        <v>0</v>
      </c>
      <c r="AP33" s="505">
        <f t="shared" si="3"/>
        <v>0</v>
      </c>
      <c r="AQ33" s="111"/>
      <c r="AR33" s="112"/>
      <c r="AS33" s="99">
        <f t="shared" si="18"/>
        <v>0</v>
      </c>
      <c r="AT33" s="102">
        <f t="shared" si="4"/>
        <v>0</v>
      </c>
      <c r="AU33" s="103">
        <f t="shared" si="5"/>
        <v>0.19</v>
      </c>
      <c r="AV33" s="104">
        <f t="shared" si="6"/>
        <v>4.3236692307692302</v>
      </c>
      <c r="AW33" s="56" t="s">
        <v>155</v>
      </c>
      <c r="AX33" s="56">
        <f t="shared" si="19"/>
        <v>0</v>
      </c>
    </row>
    <row r="34" spans="1:50" ht="15" customHeight="1" x14ac:dyDescent="0.45">
      <c r="A34" s="73"/>
      <c r="B34" s="90"/>
      <c r="C34" s="175">
        <v>22</v>
      </c>
      <c r="D34" s="172" t="s">
        <v>208</v>
      </c>
      <c r="E34" s="173" t="s">
        <v>209</v>
      </c>
      <c r="F34" s="174" t="s">
        <v>165</v>
      </c>
      <c r="G34" s="93">
        <v>0.01</v>
      </c>
      <c r="H34" s="94">
        <f t="shared" si="7"/>
        <v>1.8075000000000001</v>
      </c>
      <c r="I34" s="94"/>
      <c r="J34" s="94"/>
      <c r="K34" s="95">
        <f t="shared" si="1"/>
        <v>0.01</v>
      </c>
      <c r="L34" s="96">
        <f t="shared" si="1"/>
        <v>1.8075000000000001</v>
      </c>
      <c r="M34" s="111">
        <v>0.01</v>
      </c>
      <c r="N34" s="112">
        <f t="shared" si="8"/>
        <v>0.22756153846153843</v>
      </c>
      <c r="O34" s="112"/>
      <c r="P34" s="112">
        <f t="shared" si="20"/>
        <v>0</v>
      </c>
      <c r="Q34" s="112"/>
      <c r="R34" s="112">
        <f t="shared" si="20"/>
        <v>0</v>
      </c>
      <c r="S34" s="112">
        <v>0.01</v>
      </c>
      <c r="T34" s="112">
        <f t="shared" si="21"/>
        <v>0.22756153846153843</v>
      </c>
      <c r="U34" s="112"/>
      <c r="V34" s="112">
        <f t="shared" si="21"/>
        <v>0</v>
      </c>
      <c r="W34" s="112"/>
      <c r="X34" s="112">
        <f t="shared" si="22"/>
        <v>0</v>
      </c>
      <c r="Y34" s="112"/>
      <c r="Z34" s="112">
        <f t="shared" si="22"/>
        <v>0</v>
      </c>
      <c r="AA34" s="112">
        <v>0.01</v>
      </c>
      <c r="AB34" s="112">
        <f t="shared" si="12"/>
        <v>0.22756153846153843</v>
      </c>
      <c r="AC34" s="506">
        <f t="shared" si="2"/>
        <v>0.03</v>
      </c>
      <c r="AD34" s="507">
        <f t="shared" si="2"/>
        <v>0.68268461538461533</v>
      </c>
      <c r="AE34" s="111"/>
      <c r="AF34" s="112">
        <f t="shared" si="13"/>
        <v>0</v>
      </c>
      <c r="AG34" s="112">
        <v>0.01</v>
      </c>
      <c r="AH34" s="112">
        <f t="shared" si="14"/>
        <v>0.22756153846153843</v>
      </c>
      <c r="AI34" s="112">
        <v>0.01</v>
      </c>
      <c r="AJ34" s="112">
        <f t="shared" si="15"/>
        <v>0.22756153846153843</v>
      </c>
      <c r="AK34" s="112"/>
      <c r="AL34" s="112">
        <f t="shared" si="16"/>
        <v>0</v>
      </c>
      <c r="AM34" s="112"/>
      <c r="AN34" s="112">
        <f t="shared" si="17"/>
        <v>0</v>
      </c>
      <c r="AO34" s="99">
        <f t="shared" si="3"/>
        <v>0.02</v>
      </c>
      <c r="AP34" s="505">
        <f t="shared" si="3"/>
        <v>0.45512307692307685</v>
      </c>
      <c r="AQ34" s="111"/>
      <c r="AR34" s="112"/>
      <c r="AS34" s="99">
        <f t="shared" si="18"/>
        <v>0</v>
      </c>
      <c r="AT34" s="102">
        <f t="shared" si="4"/>
        <v>0</v>
      </c>
      <c r="AU34" s="103">
        <f t="shared" si="5"/>
        <v>0.06</v>
      </c>
      <c r="AV34" s="104">
        <f t="shared" si="6"/>
        <v>2.9453076923076922</v>
      </c>
      <c r="AW34" s="56" t="s">
        <v>155</v>
      </c>
      <c r="AX34" s="56">
        <f t="shared" si="19"/>
        <v>0</v>
      </c>
    </row>
    <row r="35" spans="1:50" ht="15" customHeight="1" x14ac:dyDescent="0.45">
      <c r="A35" s="176"/>
      <c r="B35" s="113" t="s">
        <v>210</v>
      </c>
      <c r="C35" s="107">
        <v>23</v>
      </c>
      <c r="D35" s="177" t="s">
        <v>211</v>
      </c>
      <c r="E35" s="178" t="s">
        <v>212</v>
      </c>
      <c r="F35" s="174" t="s">
        <v>203</v>
      </c>
      <c r="G35" s="93"/>
      <c r="H35" s="94">
        <f t="shared" si="7"/>
        <v>0</v>
      </c>
      <c r="I35" s="94"/>
      <c r="J35" s="94"/>
      <c r="K35" s="95">
        <f t="shared" si="1"/>
        <v>0</v>
      </c>
      <c r="L35" s="96">
        <f t="shared" si="1"/>
        <v>0</v>
      </c>
      <c r="M35" s="179"/>
      <c r="N35" s="180">
        <f t="shared" si="8"/>
        <v>0</v>
      </c>
      <c r="O35" s="112">
        <v>0.02</v>
      </c>
      <c r="P35" s="112">
        <f t="shared" si="20"/>
        <v>0.45512307692307685</v>
      </c>
      <c r="Q35" s="112">
        <v>0.02</v>
      </c>
      <c r="R35" s="112">
        <f t="shared" si="20"/>
        <v>0.45512307692307685</v>
      </c>
      <c r="S35" s="112">
        <v>0.02</v>
      </c>
      <c r="T35" s="112">
        <f t="shared" si="21"/>
        <v>0.45512307692307685</v>
      </c>
      <c r="U35" s="112">
        <v>0.02</v>
      </c>
      <c r="V35" s="112">
        <f t="shared" si="21"/>
        <v>0.45512307692307685</v>
      </c>
      <c r="W35" s="112">
        <v>0.01</v>
      </c>
      <c r="X35" s="112">
        <f t="shared" si="22"/>
        <v>0.22756153846153843</v>
      </c>
      <c r="Y35" s="112">
        <v>0.01</v>
      </c>
      <c r="Z35" s="112">
        <f t="shared" si="22"/>
        <v>0.22756153846153843</v>
      </c>
      <c r="AA35" s="180"/>
      <c r="AB35" s="180">
        <f t="shared" si="12"/>
        <v>0</v>
      </c>
      <c r="AC35" s="506">
        <f t="shared" si="2"/>
        <v>9.9999999999999992E-2</v>
      </c>
      <c r="AD35" s="507">
        <f t="shared" si="2"/>
        <v>2.2756153846153846</v>
      </c>
      <c r="AE35" s="111">
        <v>0.04</v>
      </c>
      <c r="AF35" s="112">
        <f t="shared" si="13"/>
        <v>0.9102461538461537</v>
      </c>
      <c r="AG35" s="180"/>
      <c r="AH35" s="180">
        <f t="shared" si="14"/>
        <v>0</v>
      </c>
      <c r="AI35" s="180"/>
      <c r="AJ35" s="180">
        <f t="shared" si="15"/>
        <v>0</v>
      </c>
      <c r="AK35" s="180"/>
      <c r="AL35" s="180">
        <f t="shared" si="16"/>
        <v>0</v>
      </c>
      <c r="AM35" s="180"/>
      <c r="AN35" s="180">
        <f t="shared" si="17"/>
        <v>0</v>
      </c>
      <c r="AO35" s="99">
        <f t="shared" si="3"/>
        <v>0.04</v>
      </c>
      <c r="AP35" s="505">
        <f t="shared" si="3"/>
        <v>0.9102461538461537</v>
      </c>
      <c r="AQ35" s="179"/>
      <c r="AR35" s="180"/>
      <c r="AS35" s="99">
        <f t="shared" si="18"/>
        <v>0</v>
      </c>
      <c r="AT35" s="102">
        <f t="shared" si="4"/>
        <v>0</v>
      </c>
      <c r="AU35" s="103">
        <f t="shared" si="5"/>
        <v>0.13999999999999999</v>
      </c>
      <c r="AV35" s="104">
        <f t="shared" si="6"/>
        <v>3.1858615384615385</v>
      </c>
      <c r="AW35" s="56" t="s">
        <v>155</v>
      </c>
      <c r="AX35" s="56">
        <f t="shared" si="19"/>
        <v>0</v>
      </c>
    </row>
    <row r="36" spans="1:50" ht="15" customHeight="1" x14ac:dyDescent="0.45">
      <c r="A36" s="176"/>
      <c r="B36" s="90"/>
      <c r="C36" s="107">
        <v>24</v>
      </c>
      <c r="D36" s="177" t="s">
        <v>213</v>
      </c>
      <c r="E36" s="178" t="s">
        <v>214</v>
      </c>
      <c r="F36" s="174" t="s">
        <v>203</v>
      </c>
      <c r="G36" s="93">
        <v>0.01</v>
      </c>
      <c r="H36" s="94">
        <f t="shared" si="7"/>
        <v>1.8075000000000001</v>
      </c>
      <c r="I36" s="94"/>
      <c r="J36" s="94"/>
      <c r="K36" s="95">
        <f t="shared" si="1"/>
        <v>0.01</v>
      </c>
      <c r="L36" s="96">
        <f t="shared" si="1"/>
        <v>1.8075000000000001</v>
      </c>
      <c r="M36" s="179"/>
      <c r="N36" s="180">
        <f t="shared" si="8"/>
        <v>0</v>
      </c>
      <c r="O36" s="112">
        <v>0.01</v>
      </c>
      <c r="P36" s="112">
        <f t="shared" si="20"/>
        <v>0.22756153846153843</v>
      </c>
      <c r="Q36" s="112">
        <v>0.01</v>
      </c>
      <c r="R36" s="112">
        <f t="shared" si="20"/>
        <v>0.22756153846153843</v>
      </c>
      <c r="S36" s="112">
        <v>0.01</v>
      </c>
      <c r="T36" s="112">
        <f t="shared" si="21"/>
        <v>0.22756153846153843</v>
      </c>
      <c r="U36" s="112">
        <v>0.01</v>
      </c>
      <c r="V36" s="112">
        <f t="shared" si="21"/>
        <v>0.22756153846153843</v>
      </c>
      <c r="W36" s="112">
        <v>0.01</v>
      </c>
      <c r="X36" s="112">
        <f t="shared" si="22"/>
        <v>0.22756153846153843</v>
      </c>
      <c r="Y36" s="112">
        <v>0.01</v>
      </c>
      <c r="Z36" s="112">
        <f t="shared" si="22"/>
        <v>0.22756153846153843</v>
      </c>
      <c r="AA36" s="180"/>
      <c r="AB36" s="180">
        <f t="shared" si="12"/>
        <v>0</v>
      </c>
      <c r="AC36" s="506">
        <f t="shared" si="2"/>
        <v>6.0000000000000005E-2</v>
      </c>
      <c r="AD36" s="507">
        <f t="shared" si="2"/>
        <v>1.3653692307692304</v>
      </c>
      <c r="AE36" s="179"/>
      <c r="AF36" s="180">
        <f t="shared" si="13"/>
        <v>0</v>
      </c>
      <c r="AG36" s="180"/>
      <c r="AH36" s="180">
        <f t="shared" si="14"/>
        <v>0</v>
      </c>
      <c r="AI36" s="180"/>
      <c r="AJ36" s="180">
        <f t="shared" si="15"/>
        <v>0</v>
      </c>
      <c r="AK36" s="180"/>
      <c r="AL36" s="180">
        <f t="shared" si="16"/>
        <v>0</v>
      </c>
      <c r="AM36" s="180"/>
      <c r="AN36" s="180">
        <f t="shared" si="17"/>
        <v>0</v>
      </c>
      <c r="AO36" s="99">
        <f t="shared" si="3"/>
        <v>0</v>
      </c>
      <c r="AP36" s="505">
        <f t="shared" si="3"/>
        <v>0</v>
      </c>
      <c r="AQ36" s="179"/>
      <c r="AR36" s="180"/>
      <c r="AS36" s="99">
        <f t="shared" si="18"/>
        <v>0</v>
      </c>
      <c r="AT36" s="102">
        <f t="shared" si="4"/>
        <v>0</v>
      </c>
      <c r="AU36" s="103">
        <f t="shared" si="5"/>
        <v>7.0000000000000007E-2</v>
      </c>
      <c r="AV36" s="104">
        <f t="shared" si="6"/>
        <v>3.1728692307692308</v>
      </c>
      <c r="AW36" s="56" t="s">
        <v>155</v>
      </c>
      <c r="AX36" s="56">
        <f t="shared" si="19"/>
        <v>0</v>
      </c>
    </row>
    <row r="37" spans="1:50" ht="15" customHeight="1" x14ac:dyDescent="0.45">
      <c r="A37" s="176"/>
      <c r="B37" s="90"/>
      <c r="C37" s="114">
        <v>25</v>
      </c>
      <c r="D37" s="177" t="s">
        <v>215</v>
      </c>
      <c r="E37" s="178" t="s">
        <v>216</v>
      </c>
      <c r="F37" s="174" t="s">
        <v>203</v>
      </c>
      <c r="G37" s="93">
        <v>0.01</v>
      </c>
      <c r="H37" s="94">
        <f t="shared" si="7"/>
        <v>1.8075000000000001</v>
      </c>
      <c r="I37" s="94"/>
      <c r="J37" s="94"/>
      <c r="K37" s="95">
        <f t="shared" si="1"/>
        <v>0.01</v>
      </c>
      <c r="L37" s="96">
        <f t="shared" si="1"/>
        <v>1.8075000000000001</v>
      </c>
      <c r="M37" s="111"/>
      <c r="N37" s="112">
        <f t="shared" si="8"/>
        <v>0</v>
      </c>
      <c r="O37" s="112">
        <v>0.01</v>
      </c>
      <c r="P37" s="112">
        <f t="shared" si="20"/>
        <v>0.22756153846153843</v>
      </c>
      <c r="Q37" s="180">
        <v>0.01</v>
      </c>
      <c r="R37" s="180">
        <f t="shared" si="20"/>
        <v>0.22756153846153843</v>
      </c>
      <c r="S37" s="112">
        <v>0.01</v>
      </c>
      <c r="T37" s="112">
        <f t="shared" si="21"/>
        <v>0.22756153846153843</v>
      </c>
      <c r="U37" s="180">
        <v>0.01</v>
      </c>
      <c r="V37" s="180">
        <f t="shared" si="21"/>
        <v>0.22756153846153843</v>
      </c>
      <c r="W37" s="112">
        <v>0.01</v>
      </c>
      <c r="X37" s="180">
        <f t="shared" si="22"/>
        <v>0.22756153846153843</v>
      </c>
      <c r="Y37" s="112">
        <v>0.01</v>
      </c>
      <c r="Z37" s="180">
        <f t="shared" si="22"/>
        <v>0.22756153846153843</v>
      </c>
      <c r="AA37" s="180"/>
      <c r="AB37" s="180">
        <f t="shared" si="12"/>
        <v>0</v>
      </c>
      <c r="AC37" s="506">
        <f t="shared" si="2"/>
        <v>6.0000000000000005E-2</v>
      </c>
      <c r="AD37" s="507">
        <f t="shared" si="2"/>
        <v>1.3653692307692304</v>
      </c>
      <c r="AE37" s="111">
        <v>0.04</v>
      </c>
      <c r="AF37" s="112">
        <f t="shared" si="13"/>
        <v>0.9102461538461537</v>
      </c>
      <c r="AG37" s="180"/>
      <c r="AH37" s="180">
        <f t="shared" si="14"/>
        <v>0</v>
      </c>
      <c r="AI37" s="180"/>
      <c r="AJ37" s="180">
        <f t="shared" si="15"/>
        <v>0</v>
      </c>
      <c r="AK37" s="180"/>
      <c r="AL37" s="180">
        <f t="shared" si="16"/>
        <v>0</v>
      </c>
      <c r="AM37" s="180"/>
      <c r="AN37" s="180">
        <f t="shared" si="17"/>
        <v>0</v>
      </c>
      <c r="AO37" s="99">
        <f t="shared" si="3"/>
        <v>0.04</v>
      </c>
      <c r="AP37" s="505">
        <f t="shared" si="3"/>
        <v>0.9102461538461537</v>
      </c>
      <c r="AQ37" s="179"/>
      <c r="AR37" s="180"/>
      <c r="AS37" s="99">
        <f t="shared" si="18"/>
        <v>0</v>
      </c>
      <c r="AT37" s="102">
        <f t="shared" si="4"/>
        <v>0</v>
      </c>
      <c r="AU37" s="103">
        <f t="shared" si="5"/>
        <v>0.11000000000000001</v>
      </c>
      <c r="AV37" s="104">
        <f t="shared" si="6"/>
        <v>4.0831153846153843</v>
      </c>
      <c r="AW37" s="56" t="s">
        <v>155</v>
      </c>
      <c r="AX37" s="56">
        <f t="shared" si="19"/>
        <v>0</v>
      </c>
    </row>
    <row r="38" spans="1:50" ht="15" customHeight="1" x14ac:dyDescent="0.45">
      <c r="A38" s="176"/>
      <c r="B38" s="90"/>
      <c r="C38" s="107">
        <v>26</v>
      </c>
      <c r="D38" s="177" t="s">
        <v>217</v>
      </c>
      <c r="E38" s="178" t="s">
        <v>218</v>
      </c>
      <c r="F38" s="174" t="s">
        <v>203</v>
      </c>
      <c r="G38" s="93"/>
      <c r="H38" s="94">
        <f t="shared" si="7"/>
        <v>0</v>
      </c>
      <c r="I38" s="94"/>
      <c r="J38" s="94"/>
      <c r="K38" s="95">
        <f t="shared" si="1"/>
        <v>0</v>
      </c>
      <c r="L38" s="96">
        <f t="shared" si="1"/>
        <v>0</v>
      </c>
      <c r="M38" s="179"/>
      <c r="N38" s="180">
        <f t="shared" si="8"/>
        <v>0</v>
      </c>
      <c r="O38" s="112">
        <v>0.14000000000000001</v>
      </c>
      <c r="P38" s="112">
        <f t="shared" si="20"/>
        <v>3.1858615384615385</v>
      </c>
      <c r="Q38" s="112">
        <v>0.14000000000000001</v>
      </c>
      <c r="R38" s="112">
        <f t="shared" si="20"/>
        <v>3.1858615384615385</v>
      </c>
      <c r="S38" s="112">
        <v>0.14000000000000001</v>
      </c>
      <c r="T38" s="112">
        <f t="shared" si="21"/>
        <v>3.1858615384615385</v>
      </c>
      <c r="U38" s="112">
        <v>0.14000000000000001</v>
      </c>
      <c r="V38" s="112">
        <f t="shared" si="21"/>
        <v>3.1858615384615385</v>
      </c>
      <c r="W38" s="112">
        <v>0.15</v>
      </c>
      <c r="X38" s="112">
        <f t="shared" si="22"/>
        <v>3.4134230769230762</v>
      </c>
      <c r="Y38" s="112">
        <v>0.05</v>
      </c>
      <c r="Z38" s="112">
        <f t="shared" si="22"/>
        <v>1.1378076923076923</v>
      </c>
      <c r="AA38" s="180"/>
      <c r="AB38" s="180">
        <f t="shared" si="12"/>
        <v>0</v>
      </c>
      <c r="AC38" s="506">
        <f t="shared" si="2"/>
        <v>0.76000000000000012</v>
      </c>
      <c r="AD38" s="507">
        <f t="shared" si="2"/>
        <v>17.294676923076924</v>
      </c>
      <c r="AE38" s="179"/>
      <c r="AF38" s="180">
        <f t="shared" si="13"/>
        <v>0</v>
      </c>
      <c r="AG38" s="180"/>
      <c r="AH38" s="180">
        <f t="shared" si="14"/>
        <v>0</v>
      </c>
      <c r="AI38" s="180"/>
      <c r="AJ38" s="180">
        <f t="shared" si="15"/>
        <v>0</v>
      </c>
      <c r="AK38" s="180"/>
      <c r="AL38" s="180">
        <f t="shared" si="16"/>
        <v>0</v>
      </c>
      <c r="AM38" s="180"/>
      <c r="AN38" s="180">
        <f t="shared" si="17"/>
        <v>0</v>
      </c>
      <c r="AO38" s="99">
        <f t="shared" si="3"/>
        <v>0</v>
      </c>
      <c r="AP38" s="505">
        <f t="shared" si="3"/>
        <v>0</v>
      </c>
      <c r="AQ38" s="179"/>
      <c r="AR38" s="180"/>
      <c r="AS38" s="99">
        <f t="shared" si="18"/>
        <v>0</v>
      </c>
      <c r="AT38" s="102">
        <f t="shared" si="4"/>
        <v>0</v>
      </c>
      <c r="AU38" s="103">
        <f t="shared" si="5"/>
        <v>0.76000000000000012</v>
      </c>
      <c r="AV38" s="104">
        <f t="shared" si="6"/>
        <v>17.294676923076924</v>
      </c>
      <c r="AW38" s="56" t="s">
        <v>155</v>
      </c>
      <c r="AX38" s="56">
        <f t="shared" si="19"/>
        <v>0</v>
      </c>
    </row>
    <row r="39" spans="1:50" ht="15" customHeight="1" x14ac:dyDescent="0.45">
      <c r="A39" s="176"/>
      <c r="B39" s="90"/>
      <c r="C39" s="107">
        <v>27</v>
      </c>
      <c r="D39" s="177" t="s">
        <v>219</v>
      </c>
      <c r="E39" s="178" t="s">
        <v>220</v>
      </c>
      <c r="F39" s="174" t="s">
        <v>203</v>
      </c>
      <c r="G39" s="93"/>
      <c r="H39" s="94">
        <f t="shared" si="7"/>
        <v>0</v>
      </c>
      <c r="I39" s="94"/>
      <c r="J39" s="94"/>
      <c r="K39" s="95">
        <f t="shared" si="1"/>
        <v>0</v>
      </c>
      <c r="L39" s="96">
        <f t="shared" si="1"/>
        <v>0</v>
      </c>
      <c r="M39" s="179"/>
      <c r="N39" s="180">
        <f t="shared" si="8"/>
        <v>0</v>
      </c>
      <c r="O39" s="112">
        <v>0.01</v>
      </c>
      <c r="P39" s="112">
        <f t="shared" si="20"/>
        <v>0.22756153846153843</v>
      </c>
      <c r="Q39" s="112">
        <v>0.01</v>
      </c>
      <c r="R39" s="112">
        <f t="shared" si="20"/>
        <v>0.22756153846153843</v>
      </c>
      <c r="S39" s="112">
        <v>0.01</v>
      </c>
      <c r="T39" s="112">
        <f t="shared" si="21"/>
        <v>0.22756153846153843</v>
      </c>
      <c r="U39" s="112">
        <v>0.01</v>
      </c>
      <c r="V39" s="112">
        <f t="shared" si="21"/>
        <v>0.22756153846153843</v>
      </c>
      <c r="W39" s="112">
        <v>0.01</v>
      </c>
      <c r="X39" s="112">
        <f t="shared" si="22"/>
        <v>0.22756153846153843</v>
      </c>
      <c r="Y39" s="112">
        <v>0.01</v>
      </c>
      <c r="Z39" s="112">
        <f t="shared" si="22"/>
        <v>0.22756153846153843</v>
      </c>
      <c r="AA39" s="180"/>
      <c r="AB39" s="180">
        <f t="shared" si="12"/>
        <v>0</v>
      </c>
      <c r="AC39" s="506">
        <f t="shared" si="2"/>
        <v>6.0000000000000005E-2</v>
      </c>
      <c r="AD39" s="507">
        <f t="shared" si="2"/>
        <v>1.3653692307692304</v>
      </c>
      <c r="AE39" s="111">
        <v>0.1</v>
      </c>
      <c r="AF39" s="112">
        <f t="shared" si="13"/>
        <v>2.2756153846153846</v>
      </c>
      <c r="AG39" s="180"/>
      <c r="AH39" s="180">
        <f t="shared" si="14"/>
        <v>0</v>
      </c>
      <c r="AI39" s="180"/>
      <c r="AJ39" s="180">
        <f t="shared" si="15"/>
        <v>0</v>
      </c>
      <c r="AK39" s="180"/>
      <c r="AL39" s="180">
        <f t="shared" si="16"/>
        <v>0</v>
      </c>
      <c r="AM39" s="112"/>
      <c r="AN39" s="112">
        <f t="shared" si="17"/>
        <v>0</v>
      </c>
      <c r="AO39" s="99">
        <f t="shared" si="3"/>
        <v>0.1</v>
      </c>
      <c r="AP39" s="505">
        <f t="shared" si="3"/>
        <v>2.2756153846153846</v>
      </c>
      <c r="AQ39" s="111"/>
      <c r="AR39" s="112"/>
      <c r="AS39" s="99">
        <f t="shared" si="18"/>
        <v>0</v>
      </c>
      <c r="AT39" s="102">
        <f t="shared" si="4"/>
        <v>0</v>
      </c>
      <c r="AU39" s="103">
        <f t="shared" si="5"/>
        <v>0.16</v>
      </c>
      <c r="AV39" s="104">
        <f t="shared" si="6"/>
        <v>3.6409846153846148</v>
      </c>
      <c r="AW39" s="56" t="s">
        <v>155</v>
      </c>
      <c r="AX39" s="56">
        <f t="shared" si="19"/>
        <v>0</v>
      </c>
    </row>
    <row r="40" spans="1:50" ht="15" customHeight="1" x14ac:dyDescent="0.45">
      <c r="A40" s="73"/>
      <c r="B40" s="90"/>
      <c r="C40" s="114">
        <v>28</v>
      </c>
      <c r="D40" s="172" t="s">
        <v>221</v>
      </c>
      <c r="E40" s="173" t="s">
        <v>222</v>
      </c>
      <c r="F40" s="174" t="s">
        <v>203</v>
      </c>
      <c r="G40" s="93"/>
      <c r="H40" s="94">
        <f t="shared" si="7"/>
        <v>0</v>
      </c>
      <c r="I40" s="94"/>
      <c r="J40" s="94"/>
      <c r="K40" s="95">
        <f t="shared" si="1"/>
        <v>0</v>
      </c>
      <c r="L40" s="96">
        <f t="shared" si="1"/>
        <v>0</v>
      </c>
      <c r="M40" s="111"/>
      <c r="N40" s="112">
        <f t="shared" si="8"/>
        <v>0</v>
      </c>
      <c r="O40" s="112">
        <v>0.01</v>
      </c>
      <c r="P40" s="112">
        <f t="shared" si="20"/>
        <v>0.22756153846153843</v>
      </c>
      <c r="Q40" s="112">
        <v>0.01</v>
      </c>
      <c r="R40" s="112">
        <f t="shared" si="20"/>
        <v>0.22756153846153843</v>
      </c>
      <c r="S40" s="112">
        <v>0.01</v>
      </c>
      <c r="T40" s="112">
        <f t="shared" si="21"/>
        <v>0.22756153846153843</v>
      </c>
      <c r="U40" s="112">
        <v>0.01</v>
      </c>
      <c r="V40" s="112">
        <f t="shared" si="21"/>
        <v>0.22756153846153843</v>
      </c>
      <c r="W40" s="112">
        <v>0.01</v>
      </c>
      <c r="X40" s="112">
        <f t="shared" si="22"/>
        <v>0.22756153846153843</v>
      </c>
      <c r="Y40" s="112">
        <v>0.01</v>
      </c>
      <c r="Z40" s="112">
        <f t="shared" si="22"/>
        <v>0.22756153846153843</v>
      </c>
      <c r="AA40" s="112"/>
      <c r="AB40" s="112">
        <f t="shared" si="12"/>
        <v>0</v>
      </c>
      <c r="AC40" s="506">
        <f t="shared" si="2"/>
        <v>6.0000000000000005E-2</v>
      </c>
      <c r="AD40" s="507">
        <f t="shared" si="2"/>
        <v>1.3653692307692304</v>
      </c>
      <c r="AE40" s="111"/>
      <c r="AF40" s="112">
        <f t="shared" si="13"/>
        <v>0</v>
      </c>
      <c r="AG40" s="112"/>
      <c r="AH40" s="112">
        <f t="shared" si="14"/>
        <v>0</v>
      </c>
      <c r="AI40" s="112"/>
      <c r="AJ40" s="112">
        <f t="shared" si="15"/>
        <v>0</v>
      </c>
      <c r="AK40" s="112"/>
      <c r="AL40" s="112">
        <f t="shared" si="16"/>
        <v>0</v>
      </c>
      <c r="AM40" s="112"/>
      <c r="AN40" s="112">
        <f t="shared" si="17"/>
        <v>0</v>
      </c>
      <c r="AO40" s="99">
        <f t="shared" si="3"/>
        <v>0</v>
      </c>
      <c r="AP40" s="505">
        <f t="shared" si="3"/>
        <v>0</v>
      </c>
      <c r="AQ40" s="111"/>
      <c r="AR40" s="112"/>
      <c r="AS40" s="99">
        <f t="shared" si="18"/>
        <v>0</v>
      </c>
      <c r="AT40" s="102">
        <f t="shared" si="4"/>
        <v>0</v>
      </c>
      <c r="AU40" s="103">
        <f t="shared" si="5"/>
        <v>6.0000000000000005E-2</v>
      </c>
      <c r="AV40" s="104">
        <f t="shared" si="6"/>
        <v>1.3653692307692304</v>
      </c>
      <c r="AW40" s="56" t="s">
        <v>155</v>
      </c>
      <c r="AX40" s="56">
        <f t="shared" si="19"/>
        <v>0</v>
      </c>
    </row>
    <row r="41" spans="1:50" ht="15" customHeight="1" x14ac:dyDescent="0.45">
      <c r="A41" s="73"/>
      <c r="B41" s="90"/>
      <c r="C41" s="114">
        <v>29</v>
      </c>
      <c r="D41" s="172" t="s">
        <v>223</v>
      </c>
      <c r="E41" s="173" t="s">
        <v>224</v>
      </c>
      <c r="F41" s="174" t="s">
        <v>203</v>
      </c>
      <c r="G41" s="93"/>
      <c r="H41" s="94">
        <f t="shared" si="7"/>
        <v>0</v>
      </c>
      <c r="I41" s="94"/>
      <c r="J41" s="94"/>
      <c r="K41" s="95">
        <f t="shared" si="1"/>
        <v>0</v>
      </c>
      <c r="L41" s="96">
        <f t="shared" si="1"/>
        <v>0</v>
      </c>
      <c r="M41" s="111"/>
      <c r="N41" s="112">
        <f t="shared" si="8"/>
        <v>0</v>
      </c>
      <c r="O41" s="112">
        <v>0.05</v>
      </c>
      <c r="P41" s="112">
        <f t="shared" si="20"/>
        <v>1.1378076923076923</v>
      </c>
      <c r="Q41" s="112">
        <v>0.05</v>
      </c>
      <c r="R41" s="112">
        <f t="shared" si="20"/>
        <v>1.1378076923076923</v>
      </c>
      <c r="S41" s="112">
        <v>0.05</v>
      </c>
      <c r="T41" s="112">
        <f t="shared" si="21"/>
        <v>1.1378076923076923</v>
      </c>
      <c r="U41" s="112">
        <v>0.05</v>
      </c>
      <c r="V41" s="112">
        <f t="shared" si="21"/>
        <v>1.1378076923076923</v>
      </c>
      <c r="W41" s="112">
        <v>0.01</v>
      </c>
      <c r="X41" s="112">
        <f t="shared" si="22"/>
        <v>0.22756153846153843</v>
      </c>
      <c r="Y41" s="112">
        <v>0.01</v>
      </c>
      <c r="Z41" s="112">
        <f t="shared" si="22"/>
        <v>0.22756153846153843</v>
      </c>
      <c r="AA41" s="112"/>
      <c r="AB41" s="112">
        <f t="shared" si="12"/>
        <v>0</v>
      </c>
      <c r="AC41" s="506">
        <f t="shared" si="2"/>
        <v>0.22000000000000003</v>
      </c>
      <c r="AD41" s="507">
        <f t="shared" si="2"/>
        <v>5.0063538461538455</v>
      </c>
      <c r="AE41" s="111"/>
      <c r="AF41" s="112">
        <f t="shared" si="13"/>
        <v>0</v>
      </c>
      <c r="AG41" s="112"/>
      <c r="AH41" s="112">
        <f t="shared" si="14"/>
        <v>0</v>
      </c>
      <c r="AI41" s="112"/>
      <c r="AJ41" s="112">
        <f t="shared" si="15"/>
        <v>0</v>
      </c>
      <c r="AK41" s="112"/>
      <c r="AL41" s="112">
        <f t="shared" si="16"/>
        <v>0</v>
      </c>
      <c r="AM41" s="112"/>
      <c r="AN41" s="112">
        <f t="shared" si="17"/>
        <v>0</v>
      </c>
      <c r="AO41" s="99">
        <f t="shared" si="3"/>
        <v>0</v>
      </c>
      <c r="AP41" s="505">
        <f t="shared" si="3"/>
        <v>0</v>
      </c>
      <c r="AQ41" s="111"/>
      <c r="AR41" s="112"/>
      <c r="AS41" s="99">
        <f t="shared" si="18"/>
        <v>0</v>
      </c>
      <c r="AT41" s="102">
        <f t="shared" si="4"/>
        <v>0</v>
      </c>
      <c r="AU41" s="103">
        <f t="shared" si="5"/>
        <v>0.22000000000000003</v>
      </c>
      <c r="AV41" s="104">
        <f t="shared" si="6"/>
        <v>5.0063538461538455</v>
      </c>
      <c r="AW41" s="56" t="s">
        <v>155</v>
      </c>
      <c r="AX41" s="56">
        <f t="shared" si="19"/>
        <v>0</v>
      </c>
    </row>
    <row r="42" spans="1:50" ht="15" customHeight="1" x14ac:dyDescent="0.45">
      <c r="A42" s="73"/>
      <c r="B42" s="90"/>
      <c r="C42" s="107">
        <v>30</v>
      </c>
      <c r="D42" s="172" t="s">
        <v>225</v>
      </c>
      <c r="E42" s="173" t="s">
        <v>226</v>
      </c>
      <c r="F42" s="174" t="s">
        <v>227</v>
      </c>
      <c r="G42" s="93"/>
      <c r="H42" s="94">
        <f t="shared" si="7"/>
        <v>0</v>
      </c>
      <c r="I42" s="94"/>
      <c r="J42" s="94"/>
      <c r="K42" s="95">
        <f t="shared" si="1"/>
        <v>0</v>
      </c>
      <c r="L42" s="96">
        <f t="shared" si="1"/>
        <v>0</v>
      </c>
      <c r="M42" s="111"/>
      <c r="N42" s="112">
        <f t="shared" si="8"/>
        <v>0</v>
      </c>
      <c r="O42" s="112"/>
      <c r="P42" s="112">
        <f t="shared" si="20"/>
        <v>0</v>
      </c>
      <c r="Q42" s="112"/>
      <c r="R42" s="112">
        <f t="shared" si="20"/>
        <v>0</v>
      </c>
      <c r="S42" s="112"/>
      <c r="T42" s="112">
        <f t="shared" si="21"/>
        <v>0</v>
      </c>
      <c r="U42" s="112"/>
      <c r="V42" s="112">
        <f t="shared" si="21"/>
        <v>0</v>
      </c>
      <c r="W42" s="112"/>
      <c r="X42" s="112">
        <f t="shared" si="22"/>
        <v>0</v>
      </c>
      <c r="Y42" s="112"/>
      <c r="Z42" s="112">
        <f t="shared" si="22"/>
        <v>0</v>
      </c>
      <c r="AA42" s="112"/>
      <c r="AB42" s="112">
        <f t="shared" si="12"/>
        <v>0</v>
      </c>
      <c r="AC42" s="506">
        <f t="shared" si="2"/>
        <v>0</v>
      </c>
      <c r="AD42" s="507">
        <f t="shared" si="2"/>
        <v>0</v>
      </c>
      <c r="AE42" s="111">
        <v>0.05</v>
      </c>
      <c r="AF42" s="112">
        <f t="shared" si="13"/>
        <v>1.1378076923076923</v>
      </c>
      <c r="AG42" s="112"/>
      <c r="AH42" s="112">
        <f t="shared" si="14"/>
        <v>0</v>
      </c>
      <c r="AI42" s="112">
        <v>0.01</v>
      </c>
      <c r="AJ42" s="112">
        <f t="shared" si="15"/>
        <v>0.22756153846153843</v>
      </c>
      <c r="AK42" s="112"/>
      <c r="AL42" s="112">
        <f t="shared" si="16"/>
        <v>0</v>
      </c>
      <c r="AM42" s="112"/>
      <c r="AN42" s="112">
        <f t="shared" si="17"/>
        <v>0</v>
      </c>
      <c r="AO42" s="99">
        <f t="shared" si="3"/>
        <v>6.0000000000000005E-2</v>
      </c>
      <c r="AP42" s="505">
        <f t="shared" si="3"/>
        <v>1.3653692307692307</v>
      </c>
      <c r="AQ42" s="111"/>
      <c r="AR42" s="112"/>
      <c r="AS42" s="99">
        <f t="shared" si="18"/>
        <v>0</v>
      </c>
      <c r="AT42" s="102">
        <f t="shared" si="4"/>
        <v>0</v>
      </c>
      <c r="AU42" s="103">
        <f t="shared" si="5"/>
        <v>6.0000000000000005E-2</v>
      </c>
      <c r="AV42" s="104">
        <f t="shared" si="6"/>
        <v>1.3653692307692307</v>
      </c>
      <c r="AW42" s="56" t="s">
        <v>155</v>
      </c>
      <c r="AX42" s="56">
        <f t="shared" si="19"/>
        <v>0</v>
      </c>
    </row>
    <row r="43" spans="1:50" ht="15" customHeight="1" x14ac:dyDescent="0.45">
      <c r="A43" s="73"/>
      <c r="B43" s="90"/>
      <c r="C43" s="114">
        <v>31</v>
      </c>
      <c r="D43" s="172" t="s">
        <v>228</v>
      </c>
      <c r="E43" s="173" t="s">
        <v>229</v>
      </c>
      <c r="F43" s="174" t="s">
        <v>227</v>
      </c>
      <c r="G43" s="93">
        <v>0.01</v>
      </c>
      <c r="H43" s="94">
        <f t="shared" si="7"/>
        <v>1.8075000000000001</v>
      </c>
      <c r="I43" s="94"/>
      <c r="J43" s="94"/>
      <c r="K43" s="95">
        <f t="shared" si="1"/>
        <v>0.01</v>
      </c>
      <c r="L43" s="96">
        <f t="shared" si="1"/>
        <v>1.8075000000000001</v>
      </c>
      <c r="M43" s="111"/>
      <c r="N43" s="112">
        <f t="shared" si="8"/>
        <v>0</v>
      </c>
      <c r="O43" s="112"/>
      <c r="P43" s="112">
        <f t="shared" si="20"/>
        <v>0</v>
      </c>
      <c r="Q43" s="112"/>
      <c r="R43" s="112">
        <f t="shared" si="20"/>
        <v>0</v>
      </c>
      <c r="S43" s="112"/>
      <c r="T43" s="112">
        <f t="shared" si="21"/>
        <v>0</v>
      </c>
      <c r="U43" s="112"/>
      <c r="V43" s="112">
        <f t="shared" si="21"/>
        <v>0</v>
      </c>
      <c r="W43" s="112"/>
      <c r="X43" s="112">
        <f t="shared" si="22"/>
        <v>0</v>
      </c>
      <c r="Y43" s="112"/>
      <c r="Z43" s="112">
        <f t="shared" si="22"/>
        <v>0</v>
      </c>
      <c r="AA43" s="112"/>
      <c r="AB43" s="112">
        <f t="shared" si="12"/>
        <v>0</v>
      </c>
      <c r="AC43" s="506">
        <f t="shared" si="2"/>
        <v>0</v>
      </c>
      <c r="AD43" s="507">
        <f t="shared" si="2"/>
        <v>0</v>
      </c>
      <c r="AE43" s="111">
        <v>0.1</v>
      </c>
      <c r="AF43" s="112">
        <f t="shared" si="13"/>
        <v>2.2756153846153846</v>
      </c>
      <c r="AG43" s="112">
        <v>0.08</v>
      </c>
      <c r="AH43" s="112">
        <f t="shared" si="14"/>
        <v>1.8204923076923074</v>
      </c>
      <c r="AI43" s="112">
        <v>0.02</v>
      </c>
      <c r="AJ43" s="112">
        <f t="shared" si="15"/>
        <v>0.45512307692307685</v>
      </c>
      <c r="AK43" s="112"/>
      <c r="AL43" s="112">
        <f t="shared" si="16"/>
        <v>0</v>
      </c>
      <c r="AM43" s="112"/>
      <c r="AN43" s="112">
        <f t="shared" si="17"/>
        <v>0</v>
      </c>
      <c r="AO43" s="99">
        <f t="shared" si="3"/>
        <v>0.19999999999999998</v>
      </c>
      <c r="AP43" s="505">
        <f t="shared" si="3"/>
        <v>4.5512307692307692</v>
      </c>
      <c r="AQ43" s="111"/>
      <c r="AR43" s="112"/>
      <c r="AS43" s="99">
        <f t="shared" si="18"/>
        <v>0</v>
      </c>
      <c r="AT43" s="102">
        <f t="shared" si="4"/>
        <v>0</v>
      </c>
      <c r="AU43" s="103">
        <f t="shared" si="5"/>
        <v>0.21</v>
      </c>
      <c r="AV43" s="104">
        <f t="shared" si="6"/>
        <v>6.3587307692307693</v>
      </c>
      <c r="AW43" s="56" t="s">
        <v>155</v>
      </c>
      <c r="AX43" s="56">
        <f t="shared" si="19"/>
        <v>0</v>
      </c>
    </row>
    <row r="44" spans="1:50" ht="15" customHeight="1" x14ac:dyDescent="0.45">
      <c r="A44" s="73"/>
      <c r="B44" s="90"/>
      <c r="C44" s="107">
        <v>32</v>
      </c>
      <c r="D44" s="172" t="s">
        <v>230</v>
      </c>
      <c r="E44" s="173" t="s">
        <v>231</v>
      </c>
      <c r="F44" s="110" t="s">
        <v>187</v>
      </c>
      <c r="G44" s="93"/>
      <c r="H44" s="94">
        <f t="shared" si="7"/>
        <v>0</v>
      </c>
      <c r="I44" s="94"/>
      <c r="J44" s="94"/>
      <c r="K44" s="95">
        <f t="shared" si="1"/>
        <v>0</v>
      </c>
      <c r="L44" s="96">
        <f t="shared" si="1"/>
        <v>0</v>
      </c>
      <c r="M44" s="111"/>
      <c r="N44" s="112">
        <f t="shared" si="8"/>
        <v>0</v>
      </c>
      <c r="O44" s="112"/>
      <c r="P44" s="112">
        <f t="shared" si="20"/>
        <v>0</v>
      </c>
      <c r="Q44" s="112"/>
      <c r="R44" s="112">
        <f t="shared" si="20"/>
        <v>0</v>
      </c>
      <c r="S44" s="112"/>
      <c r="T44" s="112">
        <f t="shared" si="21"/>
        <v>0</v>
      </c>
      <c r="U44" s="112"/>
      <c r="V44" s="112">
        <f t="shared" si="21"/>
        <v>0</v>
      </c>
      <c r="W44" s="112"/>
      <c r="X44" s="112">
        <f t="shared" si="22"/>
        <v>0</v>
      </c>
      <c r="Y44" s="112"/>
      <c r="Z44" s="112">
        <f t="shared" si="22"/>
        <v>0</v>
      </c>
      <c r="AA44" s="112"/>
      <c r="AB44" s="112">
        <f t="shared" si="12"/>
        <v>0</v>
      </c>
      <c r="AC44" s="506">
        <f t="shared" si="2"/>
        <v>0</v>
      </c>
      <c r="AD44" s="507">
        <f t="shared" si="2"/>
        <v>0</v>
      </c>
      <c r="AE44" s="111">
        <v>0.03</v>
      </c>
      <c r="AF44" s="112">
        <f t="shared" si="13"/>
        <v>0.68268461538461522</v>
      </c>
      <c r="AG44" s="112">
        <v>0.09</v>
      </c>
      <c r="AH44" s="112">
        <f t="shared" si="14"/>
        <v>2.048053846153846</v>
      </c>
      <c r="AI44" s="112">
        <v>0.02</v>
      </c>
      <c r="AJ44" s="112">
        <f t="shared" si="15"/>
        <v>0.45512307692307685</v>
      </c>
      <c r="AK44" s="112"/>
      <c r="AL44" s="112">
        <f t="shared" si="16"/>
        <v>0</v>
      </c>
      <c r="AM44" s="112"/>
      <c r="AN44" s="112">
        <f t="shared" si="17"/>
        <v>0</v>
      </c>
      <c r="AO44" s="99">
        <f t="shared" si="3"/>
        <v>0.13999999999999999</v>
      </c>
      <c r="AP44" s="505">
        <f t="shared" si="3"/>
        <v>3.1858615384615381</v>
      </c>
      <c r="AQ44" s="111"/>
      <c r="AR44" s="112"/>
      <c r="AS44" s="99">
        <f t="shared" si="18"/>
        <v>0</v>
      </c>
      <c r="AT44" s="102">
        <f t="shared" si="4"/>
        <v>0</v>
      </c>
      <c r="AU44" s="103">
        <f t="shared" si="5"/>
        <v>0.13999999999999999</v>
      </c>
      <c r="AV44" s="104">
        <f t="shared" si="6"/>
        <v>3.1858615384615381</v>
      </c>
      <c r="AW44" s="56" t="s">
        <v>155</v>
      </c>
      <c r="AX44" s="56">
        <f t="shared" si="19"/>
        <v>0</v>
      </c>
    </row>
    <row r="45" spans="1:50" ht="15" customHeight="1" x14ac:dyDescent="0.45">
      <c r="A45" s="73"/>
      <c r="B45" s="90"/>
      <c r="C45" s="107">
        <v>33</v>
      </c>
      <c r="D45" s="172" t="s">
        <v>232</v>
      </c>
      <c r="E45" s="173" t="s">
        <v>233</v>
      </c>
      <c r="F45" s="174" t="s">
        <v>203</v>
      </c>
      <c r="G45" s="93"/>
      <c r="H45" s="94">
        <f t="shared" si="7"/>
        <v>0</v>
      </c>
      <c r="I45" s="94"/>
      <c r="J45" s="94"/>
      <c r="K45" s="95">
        <f t="shared" si="1"/>
        <v>0</v>
      </c>
      <c r="L45" s="96">
        <f t="shared" si="1"/>
        <v>0</v>
      </c>
      <c r="M45" s="111"/>
      <c r="N45" s="112">
        <f t="shared" si="8"/>
        <v>0</v>
      </c>
      <c r="O45" s="112"/>
      <c r="P45" s="112">
        <f t="shared" si="20"/>
        <v>0</v>
      </c>
      <c r="Q45" s="112"/>
      <c r="R45" s="112">
        <f t="shared" si="20"/>
        <v>0</v>
      </c>
      <c r="S45" s="112"/>
      <c r="T45" s="112">
        <f t="shared" si="21"/>
        <v>0</v>
      </c>
      <c r="U45" s="112"/>
      <c r="V45" s="112">
        <f t="shared" si="21"/>
        <v>0</v>
      </c>
      <c r="W45" s="112"/>
      <c r="X45" s="112">
        <f t="shared" si="22"/>
        <v>0</v>
      </c>
      <c r="Y45" s="112"/>
      <c r="Z45" s="112">
        <f t="shared" si="22"/>
        <v>0</v>
      </c>
      <c r="AA45" s="112"/>
      <c r="AB45" s="112">
        <f t="shared" si="12"/>
        <v>0</v>
      </c>
      <c r="AC45" s="506">
        <f t="shared" si="2"/>
        <v>0</v>
      </c>
      <c r="AD45" s="507">
        <f t="shared" si="2"/>
        <v>0</v>
      </c>
      <c r="AE45" s="111">
        <v>0.22</v>
      </c>
      <c r="AF45" s="112">
        <f t="shared" si="13"/>
        <v>5.0063538461538455</v>
      </c>
      <c r="AG45" s="112"/>
      <c r="AH45" s="112">
        <f t="shared" si="14"/>
        <v>0</v>
      </c>
      <c r="AI45" s="112"/>
      <c r="AJ45" s="112">
        <f t="shared" si="15"/>
        <v>0</v>
      </c>
      <c r="AK45" s="112"/>
      <c r="AL45" s="112">
        <f t="shared" si="16"/>
        <v>0</v>
      </c>
      <c r="AM45" s="112"/>
      <c r="AN45" s="112">
        <f t="shared" si="17"/>
        <v>0</v>
      </c>
      <c r="AO45" s="99">
        <f t="shared" si="3"/>
        <v>0.22</v>
      </c>
      <c r="AP45" s="505">
        <f t="shared" si="3"/>
        <v>5.0063538461538455</v>
      </c>
      <c r="AQ45" s="111"/>
      <c r="AR45" s="112"/>
      <c r="AS45" s="99">
        <f t="shared" si="18"/>
        <v>0</v>
      </c>
      <c r="AT45" s="102">
        <f t="shared" si="4"/>
        <v>0</v>
      </c>
      <c r="AU45" s="103">
        <f t="shared" si="5"/>
        <v>0.22</v>
      </c>
      <c r="AV45" s="104">
        <f t="shared" si="6"/>
        <v>5.0063538461538455</v>
      </c>
      <c r="AW45" s="56" t="s">
        <v>155</v>
      </c>
      <c r="AX45" s="56">
        <f t="shared" si="19"/>
        <v>0</v>
      </c>
    </row>
    <row r="46" spans="1:50" ht="15" customHeight="1" x14ac:dyDescent="0.45">
      <c r="A46" s="73"/>
      <c r="B46" s="90"/>
      <c r="C46" s="114">
        <v>34</v>
      </c>
      <c r="D46" s="172" t="s">
        <v>234</v>
      </c>
      <c r="E46" s="173" t="s">
        <v>235</v>
      </c>
      <c r="F46" s="110" t="s">
        <v>162</v>
      </c>
      <c r="G46" s="93"/>
      <c r="H46" s="94">
        <f t="shared" si="7"/>
        <v>0</v>
      </c>
      <c r="I46" s="94"/>
      <c r="J46" s="94"/>
      <c r="K46" s="95">
        <f t="shared" si="1"/>
        <v>0</v>
      </c>
      <c r="L46" s="96">
        <f t="shared" si="1"/>
        <v>0</v>
      </c>
      <c r="M46" s="111"/>
      <c r="N46" s="112">
        <f t="shared" si="8"/>
        <v>0</v>
      </c>
      <c r="O46" s="112">
        <v>0.01</v>
      </c>
      <c r="P46" s="112">
        <f t="shared" ref="P46:R61" si="23">P$12/O$12*O46</f>
        <v>0.22756153846153843</v>
      </c>
      <c r="Q46" s="112">
        <v>0.01</v>
      </c>
      <c r="R46" s="112">
        <f t="shared" si="23"/>
        <v>0.22756153846153843</v>
      </c>
      <c r="S46" s="112">
        <v>0.01</v>
      </c>
      <c r="T46" s="112">
        <f t="shared" ref="T46:V61" si="24">T$12/S$12*S46</f>
        <v>0.22756153846153843</v>
      </c>
      <c r="U46" s="112">
        <v>0.01</v>
      </c>
      <c r="V46" s="112">
        <f t="shared" si="24"/>
        <v>0.22756153846153843</v>
      </c>
      <c r="W46" s="112">
        <v>0.01</v>
      </c>
      <c r="X46" s="112">
        <f t="shared" ref="X46:Z61" si="25">X$12/W$12*W46</f>
        <v>0.22756153846153843</v>
      </c>
      <c r="Y46" s="112">
        <v>0.01</v>
      </c>
      <c r="Z46" s="112">
        <f t="shared" si="25"/>
        <v>0.22756153846153843</v>
      </c>
      <c r="AA46" s="112"/>
      <c r="AB46" s="112">
        <f t="shared" si="12"/>
        <v>0</v>
      </c>
      <c r="AC46" s="506">
        <f t="shared" si="2"/>
        <v>6.0000000000000005E-2</v>
      </c>
      <c r="AD46" s="507">
        <f t="shared" si="2"/>
        <v>1.3653692307692304</v>
      </c>
      <c r="AE46" s="111"/>
      <c r="AF46" s="112">
        <f t="shared" si="13"/>
        <v>0</v>
      </c>
      <c r="AG46" s="112"/>
      <c r="AH46" s="112">
        <f t="shared" si="14"/>
        <v>0</v>
      </c>
      <c r="AI46" s="112"/>
      <c r="AJ46" s="112">
        <f t="shared" si="15"/>
        <v>0</v>
      </c>
      <c r="AK46" s="112"/>
      <c r="AL46" s="112">
        <f t="shared" si="16"/>
        <v>0</v>
      </c>
      <c r="AM46" s="112"/>
      <c r="AN46" s="112">
        <f t="shared" si="17"/>
        <v>0</v>
      </c>
      <c r="AO46" s="99">
        <f t="shared" si="3"/>
        <v>0</v>
      </c>
      <c r="AP46" s="505">
        <f t="shared" si="3"/>
        <v>0</v>
      </c>
      <c r="AQ46" s="111"/>
      <c r="AR46" s="112"/>
      <c r="AS46" s="99">
        <f t="shared" si="18"/>
        <v>0</v>
      </c>
      <c r="AT46" s="102">
        <f t="shared" si="4"/>
        <v>0</v>
      </c>
      <c r="AU46" s="103">
        <f t="shared" si="5"/>
        <v>6.0000000000000005E-2</v>
      </c>
      <c r="AV46" s="104">
        <f t="shared" si="6"/>
        <v>1.3653692307692304</v>
      </c>
      <c r="AW46" s="56" t="s">
        <v>155</v>
      </c>
      <c r="AX46" s="56">
        <f t="shared" si="19"/>
        <v>0</v>
      </c>
    </row>
    <row r="47" spans="1:50" ht="15" customHeight="1" x14ac:dyDescent="0.45">
      <c r="A47" s="73"/>
      <c r="B47" s="90"/>
      <c r="C47" s="114">
        <v>35</v>
      </c>
      <c r="D47" s="172" t="s">
        <v>236</v>
      </c>
      <c r="E47" s="173" t="s">
        <v>237</v>
      </c>
      <c r="F47" s="174" t="s">
        <v>203</v>
      </c>
      <c r="G47" s="93"/>
      <c r="H47" s="94">
        <f t="shared" si="7"/>
        <v>0</v>
      </c>
      <c r="I47" s="94"/>
      <c r="J47" s="94"/>
      <c r="K47" s="95">
        <f t="shared" si="1"/>
        <v>0</v>
      </c>
      <c r="L47" s="96">
        <f t="shared" si="1"/>
        <v>0</v>
      </c>
      <c r="M47" s="111"/>
      <c r="N47" s="112">
        <f t="shared" si="8"/>
        <v>0</v>
      </c>
      <c r="O47" s="112"/>
      <c r="P47" s="112">
        <f t="shared" si="23"/>
        <v>0</v>
      </c>
      <c r="Q47" s="112"/>
      <c r="R47" s="112">
        <f t="shared" si="23"/>
        <v>0</v>
      </c>
      <c r="S47" s="112"/>
      <c r="T47" s="112">
        <f t="shared" si="24"/>
        <v>0</v>
      </c>
      <c r="U47" s="112"/>
      <c r="V47" s="112">
        <f t="shared" si="24"/>
        <v>0</v>
      </c>
      <c r="W47" s="112"/>
      <c r="X47" s="112">
        <f t="shared" si="25"/>
        <v>0</v>
      </c>
      <c r="Y47" s="112"/>
      <c r="Z47" s="112">
        <f t="shared" si="25"/>
        <v>0</v>
      </c>
      <c r="AA47" s="112">
        <v>0.02</v>
      </c>
      <c r="AB47" s="112">
        <f t="shared" si="12"/>
        <v>0.45512307692307685</v>
      </c>
      <c r="AC47" s="506">
        <f t="shared" si="2"/>
        <v>0.02</v>
      </c>
      <c r="AD47" s="507">
        <f t="shared" si="2"/>
        <v>0.45512307692307685</v>
      </c>
      <c r="AE47" s="111"/>
      <c r="AF47" s="112">
        <f t="shared" si="13"/>
        <v>0</v>
      </c>
      <c r="AG47" s="112"/>
      <c r="AH47" s="112">
        <f t="shared" si="14"/>
        <v>0</v>
      </c>
      <c r="AI47" s="112"/>
      <c r="AJ47" s="112">
        <f t="shared" si="15"/>
        <v>0</v>
      </c>
      <c r="AK47" s="112"/>
      <c r="AL47" s="112">
        <f t="shared" si="16"/>
        <v>0</v>
      </c>
      <c r="AM47" s="112"/>
      <c r="AN47" s="112">
        <f t="shared" si="17"/>
        <v>0</v>
      </c>
      <c r="AO47" s="99">
        <f t="shared" si="3"/>
        <v>0</v>
      </c>
      <c r="AP47" s="505">
        <f t="shared" si="3"/>
        <v>0</v>
      </c>
      <c r="AQ47" s="111"/>
      <c r="AR47" s="112"/>
      <c r="AS47" s="99">
        <f t="shared" si="18"/>
        <v>0</v>
      </c>
      <c r="AT47" s="102">
        <f t="shared" si="4"/>
        <v>0</v>
      </c>
      <c r="AU47" s="103">
        <f t="shared" si="5"/>
        <v>0.02</v>
      </c>
      <c r="AV47" s="104">
        <f t="shared" si="6"/>
        <v>0.45512307692307685</v>
      </c>
      <c r="AW47" s="56" t="s">
        <v>155</v>
      </c>
      <c r="AX47" s="56">
        <f t="shared" si="19"/>
        <v>0</v>
      </c>
    </row>
    <row r="48" spans="1:50" ht="15" customHeight="1" x14ac:dyDescent="0.45">
      <c r="A48" s="73"/>
      <c r="B48" s="90"/>
      <c r="C48" s="107">
        <v>36</v>
      </c>
      <c r="D48" s="172" t="s">
        <v>238</v>
      </c>
      <c r="E48" s="173">
        <v>0</v>
      </c>
      <c r="F48" s="174" t="s">
        <v>203</v>
      </c>
      <c r="G48" s="93"/>
      <c r="H48" s="94">
        <f t="shared" si="7"/>
        <v>0</v>
      </c>
      <c r="I48" s="94"/>
      <c r="J48" s="94"/>
      <c r="K48" s="95">
        <f t="shared" si="1"/>
        <v>0</v>
      </c>
      <c r="L48" s="96">
        <f t="shared" si="1"/>
        <v>0</v>
      </c>
      <c r="M48" s="111"/>
      <c r="N48" s="112">
        <f t="shared" si="8"/>
        <v>0</v>
      </c>
      <c r="O48" s="112"/>
      <c r="P48" s="112">
        <f t="shared" si="23"/>
        <v>0</v>
      </c>
      <c r="Q48" s="112"/>
      <c r="R48" s="112">
        <f t="shared" si="23"/>
        <v>0</v>
      </c>
      <c r="S48" s="112"/>
      <c r="T48" s="112">
        <f t="shared" si="24"/>
        <v>0</v>
      </c>
      <c r="U48" s="112"/>
      <c r="V48" s="112">
        <f t="shared" si="24"/>
        <v>0</v>
      </c>
      <c r="W48" s="112"/>
      <c r="X48" s="112">
        <f t="shared" si="25"/>
        <v>0</v>
      </c>
      <c r="Y48" s="112"/>
      <c r="Z48" s="112">
        <f t="shared" si="25"/>
        <v>0</v>
      </c>
      <c r="AA48" s="112">
        <v>0.02</v>
      </c>
      <c r="AB48" s="112">
        <f t="shared" si="12"/>
        <v>0.45512307692307685</v>
      </c>
      <c r="AC48" s="506">
        <f t="shared" si="2"/>
        <v>0.02</v>
      </c>
      <c r="AD48" s="507">
        <f t="shared" si="2"/>
        <v>0.45512307692307685</v>
      </c>
      <c r="AE48" s="111"/>
      <c r="AF48" s="112">
        <f t="shared" si="13"/>
        <v>0</v>
      </c>
      <c r="AG48" s="112"/>
      <c r="AH48" s="112">
        <f t="shared" si="14"/>
        <v>0</v>
      </c>
      <c r="AI48" s="112"/>
      <c r="AJ48" s="112">
        <f t="shared" si="15"/>
        <v>0</v>
      </c>
      <c r="AK48" s="112"/>
      <c r="AL48" s="112">
        <f t="shared" si="16"/>
        <v>0</v>
      </c>
      <c r="AM48" s="112"/>
      <c r="AN48" s="112">
        <f t="shared" si="17"/>
        <v>0</v>
      </c>
      <c r="AO48" s="99">
        <f t="shared" si="3"/>
        <v>0</v>
      </c>
      <c r="AP48" s="505">
        <f t="shared" si="3"/>
        <v>0</v>
      </c>
      <c r="AQ48" s="111"/>
      <c r="AR48" s="112"/>
      <c r="AS48" s="99">
        <f t="shared" si="18"/>
        <v>0</v>
      </c>
      <c r="AT48" s="102">
        <f t="shared" si="4"/>
        <v>0</v>
      </c>
      <c r="AU48" s="103">
        <f t="shared" si="5"/>
        <v>0.02</v>
      </c>
      <c r="AV48" s="104">
        <f t="shared" si="6"/>
        <v>0.45512307692307685</v>
      </c>
      <c r="AW48" s="56" t="s">
        <v>156</v>
      </c>
      <c r="AX48" s="56">
        <f t="shared" si="19"/>
        <v>0.45512307692307685</v>
      </c>
    </row>
    <row r="49" spans="1:50" ht="15" customHeight="1" x14ac:dyDescent="0.45">
      <c r="A49" s="73"/>
      <c r="B49" s="90"/>
      <c r="C49" s="114">
        <v>37</v>
      </c>
      <c r="D49" s="172" t="s">
        <v>240</v>
      </c>
      <c r="E49" s="173" t="s">
        <v>241</v>
      </c>
      <c r="F49" s="174" t="s">
        <v>203</v>
      </c>
      <c r="G49" s="93"/>
      <c r="H49" s="94">
        <f t="shared" si="7"/>
        <v>0</v>
      </c>
      <c r="I49" s="94"/>
      <c r="J49" s="94"/>
      <c r="K49" s="95">
        <f t="shared" si="1"/>
        <v>0</v>
      </c>
      <c r="L49" s="96">
        <f t="shared" si="1"/>
        <v>0</v>
      </c>
      <c r="M49" s="111"/>
      <c r="N49" s="112">
        <f t="shared" si="8"/>
        <v>0</v>
      </c>
      <c r="O49" s="112"/>
      <c r="P49" s="112">
        <f t="shared" si="23"/>
        <v>0</v>
      </c>
      <c r="Q49" s="112"/>
      <c r="R49" s="112">
        <f t="shared" si="23"/>
        <v>0</v>
      </c>
      <c r="S49" s="112"/>
      <c r="T49" s="112">
        <f t="shared" si="24"/>
        <v>0</v>
      </c>
      <c r="U49" s="112"/>
      <c r="V49" s="112">
        <f t="shared" si="24"/>
        <v>0</v>
      </c>
      <c r="W49" s="112"/>
      <c r="X49" s="112">
        <f t="shared" si="25"/>
        <v>0</v>
      </c>
      <c r="Y49" s="112"/>
      <c r="Z49" s="112">
        <f t="shared" si="25"/>
        <v>0</v>
      </c>
      <c r="AA49" s="112"/>
      <c r="AB49" s="112">
        <f t="shared" si="12"/>
        <v>0</v>
      </c>
      <c r="AC49" s="506">
        <f t="shared" si="2"/>
        <v>0</v>
      </c>
      <c r="AD49" s="507">
        <f t="shared" si="2"/>
        <v>0</v>
      </c>
      <c r="AE49" s="111">
        <v>0.05</v>
      </c>
      <c r="AF49" s="112">
        <f t="shared" si="13"/>
        <v>1.1378076923076923</v>
      </c>
      <c r="AG49" s="112">
        <v>0.01</v>
      </c>
      <c r="AH49" s="112">
        <f t="shared" si="14"/>
        <v>0.22756153846153843</v>
      </c>
      <c r="AI49" s="112">
        <v>0.01</v>
      </c>
      <c r="AJ49" s="112">
        <f t="shared" si="15"/>
        <v>0.22756153846153843</v>
      </c>
      <c r="AK49" s="112"/>
      <c r="AL49" s="112">
        <f t="shared" si="16"/>
        <v>0</v>
      </c>
      <c r="AM49" s="112"/>
      <c r="AN49" s="112">
        <f t="shared" si="17"/>
        <v>0</v>
      </c>
      <c r="AO49" s="99">
        <f t="shared" si="3"/>
        <v>7.0000000000000007E-2</v>
      </c>
      <c r="AP49" s="505">
        <f t="shared" si="3"/>
        <v>1.592930769230769</v>
      </c>
      <c r="AQ49" s="111"/>
      <c r="AR49" s="112"/>
      <c r="AS49" s="99">
        <f t="shared" si="18"/>
        <v>0</v>
      </c>
      <c r="AT49" s="102">
        <f t="shared" si="4"/>
        <v>0</v>
      </c>
      <c r="AU49" s="103">
        <f t="shared" si="5"/>
        <v>7.0000000000000007E-2</v>
      </c>
      <c r="AV49" s="104">
        <f t="shared" si="6"/>
        <v>1.592930769230769</v>
      </c>
      <c r="AW49" s="56" t="s">
        <v>155</v>
      </c>
      <c r="AX49" s="56">
        <f t="shared" si="19"/>
        <v>0</v>
      </c>
    </row>
    <row r="50" spans="1:50" ht="15" customHeight="1" x14ac:dyDescent="0.45">
      <c r="A50" s="73"/>
      <c r="B50" s="90"/>
      <c r="C50" s="114">
        <v>38</v>
      </c>
      <c r="D50" s="172" t="s">
        <v>242</v>
      </c>
      <c r="E50" s="173" t="s">
        <v>243</v>
      </c>
      <c r="F50" s="110" t="s">
        <v>162</v>
      </c>
      <c r="G50" s="93">
        <v>0.01</v>
      </c>
      <c r="H50" s="94">
        <f t="shared" si="7"/>
        <v>1.8075000000000001</v>
      </c>
      <c r="I50" s="94"/>
      <c r="J50" s="94"/>
      <c r="K50" s="95">
        <f t="shared" si="1"/>
        <v>0.01</v>
      </c>
      <c r="L50" s="96">
        <f t="shared" si="1"/>
        <v>1.8075000000000001</v>
      </c>
      <c r="M50" s="111">
        <v>0.01</v>
      </c>
      <c r="N50" s="112">
        <f t="shared" si="8"/>
        <v>0.22756153846153843</v>
      </c>
      <c r="O50" s="112"/>
      <c r="P50" s="112">
        <f t="shared" si="23"/>
        <v>0</v>
      </c>
      <c r="Q50" s="112"/>
      <c r="R50" s="112">
        <f t="shared" si="23"/>
        <v>0</v>
      </c>
      <c r="S50" s="112"/>
      <c r="T50" s="112">
        <f t="shared" si="24"/>
        <v>0</v>
      </c>
      <c r="U50" s="112"/>
      <c r="V50" s="112">
        <f t="shared" si="24"/>
        <v>0</v>
      </c>
      <c r="W50" s="112"/>
      <c r="X50" s="112">
        <f t="shared" si="25"/>
        <v>0</v>
      </c>
      <c r="Y50" s="112"/>
      <c r="Z50" s="112">
        <f t="shared" si="25"/>
        <v>0</v>
      </c>
      <c r="AA50" s="112"/>
      <c r="AB50" s="112">
        <f t="shared" si="12"/>
        <v>0</v>
      </c>
      <c r="AC50" s="506">
        <f t="shared" si="2"/>
        <v>0.01</v>
      </c>
      <c r="AD50" s="507">
        <f t="shared" si="2"/>
        <v>0.22756153846153843</v>
      </c>
      <c r="AE50" s="111"/>
      <c r="AF50" s="112">
        <f t="shared" si="13"/>
        <v>0</v>
      </c>
      <c r="AG50" s="112"/>
      <c r="AH50" s="112">
        <f t="shared" si="14"/>
        <v>0</v>
      </c>
      <c r="AI50" s="112"/>
      <c r="AJ50" s="112">
        <f t="shared" si="15"/>
        <v>0</v>
      </c>
      <c r="AK50" s="112"/>
      <c r="AL50" s="112">
        <f t="shared" si="16"/>
        <v>0</v>
      </c>
      <c r="AM50" s="112"/>
      <c r="AN50" s="112">
        <f t="shared" si="17"/>
        <v>0</v>
      </c>
      <c r="AO50" s="99">
        <f t="shared" si="3"/>
        <v>0</v>
      </c>
      <c r="AP50" s="505">
        <f t="shared" si="3"/>
        <v>0</v>
      </c>
      <c r="AQ50" s="111"/>
      <c r="AR50" s="112"/>
      <c r="AS50" s="99">
        <f t="shared" si="18"/>
        <v>0</v>
      </c>
      <c r="AT50" s="102">
        <f t="shared" si="4"/>
        <v>0</v>
      </c>
      <c r="AU50" s="103">
        <f t="shared" si="5"/>
        <v>0.02</v>
      </c>
      <c r="AV50" s="104">
        <f t="shared" si="6"/>
        <v>2.0350615384615387</v>
      </c>
      <c r="AW50" s="56" t="s">
        <v>155</v>
      </c>
      <c r="AX50" s="56">
        <f t="shared" si="19"/>
        <v>0</v>
      </c>
    </row>
    <row r="51" spans="1:50" ht="15" customHeight="1" x14ac:dyDescent="0.45">
      <c r="A51" s="73"/>
      <c r="B51" s="90"/>
      <c r="C51" s="175">
        <v>39</v>
      </c>
      <c r="D51" s="172" t="s">
        <v>244</v>
      </c>
      <c r="E51" s="173" t="s">
        <v>245</v>
      </c>
      <c r="F51" s="110" t="s">
        <v>187</v>
      </c>
      <c r="G51" s="93"/>
      <c r="H51" s="94">
        <f t="shared" si="7"/>
        <v>0</v>
      </c>
      <c r="I51" s="94"/>
      <c r="J51" s="94"/>
      <c r="K51" s="95">
        <f t="shared" si="1"/>
        <v>0</v>
      </c>
      <c r="L51" s="96">
        <f t="shared" si="1"/>
        <v>0</v>
      </c>
      <c r="M51" s="111"/>
      <c r="N51" s="112">
        <f t="shared" si="8"/>
        <v>0</v>
      </c>
      <c r="O51" s="112">
        <v>0.01</v>
      </c>
      <c r="P51" s="112">
        <f t="shared" si="23"/>
        <v>0.22756153846153843</v>
      </c>
      <c r="Q51" s="112">
        <v>0.01</v>
      </c>
      <c r="R51" s="112">
        <f t="shared" si="23"/>
        <v>0.22756153846153843</v>
      </c>
      <c r="S51" s="112">
        <v>0.01</v>
      </c>
      <c r="T51" s="112">
        <f t="shared" si="24"/>
        <v>0.22756153846153843</v>
      </c>
      <c r="U51" s="112">
        <v>0.01</v>
      </c>
      <c r="V51" s="112">
        <f t="shared" si="24"/>
        <v>0.22756153846153843</v>
      </c>
      <c r="W51" s="112">
        <v>0.01</v>
      </c>
      <c r="X51" s="112">
        <f t="shared" si="25"/>
        <v>0.22756153846153843</v>
      </c>
      <c r="Y51" s="112">
        <v>0.01</v>
      </c>
      <c r="Z51" s="112">
        <f t="shared" si="25"/>
        <v>0.22756153846153843</v>
      </c>
      <c r="AA51" s="112">
        <v>0.01</v>
      </c>
      <c r="AB51" s="112">
        <f t="shared" si="12"/>
        <v>0.22756153846153843</v>
      </c>
      <c r="AC51" s="506">
        <f t="shared" si="2"/>
        <v>7.0000000000000007E-2</v>
      </c>
      <c r="AD51" s="507">
        <f t="shared" si="2"/>
        <v>1.5929307692307688</v>
      </c>
      <c r="AE51" s="111">
        <v>0.02</v>
      </c>
      <c r="AF51" s="112">
        <f t="shared" si="13"/>
        <v>0.45512307692307685</v>
      </c>
      <c r="AG51" s="112"/>
      <c r="AH51" s="112">
        <f t="shared" si="14"/>
        <v>0</v>
      </c>
      <c r="AI51" s="112"/>
      <c r="AJ51" s="112">
        <f t="shared" si="15"/>
        <v>0</v>
      </c>
      <c r="AK51" s="112"/>
      <c r="AL51" s="112">
        <f t="shared" si="16"/>
        <v>0</v>
      </c>
      <c r="AM51" s="112"/>
      <c r="AN51" s="112">
        <f t="shared" si="17"/>
        <v>0</v>
      </c>
      <c r="AO51" s="99">
        <f t="shared" si="3"/>
        <v>0.02</v>
      </c>
      <c r="AP51" s="505">
        <f t="shared" si="3"/>
        <v>0.45512307692307685</v>
      </c>
      <c r="AQ51" s="111"/>
      <c r="AR51" s="112"/>
      <c r="AS51" s="99">
        <f t="shared" si="18"/>
        <v>0</v>
      </c>
      <c r="AT51" s="102">
        <f t="shared" si="4"/>
        <v>0</v>
      </c>
      <c r="AU51" s="103">
        <f t="shared" si="5"/>
        <v>9.0000000000000011E-2</v>
      </c>
      <c r="AV51" s="104">
        <f t="shared" si="6"/>
        <v>2.0480538461538456</v>
      </c>
      <c r="AW51" s="56" t="s">
        <v>155</v>
      </c>
      <c r="AX51" s="56">
        <f t="shared" si="19"/>
        <v>0</v>
      </c>
    </row>
    <row r="52" spans="1:50" ht="15" customHeight="1" x14ac:dyDescent="0.45">
      <c r="A52" s="73"/>
      <c r="B52" s="106" t="s">
        <v>246</v>
      </c>
      <c r="C52" s="114">
        <v>40</v>
      </c>
      <c r="D52" s="172" t="s">
        <v>247</v>
      </c>
      <c r="E52" s="173" t="s">
        <v>248</v>
      </c>
      <c r="F52" s="110" t="s">
        <v>187</v>
      </c>
      <c r="G52" s="93"/>
      <c r="H52" s="94">
        <f t="shared" si="7"/>
        <v>0</v>
      </c>
      <c r="I52" s="94"/>
      <c r="J52" s="94"/>
      <c r="K52" s="95">
        <f t="shared" si="1"/>
        <v>0</v>
      </c>
      <c r="L52" s="96">
        <f t="shared" si="1"/>
        <v>0</v>
      </c>
      <c r="M52" s="111"/>
      <c r="N52" s="112">
        <f t="shared" si="8"/>
        <v>0</v>
      </c>
      <c r="O52" s="112">
        <v>0.01</v>
      </c>
      <c r="P52" s="112">
        <f t="shared" si="23"/>
        <v>0.22756153846153843</v>
      </c>
      <c r="Q52" s="112">
        <v>0.01</v>
      </c>
      <c r="R52" s="112">
        <f t="shared" si="23"/>
        <v>0.22756153846153843</v>
      </c>
      <c r="S52" s="112">
        <v>0.01</v>
      </c>
      <c r="T52" s="112">
        <f t="shared" si="24"/>
        <v>0.22756153846153843</v>
      </c>
      <c r="U52" s="112">
        <v>0.01</v>
      </c>
      <c r="V52" s="112">
        <f t="shared" si="24"/>
        <v>0.22756153846153843</v>
      </c>
      <c r="W52" s="112">
        <v>0.01</v>
      </c>
      <c r="X52" s="112">
        <f t="shared" si="25"/>
        <v>0.22756153846153843</v>
      </c>
      <c r="Y52" s="112">
        <v>0.01</v>
      </c>
      <c r="Z52" s="112">
        <f t="shared" si="25"/>
        <v>0.22756153846153843</v>
      </c>
      <c r="AA52" s="112"/>
      <c r="AB52" s="112">
        <f t="shared" si="12"/>
        <v>0</v>
      </c>
      <c r="AC52" s="506">
        <f t="shared" si="2"/>
        <v>6.0000000000000005E-2</v>
      </c>
      <c r="AD52" s="507">
        <f t="shared" si="2"/>
        <v>1.3653692307692304</v>
      </c>
      <c r="AE52" s="111"/>
      <c r="AF52" s="112">
        <f t="shared" si="13"/>
        <v>0</v>
      </c>
      <c r="AG52" s="112"/>
      <c r="AH52" s="112">
        <f t="shared" si="14"/>
        <v>0</v>
      </c>
      <c r="AI52" s="112"/>
      <c r="AJ52" s="112">
        <f t="shared" si="15"/>
        <v>0</v>
      </c>
      <c r="AK52" s="112"/>
      <c r="AL52" s="112">
        <f t="shared" si="16"/>
        <v>0</v>
      </c>
      <c r="AM52" s="112"/>
      <c r="AN52" s="112">
        <f t="shared" si="17"/>
        <v>0</v>
      </c>
      <c r="AO52" s="99">
        <f t="shared" si="3"/>
        <v>0</v>
      </c>
      <c r="AP52" s="505">
        <f t="shared" si="3"/>
        <v>0</v>
      </c>
      <c r="AQ52" s="111"/>
      <c r="AR52" s="112"/>
      <c r="AS52" s="99">
        <f t="shared" si="18"/>
        <v>0</v>
      </c>
      <c r="AT52" s="102">
        <f t="shared" si="4"/>
        <v>0</v>
      </c>
      <c r="AU52" s="103">
        <f t="shared" si="5"/>
        <v>6.0000000000000005E-2</v>
      </c>
      <c r="AV52" s="104">
        <f t="shared" si="6"/>
        <v>1.3653692307692304</v>
      </c>
      <c r="AW52" s="56" t="s">
        <v>155</v>
      </c>
      <c r="AX52" s="56">
        <f t="shared" si="19"/>
        <v>0</v>
      </c>
    </row>
    <row r="53" spans="1:50" ht="15" customHeight="1" x14ac:dyDescent="0.45">
      <c r="A53" s="73"/>
      <c r="B53" s="90"/>
      <c r="C53" s="114">
        <v>41</v>
      </c>
      <c r="D53" s="172" t="s">
        <v>249</v>
      </c>
      <c r="E53" s="173" t="s">
        <v>250</v>
      </c>
      <c r="F53" s="174" t="s">
        <v>203</v>
      </c>
      <c r="G53" s="93"/>
      <c r="H53" s="94">
        <f t="shared" si="7"/>
        <v>0</v>
      </c>
      <c r="I53" s="94"/>
      <c r="J53" s="94"/>
      <c r="K53" s="95">
        <f t="shared" si="1"/>
        <v>0</v>
      </c>
      <c r="L53" s="96">
        <f t="shared" si="1"/>
        <v>0</v>
      </c>
      <c r="M53" s="111"/>
      <c r="N53" s="112">
        <f t="shared" si="8"/>
        <v>0</v>
      </c>
      <c r="O53" s="112">
        <v>0.15</v>
      </c>
      <c r="P53" s="112">
        <f t="shared" si="23"/>
        <v>3.4134230769230762</v>
      </c>
      <c r="Q53" s="112">
        <v>0.15</v>
      </c>
      <c r="R53" s="112">
        <f t="shared" si="23"/>
        <v>3.4134230769230762</v>
      </c>
      <c r="S53" s="112">
        <v>0.15</v>
      </c>
      <c r="T53" s="112">
        <f t="shared" si="24"/>
        <v>3.4134230769230762</v>
      </c>
      <c r="U53" s="112">
        <v>0.15</v>
      </c>
      <c r="V53" s="112">
        <f t="shared" si="24"/>
        <v>3.4134230769230762</v>
      </c>
      <c r="W53" s="112">
        <v>0.15</v>
      </c>
      <c r="X53" s="112">
        <f t="shared" si="25"/>
        <v>3.4134230769230762</v>
      </c>
      <c r="Y53" s="112">
        <v>0.1</v>
      </c>
      <c r="Z53" s="112">
        <f t="shared" si="25"/>
        <v>2.2756153846153846</v>
      </c>
      <c r="AA53" s="112"/>
      <c r="AB53" s="112">
        <f t="shared" si="12"/>
        <v>0</v>
      </c>
      <c r="AC53" s="506">
        <f t="shared" si="2"/>
        <v>0.85</v>
      </c>
      <c r="AD53" s="507">
        <f t="shared" si="2"/>
        <v>19.342730769230766</v>
      </c>
      <c r="AE53" s="111"/>
      <c r="AF53" s="112">
        <f t="shared" si="13"/>
        <v>0</v>
      </c>
      <c r="AG53" s="112"/>
      <c r="AH53" s="112">
        <f t="shared" si="14"/>
        <v>0</v>
      </c>
      <c r="AI53" s="112"/>
      <c r="AJ53" s="112">
        <f t="shared" si="15"/>
        <v>0</v>
      </c>
      <c r="AK53" s="112"/>
      <c r="AL53" s="112">
        <f t="shared" si="16"/>
        <v>0</v>
      </c>
      <c r="AM53" s="112"/>
      <c r="AN53" s="112">
        <f t="shared" si="17"/>
        <v>0</v>
      </c>
      <c r="AO53" s="99">
        <f t="shared" si="3"/>
        <v>0</v>
      </c>
      <c r="AP53" s="505">
        <f t="shared" si="3"/>
        <v>0</v>
      </c>
      <c r="AQ53" s="111"/>
      <c r="AR53" s="112"/>
      <c r="AS53" s="99">
        <f t="shared" si="18"/>
        <v>0</v>
      </c>
      <c r="AT53" s="102">
        <f t="shared" si="4"/>
        <v>0</v>
      </c>
      <c r="AU53" s="103">
        <f t="shared" si="5"/>
        <v>0.85</v>
      </c>
      <c r="AV53" s="104">
        <f t="shared" si="6"/>
        <v>19.342730769230766</v>
      </c>
      <c r="AW53" s="56" t="s">
        <v>155</v>
      </c>
      <c r="AX53" s="56">
        <f t="shared" si="19"/>
        <v>0</v>
      </c>
    </row>
    <row r="54" spans="1:50" ht="15" customHeight="1" x14ac:dyDescent="0.45">
      <c r="A54" s="73"/>
      <c r="B54" s="90"/>
      <c r="C54" s="107">
        <v>42</v>
      </c>
      <c r="D54" s="172" t="s">
        <v>251</v>
      </c>
      <c r="E54" s="173" t="s">
        <v>252</v>
      </c>
      <c r="F54" s="174" t="s">
        <v>203</v>
      </c>
      <c r="G54" s="93"/>
      <c r="H54" s="94">
        <f t="shared" si="7"/>
        <v>0</v>
      </c>
      <c r="I54" s="94"/>
      <c r="J54" s="94"/>
      <c r="K54" s="95">
        <f t="shared" si="1"/>
        <v>0</v>
      </c>
      <c r="L54" s="96">
        <f t="shared" si="1"/>
        <v>0</v>
      </c>
      <c r="M54" s="111"/>
      <c r="N54" s="112">
        <f t="shared" si="8"/>
        <v>0</v>
      </c>
      <c r="O54" s="112">
        <v>0.03</v>
      </c>
      <c r="P54" s="112">
        <f t="shared" si="23"/>
        <v>0.68268461538461522</v>
      </c>
      <c r="Q54" s="112">
        <v>0.03</v>
      </c>
      <c r="R54" s="112">
        <f t="shared" si="23"/>
        <v>0.68268461538461522</v>
      </c>
      <c r="S54" s="112">
        <v>0.03</v>
      </c>
      <c r="T54" s="112">
        <f t="shared" si="24"/>
        <v>0.68268461538461522</v>
      </c>
      <c r="U54" s="112">
        <v>0.02</v>
      </c>
      <c r="V54" s="112">
        <f t="shared" si="24"/>
        <v>0.45512307692307685</v>
      </c>
      <c r="W54" s="112">
        <v>0.04</v>
      </c>
      <c r="X54" s="112">
        <f t="shared" si="25"/>
        <v>0.9102461538461537</v>
      </c>
      <c r="Y54" s="112">
        <v>0.05</v>
      </c>
      <c r="Z54" s="112">
        <f t="shared" si="25"/>
        <v>1.1378076923076923</v>
      </c>
      <c r="AA54" s="112"/>
      <c r="AB54" s="112">
        <f t="shared" si="12"/>
        <v>0</v>
      </c>
      <c r="AC54" s="506">
        <f t="shared" si="2"/>
        <v>0.2</v>
      </c>
      <c r="AD54" s="507">
        <f t="shared" si="2"/>
        <v>4.5512307692307683</v>
      </c>
      <c r="AE54" s="111"/>
      <c r="AF54" s="112">
        <f t="shared" si="13"/>
        <v>0</v>
      </c>
      <c r="AG54" s="112"/>
      <c r="AH54" s="112">
        <f t="shared" si="14"/>
        <v>0</v>
      </c>
      <c r="AI54" s="112"/>
      <c r="AJ54" s="112">
        <f t="shared" si="15"/>
        <v>0</v>
      </c>
      <c r="AK54" s="112"/>
      <c r="AL54" s="112">
        <f t="shared" si="16"/>
        <v>0</v>
      </c>
      <c r="AM54" s="112"/>
      <c r="AN54" s="112">
        <f t="shared" si="17"/>
        <v>0</v>
      </c>
      <c r="AO54" s="99">
        <f t="shared" si="3"/>
        <v>0</v>
      </c>
      <c r="AP54" s="505">
        <f t="shared" si="3"/>
        <v>0</v>
      </c>
      <c r="AQ54" s="111"/>
      <c r="AR54" s="112"/>
      <c r="AS54" s="99">
        <f t="shared" si="18"/>
        <v>0</v>
      </c>
      <c r="AT54" s="102">
        <f t="shared" si="4"/>
        <v>0</v>
      </c>
      <c r="AU54" s="103">
        <f t="shared" si="5"/>
        <v>0.2</v>
      </c>
      <c r="AV54" s="104">
        <f t="shared" si="6"/>
        <v>4.5512307692307683</v>
      </c>
      <c r="AW54" s="56" t="s">
        <v>155</v>
      </c>
      <c r="AX54" s="56">
        <f t="shared" si="19"/>
        <v>0</v>
      </c>
    </row>
    <row r="55" spans="1:50" ht="15" customHeight="1" x14ac:dyDescent="0.45">
      <c r="A55" s="73"/>
      <c r="B55" s="90"/>
      <c r="C55" s="175">
        <v>43</v>
      </c>
      <c r="D55" s="172" t="s">
        <v>253</v>
      </c>
      <c r="E55" s="173" t="s">
        <v>254</v>
      </c>
      <c r="F55" s="110" t="s">
        <v>177</v>
      </c>
      <c r="G55" s="93"/>
      <c r="H55" s="94">
        <f t="shared" si="7"/>
        <v>0</v>
      </c>
      <c r="I55" s="94"/>
      <c r="J55" s="94"/>
      <c r="K55" s="95">
        <f t="shared" si="1"/>
        <v>0</v>
      </c>
      <c r="L55" s="96">
        <f t="shared" si="1"/>
        <v>0</v>
      </c>
      <c r="M55" s="111"/>
      <c r="N55" s="112">
        <f t="shared" si="8"/>
        <v>0</v>
      </c>
      <c r="O55" s="112">
        <v>0.01</v>
      </c>
      <c r="P55" s="112">
        <f t="shared" si="23"/>
        <v>0.22756153846153843</v>
      </c>
      <c r="Q55" s="112">
        <v>0.01</v>
      </c>
      <c r="R55" s="112">
        <f t="shared" si="23"/>
        <v>0.22756153846153843</v>
      </c>
      <c r="S55" s="112">
        <v>0.01</v>
      </c>
      <c r="T55" s="112">
        <f t="shared" si="24"/>
        <v>0.22756153846153843</v>
      </c>
      <c r="U55" s="112">
        <v>0.01</v>
      </c>
      <c r="V55" s="112">
        <f t="shared" si="24"/>
        <v>0.22756153846153843</v>
      </c>
      <c r="W55" s="112">
        <v>0.04</v>
      </c>
      <c r="X55" s="112">
        <f t="shared" si="25"/>
        <v>0.9102461538461537</v>
      </c>
      <c r="Y55" s="112">
        <v>0.04</v>
      </c>
      <c r="Z55" s="112">
        <f t="shared" si="25"/>
        <v>0.9102461538461537</v>
      </c>
      <c r="AA55" s="112"/>
      <c r="AB55" s="112">
        <f t="shared" si="12"/>
        <v>0</v>
      </c>
      <c r="AC55" s="506">
        <f t="shared" si="2"/>
        <v>0.12</v>
      </c>
      <c r="AD55" s="507">
        <f t="shared" si="2"/>
        <v>2.7307384615384613</v>
      </c>
      <c r="AE55" s="111"/>
      <c r="AF55" s="112">
        <f t="shared" si="13"/>
        <v>0</v>
      </c>
      <c r="AG55" s="112"/>
      <c r="AH55" s="112">
        <f t="shared" si="14"/>
        <v>0</v>
      </c>
      <c r="AI55" s="112"/>
      <c r="AJ55" s="112">
        <f t="shared" si="15"/>
        <v>0</v>
      </c>
      <c r="AK55" s="112"/>
      <c r="AL55" s="112">
        <f t="shared" si="16"/>
        <v>0</v>
      </c>
      <c r="AM55" s="112"/>
      <c r="AN55" s="112">
        <f t="shared" si="17"/>
        <v>0</v>
      </c>
      <c r="AO55" s="99">
        <f t="shared" si="3"/>
        <v>0</v>
      </c>
      <c r="AP55" s="505">
        <f t="shared" si="3"/>
        <v>0</v>
      </c>
      <c r="AQ55" s="111"/>
      <c r="AR55" s="112"/>
      <c r="AS55" s="99">
        <f t="shared" si="18"/>
        <v>0</v>
      </c>
      <c r="AT55" s="102">
        <f t="shared" si="4"/>
        <v>0</v>
      </c>
      <c r="AU55" s="103">
        <f t="shared" si="5"/>
        <v>0.12</v>
      </c>
      <c r="AV55" s="104">
        <f t="shared" si="6"/>
        <v>2.7307384615384613</v>
      </c>
      <c r="AW55" s="56" t="s">
        <v>155</v>
      </c>
      <c r="AX55" s="56">
        <f t="shared" si="19"/>
        <v>0</v>
      </c>
    </row>
    <row r="56" spans="1:50" ht="15" customHeight="1" x14ac:dyDescent="0.45">
      <c r="A56" s="73"/>
      <c r="B56" s="106" t="s">
        <v>255</v>
      </c>
      <c r="C56" s="107">
        <v>44</v>
      </c>
      <c r="D56" s="172" t="s">
        <v>256</v>
      </c>
      <c r="E56" s="173" t="s">
        <v>257</v>
      </c>
      <c r="F56" s="110" t="s">
        <v>177</v>
      </c>
      <c r="G56" s="93"/>
      <c r="H56" s="94">
        <f t="shared" si="7"/>
        <v>0</v>
      </c>
      <c r="I56" s="94"/>
      <c r="J56" s="94"/>
      <c r="K56" s="95">
        <f t="shared" si="1"/>
        <v>0</v>
      </c>
      <c r="L56" s="96">
        <f t="shared" si="1"/>
        <v>0</v>
      </c>
      <c r="M56" s="111"/>
      <c r="N56" s="112">
        <f t="shared" si="8"/>
        <v>0</v>
      </c>
      <c r="O56" s="112">
        <v>0.01</v>
      </c>
      <c r="P56" s="112">
        <f t="shared" si="23"/>
        <v>0.22756153846153843</v>
      </c>
      <c r="Q56" s="112">
        <v>0.01</v>
      </c>
      <c r="R56" s="112">
        <f t="shared" si="23"/>
        <v>0.22756153846153843</v>
      </c>
      <c r="S56" s="112">
        <v>0.01</v>
      </c>
      <c r="T56" s="112">
        <f t="shared" si="24"/>
        <v>0.22756153846153843</v>
      </c>
      <c r="U56" s="112">
        <v>0.01</v>
      </c>
      <c r="V56" s="112">
        <f t="shared" si="24"/>
        <v>0.22756153846153843</v>
      </c>
      <c r="W56" s="112">
        <v>0.01</v>
      </c>
      <c r="X56" s="112">
        <f t="shared" si="25"/>
        <v>0.22756153846153843</v>
      </c>
      <c r="Y56" s="112">
        <v>0.01</v>
      </c>
      <c r="Z56" s="112">
        <f t="shared" si="25"/>
        <v>0.22756153846153843</v>
      </c>
      <c r="AA56" s="112"/>
      <c r="AB56" s="112">
        <f t="shared" si="12"/>
        <v>0</v>
      </c>
      <c r="AC56" s="506">
        <f t="shared" si="2"/>
        <v>6.0000000000000005E-2</v>
      </c>
      <c r="AD56" s="507">
        <f t="shared" si="2"/>
        <v>1.3653692307692304</v>
      </c>
      <c r="AE56" s="111"/>
      <c r="AF56" s="112">
        <f t="shared" si="13"/>
        <v>0</v>
      </c>
      <c r="AG56" s="112"/>
      <c r="AH56" s="112">
        <f t="shared" si="14"/>
        <v>0</v>
      </c>
      <c r="AI56" s="112"/>
      <c r="AJ56" s="112">
        <f t="shared" si="15"/>
        <v>0</v>
      </c>
      <c r="AK56" s="112"/>
      <c r="AL56" s="112">
        <f t="shared" si="16"/>
        <v>0</v>
      </c>
      <c r="AM56" s="112"/>
      <c r="AN56" s="112">
        <f t="shared" si="17"/>
        <v>0</v>
      </c>
      <c r="AO56" s="99">
        <f t="shared" si="3"/>
        <v>0</v>
      </c>
      <c r="AP56" s="505">
        <f t="shared" si="3"/>
        <v>0</v>
      </c>
      <c r="AQ56" s="111"/>
      <c r="AR56" s="112"/>
      <c r="AS56" s="99">
        <f t="shared" si="18"/>
        <v>0</v>
      </c>
      <c r="AT56" s="102">
        <f t="shared" si="4"/>
        <v>0</v>
      </c>
      <c r="AU56" s="103">
        <f t="shared" si="5"/>
        <v>6.0000000000000005E-2</v>
      </c>
      <c r="AV56" s="104">
        <f t="shared" si="6"/>
        <v>1.3653692307692304</v>
      </c>
      <c r="AW56" s="56" t="s">
        <v>155</v>
      </c>
      <c r="AX56" s="56">
        <f t="shared" si="19"/>
        <v>0</v>
      </c>
    </row>
    <row r="57" spans="1:50" ht="15" customHeight="1" x14ac:dyDescent="0.45">
      <c r="A57" s="73"/>
      <c r="B57" s="90"/>
      <c r="C57" s="107">
        <v>45</v>
      </c>
      <c r="D57" s="172" t="s">
        <v>258</v>
      </c>
      <c r="E57" s="173" t="s">
        <v>259</v>
      </c>
      <c r="F57" s="110" t="s">
        <v>187</v>
      </c>
      <c r="G57" s="93"/>
      <c r="H57" s="94">
        <f t="shared" si="7"/>
        <v>0</v>
      </c>
      <c r="I57" s="94"/>
      <c r="J57" s="94"/>
      <c r="K57" s="95">
        <f t="shared" si="1"/>
        <v>0</v>
      </c>
      <c r="L57" s="96">
        <f t="shared" si="1"/>
        <v>0</v>
      </c>
      <c r="M57" s="111"/>
      <c r="N57" s="112">
        <f t="shared" si="8"/>
        <v>0</v>
      </c>
      <c r="O57" s="112">
        <v>0.01</v>
      </c>
      <c r="P57" s="112">
        <f t="shared" si="23"/>
        <v>0.22756153846153843</v>
      </c>
      <c r="Q57" s="112">
        <v>0.01</v>
      </c>
      <c r="R57" s="112">
        <f t="shared" si="23"/>
        <v>0.22756153846153843</v>
      </c>
      <c r="S57" s="112">
        <v>0.01</v>
      </c>
      <c r="T57" s="112">
        <f t="shared" si="24"/>
        <v>0.22756153846153843</v>
      </c>
      <c r="U57" s="112">
        <v>0.01</v>
      </c>
      <c r="V57" s="112">
        <f t="shared" si="24"/>
        <v>0.22756153846153843</v>
      </c>
      <c r="W57" s="112">
        <v>0.01</v>
      </c>
      <c r="X57" s="112">
        <f t="shared" si="25"/>
        <v>0.22756153846153843</v>
      </c>
      <c r="Y57" s="112">
        <v>0.01</v>
      </c>
      <c r="Z57" s="112">
        <f t="shared" si="25"/>
        <v>0.22756153846153843</v>
      </c>
      <c r="AA57" s="112"/>
      <c r="AB57" s="112">
        <f t="shared" si="12"/>
        <v>0</v>
      </c>
      <c r="AC57" s="506">
        <f t="shared" si="2"/>
        <v>6.0000000000000005E-2</v>
      </c>
      <c r="AD57" s="507">
        <f t="shared" si="2"/>
        <v>1.3653692307692304</v>
      </c>
      <c r="AE57" s="111"/>
      <c r="AF57" s="112">
        <f t="shared" si="13"/>
        <v>0</v>
      </c>
      <c r="AG57" s="112"/>
      <c r="AH57" s="112">
        <f t="shared" si="14"/>
        <v>0</v>
      </c>
      <c r="AI57" s="112"/>
      <c r="AJ57" s="112">
        <f t="shared" si="15"/>
        <v>0</v>
      </c>
      <c r="AK57" s="112"/>
      <c r="AL57" s="112">
        <f t="shared" si="16"/>
        <v>0</v>
      </c>
      <c r="AM57" s="112"/>
      <c r="AN57" s="112">
        <f t="shared" si="17"/>
        <v>0</v>
      </c>
      <c r="AO57" s="99">
        <f t="shared" si="3"/>
        <v>0</v>
      </c>
      <c r="AP57" s="505">
        <f t="shared" si="3"/>
        <v>0</v>
      </c>
      <c r="AQ57" s="111"/>
      <c r="AR57" s="112"/>
      <c r="AS57" s="99">
        <f t="shared" si="18"/>
        <v>0</v>
      </c>
      <c r="AT57" s="102">
        <f t="shared" si="4"/>
        <v>0</v>
      </c>
      <c r="AU57" s="103">
        <f t="shared" si="5"/>
        <v>6.0000000000000005E-2</v>
      </c>
      <c r="AV57" s="104">
        <f t="shared" si="6"/>
        <v>1.3653692307692304</v>
      </c>
      <c r="AW57" s="56" t="s">
        <v>155</v>
      </c>
      <c r="AX57" s="56">
        <f t="shared" si="19"/>
        <v>0</v>
      </c>
    </row>
    <row r="58" spans="1:50" ht="15" customHeight="1" x14ac:dyDescent="0.45">
      <c r="A58" s="73"/>
      <c r="B58" s="90"/>
      <c r="C58" s="175">
        <v>46</v>
      </c>
      <c r="D58" s="172" t="s">
        <v>260</v>
      </c>
      <c r="E58" s="173" t="s">
        <v>261</v>
      </c>
      <c r="F58" s="110" t="s">
        <v>187</v>
      </c>
      <c r="G58" s="93"/>
      <c r="H58" s="94">
        <f t="shared" si="7"/>
        <v>0</v>
      </c>
      <c r="I58" s="94"/>
      <c r="J58" s="94"/>
      <c r="K58" s="95">
        <f t="shared" si="1"/>
        <v>0</v>
      </c>
      <c r="L58" s="96">
        <f t="shared" si="1"/>
        <v>0</v>
      </c>
      <c r="M58" s="111"/>
      <c r="N58" s="112">
        <f t="shared" si="8"/>
        <v>0</v>
      </c>
      <c r="O58" s="112">
        <v>0.01</v>
      </c>
      <c r="P58" s="112">
        <f t="shared" si="23"/>
        <v>0.22756153846153843</v>
      </c>
      <c r="Q58" s="112">
        <v>0.01</v>
      </c>
      <c r="R58" s="112">
        <f t="shared" si="23"/>
        <v>0.22756153846153843</v>
      </c>
      <c r="S58" s="112">
        <v>0.01</v>
      </c>
      <c r="T58" s="112">
        <f t="shared" si="24"/>
        <v>0.22756153846153843</v>
      </c>
      <c r="U58" s="112">
        <v>0.01</v>
      </c>
      <c r="V58" s="112">
        <f t="shared" si="24"/>
        <v>0.22756153846153843</v>
      </c>
      <c r="W58" s="112">
        <v>0.01</v>
      </c>
      <c r="X58" s="112">
        <f t="shared" si="25"/>
        <v>0.22756153846153843</v>
      </c>
      <c r="Y58" s="112">
        <v>0.01</v>
      </c>
      <c r="Z58" s="112">
        <f t="shared" si="25"/>
        <v>0.22756153846153843</v>
      </c>
      <c r="AA58" s="112"/>
      <c r="AB58" s="112">
        <f t="shared" si="12"/>
        <v>0</v>
      </c>
      <c r="AC58" s="506">
        <f t="shared" si="2"/>
        <v>6.0000000000000005E-2</v>
      </c>
      <c r="AD58" s="507">
        <f t="shared" si="2"/>
        <v>1.3653692307692304</v>
      </c>
      <c r="AE58" s="111">
        <v>0.2</v>
      </c>
      <c r="AF58" s="112">
        <f t="shared" si="13"/>
        <v>4.5512307692307692</v>
      </c>
      <c r="AG58" s="112">
        <v>0.01</v>
      </c>
      <c r="AH58" s="112">
        <f t="shared" si="14"/>
        <v>0.22756153846153843</v>
      </c>
      <c r="AI58" s="112">
        <v>0.01</v>
      </c>
      <c r="AJ58" s="112">
        <f t="shared" si="15"/>
        <v>0.22756153846153843</v>
      </c>
      <c r="AK58" s="112"/>
      <c r="AL58" s="112">
        <f t="shared" si="16"/>
        <v>0</v>
      </c>
      <c r="AM58" s="112"/>
      <c r="AN58" s="112">
        <f t="shared" si="17"/>
        <v>0</v>
      </c>
      <c r="AO58" s="99">
        <f t="shared" si="3"/>
        <v>0.22000000000000003</v>
      </c>
      <c r="AP58" s="505">
        <f t="shared" si="3"/>
        <v>5.0063538461538455</v>
      </c>
      <c r="AQ58" s="111"/>
      <c r="AR58" s="112"/>
      <c r="AS58" s="99">
        <f t="shared" si="18"/>
        <v>0</v>
      </c>
      <c r="AT58" s="102">
        <f t="shared" si="4"/>
        <v>0</v>
      </c>
      <c r="AU58" s="103">
        <f t="shared" si="5"/>
        <v>0.28000000000000003</v>
      </c>
      <c r="AV58" s="104">
        <f t="shared" si="6"/>
        <v>6.3717230769230762</v>
      </c>
      <c r="AW58" s="56" t="s">
        <v>155</v>
      </c>
      <c r="AX58" s="56">
        <f t="shared" si="19"/>
        <v>0</v>
      </c>
    </row>
    <row r="59" spans="1:50" ht="15" customHeight="1" x14ac:dyDescent="0.45">
      <c r="A59" s="73"/>
      <c r="B59" s="106" t="s">
        <v>262</v>
      </c>
      <c r="C59" s="107">
        <v>47</v>
      </c>
      <c r="D59" s="172" t="s">
        <v>263</v>
      </c>
      <c r="E59" s="173" t="s">
        <v>264</v>
      </c>
      <c r="F59" s="174" t="s">
        <v>203</v>
      </c>
      <c r="G59" s="93"/>
      <c r="H59" s="94">
        <f t="shared" si="7"/>
        <v>0</v>
      </c>
      <c r="I59" s="94"/>
      <c r="J59" s="94"/>
      <c r="K59" s="95">
        <f t="shared" si="1"/>
        <v>0</v>
      </c>
      <c r="L59" s="96">
        <f t="shared" si="1"/>
        <v>0</v>
      </c>
      <c r="M59" s="111"/>
      <c r="N59" s="112">
        <f t="shared" si="8"/>
        <v>0</v>
      </c>
      <c r="O59" s="112">
        <v>0.02</v>
      </c>
      <c r="P59" s="112">
        <f t="shared" si="23"/>
        <v>0.45512307692307685</v>
      </c>
      <c r="Q59" s="112">
        <v>0.02</v>
      </c>
      <c r="R59" s="112">
        <f t="shared" si="23"/>
        <v>0.45512307692307685</v>
      </c>
      <c r="S59" s="112">
        <v>0.02</v>
      </c>
      <c r="T59" s="112">
        <f t="shared" si="24"/>
        <v>0.45512307692307685</v>
      </c>
      <c r="U59" s="112">
        <v>0.01</v>
      </c>
      <c r="V59" s="112">
        <f t="shared" si="24"/>
        <v>0.22756153846153843</v>
      </c>
      <c r="W59" s="112">
        <v>0.01</v>
      </c>
      <c r="X59" s="112">
        <f t="shared" si="25"/>
        <v>0.22756153846153843</v>
      </c>
      <c r="Y59" s="112">
        <v>0.01</v>
      </c>
      <c r="Z59" s="112">
        <f t="shared" si="25"/>
        <v>0.22756153846153843</v>
      </c>
      <c r="AA59" s="112"/>
      <c r="AB59" s="112">
        <f t="shared" si="12"/>
        <v>0</v>
      </c>
      <c r="AC59" s="506">
        <f t="shared" si="2"/>
        <v>8.9999999999999983E-2</v>
      </c>
      <c r="AD59" s="507">
        <f t="shared" si="2"/>
        <v>2.048053846153846</v>
      </c>
      <c r="AE59" s="111"/>
      <c r="AF59" s="112">
        <f t="shared" si="13"/>
        <v>0</v>
      </c>
      <c r="AG59" s="112"/>
      <c r="AH59" s="112">
        <f t="shared" si="14"/>
        <v>0</v>
      </c>
      <c r="AI59" s="112"/>
      <c r="AJ59" s="112">
        <f t="shared" si="15"/>
        <v>0</v>
      </c>
      <c r="AK59" s="112"/>
      <c r="AL59" s="112">
        <f t="shared" si="16"/>
        <v>0</v>
      </c>
      <c r="AM59" s="112"/>
      <c r="AN59" s="112">
        <f t="shared" si="17"/>
        <v>0</v>
      </c>
      <c r="AO59" s="99">
        <f t="shared" si="3"/>
        <v>0</v>
      </c>
      <c r="AP59" s="505">
        <f t="shared" si="3"/>
        <v>0</v>
      </c>
      <c r="AQ59" s="111"/>
      <c r="AR59" s="112"/>
      <c r="AS59" s="99">
        <f t="shared" si="18"/>
        <v>0</v>
      </c>
      <c r="AT59" s="102">
        <f t="shared" si="4"/>
        <v>0</v>
      </c>
      <c r="AU59" s="103">
        <f t="shared" si="5"/>
        <v>8.9999999999999983E-2</v>
      </c>
      <c r="AV59" s="104">
        <f t="shared" si="6"/>
        <v>2.048053846153846</v>
      </c>
      <c r="AW59" s="56" t="s">
        <v>155</v>
      </c>
      <c r="AX59" s="56">
        <f t="shared" si="19"/>
        <v>0</v>
      </c>
    </row>
    <row r="60" spans="1:50" ht="15" customHeight="1" x14ac:dyDescent="0.45">
      <c r="A60" s="73"/>
      <c r="B60" s="90"/>
      <c r="C60" s="107">
        <v>48</v>
      </c>
      <c r="D60" s="172" t="s">
        <v>223</v>
      </c>
      <c r="E60" s="173" t="s">
        <v>265</v>
      </c>
      <c r="F60" s="174" t="s">
        <v>203</v>
      </c>
      <c r="G60" s="93"/>
      <c r="H60" s="94">
        <f t="shared" si="7"/>
        <v>0</v>
      </c>
      <c r="I60" s="94"/>
      <c r="J60" s="94"/>
      <c r="K60" s="95">
        <f t="shared" si="1"/>
        <v>0</v>
      </c>
      <c r="L60" s="96">
        <f t="shared" si="1"/>
        <v>0</v>
      </c>
      <c r="M60" s="111"/>
      <c r="N60" s="112">
        <f t="shared" si="8"/>
        <v>0</v>
      </c>
      <c r="O60" s="112">
        <v>0.16</v>
      </c>
      <c r="P60" s="112">
        <f t="shared" si="23"/>
        <v>3.6409846153846148</v>
      </c>
      <c r="Q60" s="112">
        <v>0.16</v>
      </c>
      <c r="R60" s="112">
        <f t="shared" si="23"/>
        <v>3.6409846153846148</v>
      </c>
      <c r="S60" s="112">
        <v>0.13</v>
      </c>
      <c r="T60" s="112">
        <f t="shared" si="24"/>
        <v>2.9582999999999999</v>
      </c>
      <c r="U60" s="112">
        <v>0.2</v>
      </c>
      <c r="V60" s="112">
        <f t="shared" si="24"/>
        <v>4.5512307692307692</v>
      </c>
      <c r="W60" s="112">
        <v>0.01</v>
      </c>
      <c r="X60" s="112">
        <f t="shared" si="25"/>
        <v>0.22756153846153843</v>
      </c>
      <c r="Y60" s="112">
        <v>0.1</v>
      </c>
      <c r="Z60" s="112">
        <f t="shared" si="25"/>
        <v>2.2756153846153846</v>
      </c>
      <c r="AA60" s="112">
        <v>0.01</v>
      </c>
      <c r="AB60" s="112">
        <f t="shared" si="12"/>
        <v>0.22756153846153843</v>
      </c>
      <c r="AC60" s="506">
        <f t="shared" si="2"/>
        <v>0.77</v>
      </c>
      <c r="AD60" s="507">
        <f t="shared" si="2"/>
        <v>17.522238461538461</v>
      </c>
      <c r="AE60" s="111"/>
      <c r="AF60" s="112">
        <f t="shared" si="13"/>
        <v>0</v>
      </c>
      <c r="AG60" s="112"/>
      <c r="AH60" s="112">
        <f t="shared" si="14"/>
        <v>0</v>
      </c>
      <c r="AI60" s="112"/>
      <c r="AJ60" s="112">
        <f t="shared" si="15"/>
        <v>0</v>
      </c>
      <c r="AK60" s="112"/>
      <c r="AL60" s="112">
        <f t="shared" si="16"/>
        <v>0</v>
      </c>
      <c r="AM60" s="112"/>
      <c r="AN60" s="112">
        <f t="shared" si="17"/>
        <v>0</v>
      </c>
      <c r="AO60" s="99">
        <f t="shared" si="3"/>
        <v>0</v>
      </c>
      <c r="AP60" s="505">
        <f t="shared" si="3"/>
        <v>0</v>
      </c>
      <c r="AQ60" s="111"/>
      <c r="AR60" s="112"/>
      <c r="AS60" s="99">
        <f t="shared" si="18"/>
        <v>0</v>
      </c>
      <c r="AT60" s="102">
        <f t="shared" si="4"/>
        <v>0</v>
      </c>
      <c r="AU60" s="103">
        <f t="shared" si="5"/>
        <v>0.77</v>
      </c>
      <c r="AV60" s="104">
        <f t="shared" si="6"/>
        <v>17.522238461538461</v>
      </c>
      <c r="AW60" s="56" t="s">
        <v>155</v>
      </c>
      <c r="AX60" s="56">
        <f t="shared" si="19"/>
        <v>0</v>
      </c>
    </row>
    <row r="61" spans="1:50" ht="15" customHeight="1" thickBot="1" x14ac:dyDescent="0.5">
      <c r="A61" s="73"/>
      <c r="B61" s="90"/>
      <c r="C61" s="114">
        <v>49</v>
      </c>
      <c r="D61" s="181" t="s">
        <v>266</v>
      </c>
      <c r="E61" s="182" t="s">
        <v>267</v>
      </c>
      <c r="F61" s="183" t="s">
        <v>203</v>
      </c>
      <c r="G61" s="118"/>
      <c r="H61" s="119">
        <f t="shared" si="7"/>
        <v>0</v>
      </c>
      <c r="I61" s="119"/>
      <c r="J61" s="119"/>
      <c r="K61" s="120">
        <f t="shared" si="1"/>
        <v>0</v>
      </c>
      <c r="L61" s="121">
        <f t="shared" si="1"/>
        <v>0</v>
      </c>
      <c r="M61" s="122"/>
      <c r="N61" s="123">
        <f t="shared" si="8"/>
        <v>0</v>
      </c>
      <c r="O61" s="123">
        <v>0.02</v>
      </c>
      <c r="P61" s="123">
        <f t="shared" si="23"/>
        <v>0.45512307692307685</v>
      </c>
      <c r="Q61" s="123">
        <v>0.02</v>
      </c>
      <c r="R61" s="123">
        <f t="shared" si="23"/>
        <v>0.45512307692307685</v>
      </c>
      <c r="S61" s="123">
        <v>0.02</v>
      </c>
      <c r="T61" s="123">
        <f t="shared" si="24"/>
        <v>0.45512307692307685</v>
      </c>
      <c r="U61" s="123">
        <v>0.01</v>
      </c>
      <c r="V61" s="123">
        <f t="shared" si="24"/>
        <v>0.22756153846153843</v>
      </c>
      <c r="W61" s="123">
        <v>0.01</v>
      </c>
      <c r="X61" s="123">
        <f t="shared" si="25"/>
        <v>0.22756153846153843</v>
      </c>
      <c r="Y61" s="123">
        <v>0.01</v>
      </c>
      <c r="Z61" s="123">
        <f t="shared" si="25"/>
        <v>0.22756153846153843</v>
      </c>
      <c r="AA61" s="123">
        <v>0.01</v>
      </c>
      <c r="AB61" s="112">
        <f t="shared" si="12"/>
        <v>0.22756153846153843</v>
      </c>
      <c r="AC61" s="508">
        <f t="shared" si="2"/>
        <v>9.9999999999999978E-2</v>
      </c>
      <c r="AD61" s="509">
        <f t="shared" si="2"/>
        <v>2.2756153846153846</v>
      </c>
      <c r="AE61" s="122"/>
      <c r="AF61" s="123">
        <f t="shared" si="13"/>
        <v>0</v>
      </c>
      <c r="AG61" s="123"/>
      <c r="AH61" s="123">
        <f t="shared" si="14"/>
        <v>0</v>
      </c>
      <c r="AI61" s="123"/>
      <c r="AJ61" s="123">
        <f t="shared" si="15"/>
        <v>0</v>
      </c>
      <c r="AK61" s="123"/>
      <c r="AL61" s="123">
        <f t="shared" si="16"/>
        <v>0</v>
      </c>
      <c r="AM61" s="123"/>
      <c r="AN61" s="123">
        <f t="shared" si="17"/>
        <v>0</v>
      </c>
      <c r="AO61" s="124">
        <f t="shared" si="3"/>
        <v>0</v>
      </c>
      <c r="AP61" s="510">
        <f t="shared" si="3"/>
        <v>0</v>
      </c>
      <c r="AQ61" s="122"/>
      <c r="AR61" s="123"/>
      <c r="AS61" s="124">
        <f t="shared" si="18"/>
        <v>0</v>
      </c>
      <c r="AT61" s="127">
        <f t="shared" si="4"/>
        <v>0</v>
      </c>
      <c r="AU61" s="128">
        <f t="shared" si="5"/>
        <v>9.9999999999999978E-2</v>
      </c>
      <c r="AV61" s="129">
        <f t="shared" si="6"/>
        <v>2.2756153846153846</v>
      </c>
      <c r="AW61" s="56" t="s">
        <v>155</v>
      </c>
      <c r="AX61" s="56">
        <f t="shared" si="19"/>
        <v>0</v>
      </c>
    </row>
    <row r="62" spans="1:50" ht="15" customHeight="1" thickTop="1" x14ac:dyDescent="0.45">
      <c r="A62" s="131" t="s">
        <v>268</v>
      </c>
      <c r="B62" s="132" t="s">
        <v>269</v>
      </c>
      <c r="C62" s="184">
        <v>50</v>
      </c>
      <c r="D62" s="134" t="s">
        <v>270</v>
      </c>
      <c r="E62" s="135" t="s">
        <v>271</v>
      </c>
      <c r="F62" s="136" t="s">
        <v>203</v>
      </c>
      <c r="G62" s="137"/>
      <c r="H62" s="138">
        <f t="shared" si="7"/>
        <v>0</v>
      </c>
      <c r="I62" s="138"/>
      <c r="J62" s="138"/>
      <c r="K62" s="139">
        <f t="shared" si="1"/>
        <v>0</v>
      </c>
      <c r="L62" s="140">
        <f t="shared" si="1"/>
        <v>0</v>
      </c>
      <c r="M62" s="141"/>
      <c r="N62" s="142">
        <f t="shared" si="8"/>
        <v>0</v>
      </c>
      <c r="O62" s="142">
        <v>0.01</v>
      </c>
      <c r="P62" s="142">
        <f t="shared" ref="P62:R77" si="26">P$12/O$12*O62</f>
        <v>0.22756153846153843</v>
      </c>
      <c r="Q62" s="142">
        <v>0.01</v>
      </c>
      <c r="R62" s="142">
        <f t="shared" si="26"/>
        <v>0.22756153846153843</v>
      </c>
      <c r="S62" s="142">
        <v>0.01</v>
      </c>
      <c r="T62" s="142">
        <f t="shared" ref="T62:V77" si="27">T$12/S$12*S62</f>
        <v>0.22756153846153843</v>
      </c>
      <c r="U62" s="142">
        <v>0.01</v>
      </c>
      <c r="V62" s="142">
        <f t="shared" si="27"/>
        <v>0.22756153846153843</v>
      </c>
      <c r="W62" s="142">
        <v>0.01</v>
      </c>
      <c r="X62" s="142">
        <f t="shared" ref="X62:Z77" si="28">X$12/W$12*W62</f>
        <v>0.22756153846153843</v>
      </c>
      <c r="Y62" s="142">
        <v>0.01</v>
      </c>
      <c r="Z62" s="142">
        <f t="shared" si="28"/>
        <v>0.22756153846153843</v>
      </c>
      <c r="AA62" s="142"/>
      <c r="AB62" s="142">
        <f t="shared" si="12"/>
        <v>0</v>
      </c>
      <c r="AC62" s="511">
        <f t="shared" si="2"/>
        <v>6.0000000000000005E-2</v>
      </c>
      <c r="AD62" s="512">
        <f t="shared" si="2"/>
        <v>1.3653692307692304</v>
      </c>
      <c r="AE62" s="141"/>
      <c r="AF62" s="142">
        <f t="shared" si="13"/>
        <v>0</v>
      </c>
      <c r="AG62" s="142"/>
      <c r="AH62" s="142">
        <f t="shared" si="14"/>
        <v>0</v>
      </c>
      <c r="AI62" s="142"/>
      <c r="AJ62" s="142">
        <f t="shared" si="15"/>
        <v>0</v>
      </c>
      <c r="AK62" s="142"/>
      <c r="AL62" s="142">
        <f t="shared" si="16"/>
        <v>0</v>
      </c>
      <c r="AM62" s="142"/>
      <c r="AN62" s="142">
        <f t="shared" si="17"/>
        <v>0</v>
      </c>
      <c r="AO62" s="143">
        <f t="shared" si="3"/>
        <v>0</v>
      </c>
      <c r="AP62" s="513">
        <f t="shared" si="3"/>
        <v>0</v>
      </c>
      <c r="AQ62" s="141"/>
      <c r="AR62" s="142"/>
      <c r="AS62" s="143">
        <f t="shared" si="18"/>
        <v>0</v>
      </c>
      <c r="AT62" s="146">
        <f t="shared" si="4"/>
        <v>0</v>
      </c>
      <c r="AU62" s="147">
        <f t="shared" si="5"/>
        <v>6.0000000000000005E-2</v>
      </c>
      <c r="AV62" s="148">
        <f t="shared" si="6"/>
        <v>1.3653692307692304</v>
      </c>
      <c r="AW62" s="149" t="s">
        <v>155</v>
      </c>
      <c r="AX62" s="56">
        <f t="shared" si="19"/>
        <v>0</v>
      </c>
    </row>
    <row r="63" spans="1:50" ht="15" customHeight="1" x14ac:dyDescent="0.45">
      <c r="A63" s="73"/>
      <c r="B63" s="90"/>
      <c r="C63" s="107">
        <v>51</v>
      </c>
      <c r="D63" s="172" t="s">
        <v>272</v>
      </c>
      <c r="E63" s="173" t="s">
        <v>273</v>
      </c>
      <c r="F63" s="174" t="s">
        <v>203</v>
      </c>
      <c r="G63" s="93"/>
      <c r="H63" s="94">
        <f t="shared" si="7"/>
        <v>0</v>
      </c>
      <c r="I63" s="94"/>
      <c r="J63" s="94"/>
      <c r="K63" s="95">
        <f t="shared" si="1"/>
        <v>0</v>
      </c>
      <c r="L63" s="96">
        <f t="shared" si="1"/>
        <v>0</v>
      </c>
      <c r="M63" s="111"/>
      <c r="N63" s="112">
        <f t="shared" si="8"/>
        <v>0</v>
      </c>
      <c r="O63" s="112">
        <v>0.02</v>
      </c>
      <c r="P63" s="112">
        <f t="shared" si="26"/>
        <v>0.45512307692307685</v>
      </c>
      <c r="Q63" s="112">
        <v>0.02</v>
      </c>
      <c r="R63" s="112">
        <f t="shared" si="26"/>
        <v>0.45512307692307685</v>
      </c>
      <c r="S63" s="112">
        <v>0.02</v>
      </c>
      <c r="T63" s="112">
        <f t="shared" si="27"/>
        <v>0.45512307692307685</v>
      </c>
      <c r="U63" s="112">
        <v>0.01</v>
      </c>
      <c r="V63" s="112">
        <f t="shared" si="27"/>
        <v>0.22756153846153843</v>
      </c>
      <c r="W63" s="112">
        <v>0.01</v>
      </c>
      <c r="X63" s="112">
        <f t="shared" si="28"/>
        <v>0.22756153846153843</v>
      </c>
      <c r="Y63" s="112">
        <v>0.01</v>
      </c>
      <c r="Z63" s="112">
        <f t="shared" si="28"/>
        <v>0.22756153846153843</v>
      </c>
      <c r="AA63" s="112"/>
      <c r="AB63" s="112">
        <f t="shared" si="12"/>
        <v>0</v>
      </c>
      <c r="AC63" s="506">
        <f t="shared" si="2"/>
        <v>8.9999999999999983E-2</v>
      </c>
      <c r="AD63" s="507">
        <f t="shared" si="2"/>
        <v>2.048053846153846</v>
      </c>
      <c r="AE63" s="111"/>
      <c r="AF63" s="112">
        <f t="shared" si="13"/>
        <v>0</v>
      </c>
      <c r="AG63" s="112"/>
      <c r="AH63" s="112">
        <f t="shared" si="14"/>
        <v>0</v>
      </c>
      <c r="AI63" s="112"/>
      <c r="AJ63" s="112">
        <f t="shared" si="15"/>
        <v>0</v>
      </c>
      <c r="AK63" s="112"/>
      <c r="AL63" s="112">
        <f t="shared" si="16"/>
        <v>0</v>
      </c>
      <c r="AM63" s="112"/>
      <c r="AN63" s="112">
        <f t="shared" si="17"/>
        <v>0</v>
      </c>
      <c r="AO63" s="99">
        <f t="shared" si="3"/>
        <v>0</v>
      </c>
      <c r="AP63" s="505">
        <f t="shared" si="3"/>
        <v>0</v>
      </c>
      <c r="AQ63" s="111"/>
      <c r="AR63" s="112"/>
      <c r="AS63" s="99">
        <f t="shared" si="18"/>
        <v>0</v>
      </c>
      <c r="AT63" s="102">
        <f t="shared" si="4"/>
        <v>0</v>
      </c>
      <c r="AU63" s="103">
        <f t="shared" si="5"/>
        <v>8.9999999999999983E-2</v>
      </c>
      <c r="AV63" s="104">
        <f t="shared" si="6"/>
        <v>2.048053846153846</v>
      </c>
      <c r="AW63" s="56" t="s">
        <v>155</v>
      </c>
      <c r="AX63" s="56">
        <f t="shared" si="19"/>
        <v>0</v>
      </c>
    </row>
    <row r="64" spans="1:50" ht="15" customHeight="1" x14ac:dyDescent="0.45">
      <c r="A64" s="73"/>
      <c r="B64" s="90"/>
      <c r="C64" s="175">
        <v>52</v>
      </c>
      <c r="D64" s="172" t="s">
        <v>274</v>
      </c>
      <c r="E64" s="173" t="s">
        <v>275</v>
      </c>
      <c r="F64" s="110" t="s">
        <v>177</v>
      </c>
      <c r="G64" s="93">
        <v>0.02</v>
      </c>
      <c r="H64" s="94">
        <f t="shared" si="7"/>
        <v>3.6150000000000002</v>
      </c>
      <c r="I64" s="94"/>
      <c r="J64" s="94"/>
      <c r="K64" s="95">
        <f t="shared" si="1"/>
        <v>0.02</v>
      </c>
      <c r="L64" s="96">
        <f t="shared" si="1"/>
        <v>3.6150000000000002</v>
      </c>
      <c r="M64" s="111">
        <v>0.02</v>
      </c>
      <c r="N64" s="112">
        <f t="shared" si="8"/>
        <v>0.45512307692307685</v>
      </c>
      <c r="O64" s="112">
        <v>0.01</v>
      </c>
      <c r="P64" s="112">
        <f t="shared" si="26"/>
        <v>0.22756153846153843</v>
      </c>
      <c r="Q64" s="112">
        <v>0.01</v>
      </c>
      <c r="R64" s="112">
        <f t="shared" si="26"/>
        <v>0.22756153846153843</v>
      </c>
      <c r="S64" s="112">
        <v>0.01</v>
      </c>
      <c r="T64" s="112">
        <f t="shared" si="27"/>
        <v>0.22756153846153843</v>
      </c>
      <c r="U64" s="112">
        <v>0.01</v>
      </c>
      <c r="V64" s="112">
        <f t="shared" si="27"/>
        <v>0.22756153846153843</v>
      </c>
      <c r="W64" s="112">
        <v>0.02</v>
      </c>
      <c r="X64" s="112">
        <f t="shared" si="28"/>
        <v>0.45512307692307685</v>
      </c>
      <c r="Y64" s="112">
        <v>0.01</v>
      </c>
      <c r="Z64" s="112">
        <f t="shared" si="28"/>
        <v>0.22756153846153843</v>
      </c>
      <c r="AA64" s="112">
        <v>0.05</v>
      </c>
      <c r="AB64" s="112">
        <f t="shared" si="12"/>
        <v>1.1378076923076923</v>
      </c>
      <c r="AC64" s="506">
        <f t="shared" si="2"/>
        <v>0.14000000000000001</v>
      </c>
      <c r="AD64" s="507">
        <f t="shared" si="2"/>
        <v>3.1858615384615385</v>
      </c>
      <c r="AE64" s="111"/>
      <c r="AF64" s="112">
        <f t="shared" si="13"/>
        <v>0</v>
      </c>
      <c r="AG64" s="112">
        <v>0.18</v>
      </c>
      <c r="AH64" s="112">
        <f t="shared" si="14"/>
        <v>4.096107692307692</v>
      </c>
      <c r="AI64" s="112">
        <v>0.18</v>
      </c>
      <c r="AJ64" s="112">
        <f t="shared" si="15"/>
        <v>4.096107692307692</v>
      </c>
      <c r="AK64" s="112">
        <v>0.06</v>
      </c>
      <c r="AL64" s="112">
        <f t="shared" si="16"/>
        <v>1.3653692307692304</v>
      </c>
      <c r="AM64" s="112">
        <v>0.06</v>
      </c>
      <c r="AN64" s="112">
        <f t="shared" si="17"/>
        <v>1.3653692307692304</v>
      </c>
      <c r="AO64" s="99">
        <f t="shared" si="3"/>
        <v>0.48</v>
      </c>
      <c r="AP64" s="505">
        <f t="shared" si="3"/>
        <v>10.922953846153845</v>
      </c>
      <c r="AQ64" s="111"/>
      <c r="AR64" s="112"/>
      <c r="AS64" s="99">
        <f t="shared" si="18"/>
        <v>0</v>
      </c>
      <c r="AT64" s="102">
        <f t="shared" si="4"/>
        <v>0</v>
      </c>
      <c r="AU64" s="103">
        <f t="shared" si="5"/>
        <v>0.64</v>
      </c>
      <c r="AV64" s="104">
        <f t="shared" si="6"/>
        <v>17.723815384615385</v>
      </c>
      <c r="AW64" s="56" t="s">
        <v>155</v>
      </c>
      <c r="AX64" s="56">
        <f t="shared" si="19"/>
        <v>0</v>
      </c>
    </row>
    <row r="65" spans="1:50" ht="15" customHeight="1" x14ac:dyDescent="0.45">
      <c r="A65" s="73"/>
      <c r="B65" s="113" t="s">
        <v>234</v>
      </c>
      <c r="C65" s="107">
        <v>53</v>
      </c>
      <c r="D65" s="172" t="s">
        <v>276</v>
      </c>
      <c r="E65" s="173" t="s">
        <v>277</v>
      </c>
      <c r="F65" s="110" t="s">
        <v>187</v>
      </c>
      <c r="G65" s="93"/>
      <c r="H65" s="94">
        <f t="shared" si="7"/>
        <v>0</v>
      </c>
      <c r="I65" s="94"/>
      <c r="J65" s="94"/>
      <c r="K65" s="95">
        <f t="shared" si="1"/>
        <v>0</v>
      </c>
      <c r="L65" s="96">
        <f t="shared" si="1"/>
        <v>0</v>
      </c>
      <c r="M65" s="111"/>
      <c r="N65" s="112">
        <f t="shared" si="8"/>
        <v>0</v>
      </c>
      <c r="O65" s="112">
        <v>0.01</v>
      </c>
      <c r="P65" s="112">
        <f t="shared" si="26"/>
        <v>0.22756153846153843</v>
      </c>
      <c r="Q65" s="112">
        <v>0.01</v>
      </c>
      <c r="R65" s="112">
        <f t="shared" si="26"/>
        <v>0.22756153846153843</v>
      </c>
      <c r="S65" s="112">
        <v>0.01</v>
      </c>
      <c r="T65" s="112">
        <f t="shared" si="27"/>
        <v>0.22756153846153843</v>
      </c>
      <c r="U65" s="112">
        <v>0.01</v>
      </c>
      <c r="V65" s="112">
        <f t="shared" si="27"/>
        <v>0.22756153846153843</v>
      </c>
      <c r="W65" s="112">
        <v>0.01</v>
      </c>
      <c r="X65" s="112">
        <f t="shared" si="28"/>
        <v>0.22756153846153843</v>
      </c>
      <c r="Y65" s="112">
        <v>0.01</v>
      </c>
      <c r="Z65" s="112">
        <f t="shared" si="28"/>
        <v>0.22756153846153843</v>
      </c>
      <c r="AA65" s="112"/>
      <c r="AB65" s="112">
        <f t="shared" si="12"/>
        <v>0</v>
      </c>
      <c r="AC65" s="506">
        <f t="shared" si="2"/>
        <v>6.0000000000000005E-2</v>
      </c>
      <c r="AD65" s="507">
        <f t="shared" si="2"/>
        <v>1.3653692307692304</v>
      </c>
      <c r="AE65" s="111"/>
      <c r="AF65" s="112">
        <f t="shared" si="13"/>
        <v>0</v>
      </c>
      <c r="AG65" s="112"/>
      <c r="AH65" s="112">
        <f t="shared" si="14"/>
        <v>0</v>
      </c>
      <c r="AI65" s="112"/>
      <c r="AJ65" s="112">
        <f t="shared" si="15"/>
        <v>0</v>
      </c>
      <c r="AK65" s="112"/>
      <c r="AL65" s="112">
        <f t="shared" si="16"/>
        <v>0</v>
      </c>
      <c r="AM65" s="112"/>
      <c r="AN65" s="112">
        <f t="shared" si="17"/>
        <v>0</v>
      </c>
      <c r="AO65" s="99">
        <f t="shared" si="3"/>
        <v>0</v>
      </c>
      <c r="AP65" s="505">
        <f t="shared" si="3"/>
        <v>0</v>
      </c>
      <c r="AQ65" s="111"/>
      <c r="AR65" s="112"/>
      <c r="AS65" s="99">
        <f t="shared" si="18"/>
        <v>0</v>
      </c>
      <c r="AT65" s="102">
        <f t="shared" si="4"/>
        <v>0</v>
      </c>
      <c r="AU65" s="103">
        <f t="shared" si="5"/>
        <v>6.0000000000000005E-2</v>
      </c>
      <c r="AV65" s="104">
        <f t="shared" si="6"/>
        <v>1.3653692307692304</v>
      </c>
      <c r="AW65" s="56" t="s">
        <v>155</v>
      </c>
      <c r="AX65" s="56">
        <f t="shared" si="19"/>
        <v>0</v>
      </c>
    </row>
    <row r="66" spans="1:50" ht="15" customHeight="1" x14ac:dyDescent="0.45">
      <c r="A66" s="73"/>
      <c r="B66" s="185" t="s">
        <v>278</v>
      </c>
      <c r="C66" s="107">
        <v>54</v>
      </c>
      <c r="D66" s="172" t="s">
        <v>279</v>
      </c>
      <c r="E66" s="173" t="s">
        <v>280</v>
      </c>
      <c r="F66" s="110" t="s">
        <v>187</v>
      </c>
      <c r="G66" s="93"/>
      <c r="H66" s="94">
        <f t="shared" si="7"/>
        <v>0</v>
      </c>
      <c r="I66" s="94"/>
      <c r="J66" s="94"/>
      <c r="K66" s="95">
        <f t="shared" si="1"/>
        <v>0</v>
      </c>
      <c r="L66" s="96">
        <f t="shared" si="1"/>
        <v>0</v>
      </c>
      <c r="M66" s="111"/>
      <c r="N66" s="112">
        <f t="shared" si="8"/>
        <v>0</v>
      </c>
      <c r="O66" s="112">
        <v>0.01</v>
      </c>
      <c r="P66" s="112">
        <f t="shared" si="26"/>
        <v>0.22756153846153843</v>
      </c>
      <c r="Q66" s="112">
        <v>0.01</v>
      </c>
      <c r="R66" s="112">
        <f t="shared" si="26"/>
        <v>0.22756153846153843</v>
      </c>
      <c r="S66" s="112">
        <v>0.01</v>
      </c>
      <c r="T66" s="112">
        <f t="shared" si="27"/>
        <v>0.22756153846153843</v>
      </c>
      <c r="U66" s="112">
        <v>0.01</v>
      </c>
      <c r="V66" s="112">
        <f t="shared" si="27"/>
        <v>0.22756153846153843</v>
      </c>
      <c r="W66" s="112">
        <v>0.01</v>
      </c>
      <c r="X66" s="112">
        <f t="shared" si="28"/>
        <v>0.22756153846153843</v>
      </c>
      <c r="Y66" s="112">
        <v>0.01</v>
      </c>
      <c r="Z66" s="112">
        <f t="shared" si="28"/>
        <v>0.22756153846153843</v>
      </c>
      <c r="AA66" s="112"/>
      <c r="AB66" s="112">
        <f t="shared" si="12"/>
        <v>0</v>
      </c>
      <c r="AC66" s="506">
        <f t="shared" si="2"/>
        <v>6.0000000000000005E-2</v>
      </c>
      <c r="AD66" s="507">
        <f t="shared" si="2"/>
        <v>1.3653692307692304</v>
      </c>
      <c r="AE66" s="111"/>
      <c r="AF66" s="112">
        <f t="shared" si="13"/>
        <v>0</v>
      </c>
      <c r="AG66" s="112"/>
      <c r="AH66" s="112">
        <f t="shared" si="14"/>
        <v>0</v>
      </c>
      <c r="AI66" s="112"/>
      <c r="AJ66" s="112">
        <f t="shared" si="15"/>
        <v>0</v>
      </c>
      <c r="AK66" s="112"/>
      <c r="AL66" s="112">
        <f t="shared" si="16"/>
        <v>0</v>
      </c>
      <c r="AM66" s="112"/>
      <c r="AN66" s="112">
        <f t="shared" si="17"/>
        <v>0</v>
      </c>
      <c r="AO66" s="99">
        <f t="shared" si="3"/>
        <v>0</v>
      </c>
      <c r="AP66" s="505">
        <f t="shared" si="3"/>
        <v>0</v>
      </c>
      <c r="AQ66" s="111"/>
      <c r="AR66" s="112"/>
      <c r="AS66" s="99">
        <f t="shared" si="18"/>
        <v>0</v>
      </c>
      <c r="AT66" s="102">
        <f t="shared" si="4"/>
        <v>0</v>
      </c>
      <c r="AU66" s="103">
        <f t="shared" si="5"/>
        <v>6.0000000000000005E-2</v>
      </c>
      <c r="AV66" s="104">
        <f t="shared" si="6"/>
        <v>1.3653692307692304</v>
      </c>
      <c r="AW66" s="56" t="s">
        <v>155</v>
      </c>
      <c r="AX66" s="56">
        <f t="shared" si="19"/>
        <v>0</v>
      </c>
    </row>
    <row r="67" spans="1:50" ht="15" customHeight="1" x14ac:dyDescent="0.45">
      <c r="A67" s="73"/>
      <c r="B67" s="90"/>
      <c r="C67" s="114">
        <v>55</v>
      </c>
      <c r="D67" s="172" t="s">
        <v>281</v>
      </c>
      <c r="E67" s="173" t="s">
        <v>282</v>
      </c>
      <c r="F67" s="110" t="s">
        <v>162</v>
      </c>
      <c r="G67" s="93"/>
      <c r="H67" s="94">
        <f t="shared" si="7"/>
        <v>0</v>
      </c>
      <c r="I67" s="94"/>
      <c r="J67" s="94"/>
      <c r="K67" s="95">
        <f t="shared" si="1"/>
        <v>0</v>
      </c>
      <c r="L67" s="96">
        <f t="shared" si="1"/>
        <v>0</v>
      </c>
      <c r="M67" s="111"/>
      <c r="N67" s="112">
        <f t="shared" si="8"/>
        <v>0</v>
      </c>
      <c r="O67" s="112">
        <v>0.01</v>
      </c>
      <c r="P67" s="112">
        <f t="shared" si="26"/>
        <v>0.22756153846153843</v>
      </c>
      <c r="Q67" s="112">
        <v>0.01</v>
      </c>
      <c r="R67" s="112">
        <f t="shared" si="26"/>
        <v>0.22756153846153843</v>
      </c>
      <c r="S67" s="112">
        <v>0.01</v>
      </c>
      <c r="T67" s="112">
        <f t="shared" si="27"/>
        <v>0.22756153846153843</v>
      </c>
      <c r="U67" s="112">
        <v>0.01</v>
      </c>
      <c r="V67" s="112">
        <f t="shared" si="27"/>
        <v>0.22756153846153843</v>
      </c>
      <c r="W67" s="112">
        <v>0.01</v>
      </c>
      <c r="X67" s="112">
        <f t="shared" si="28"/>
        <v>0.22756153846153843</v>
      </c>
      <c r="Y67" s="112">
        <v>0.01</v>
      </c>
      <c r="Z67" s="112">
        <f t="shared" si="28"/>
        <v>0.22756153846153843</v>
      </c>
      <c r="AA67" s="112"/>
      <c r="AB67" s="112">
        <f t="shared" si="12"/>
        <v>0</v>
      </c>
      <c r="AC67" s="506">
        <f t="shared" si="2"/>
        <v>6.0000000000000005E-2</v>
      </c>
      <c r="AD67" s="507">
        <f t="shared" si="2"/>
        <v>1.3653692307692304</v>
      </c>
      <c r="AE67" s="111"/>
      <c r="AF67" s="112">
        <f t="shared" si="13"/>
        <v>0</v>
      </c>
      <c r="AG67" s="112"/>
      <c r="AH67" s="112">
        <f t="shared" si="14"/>
        <v>0</v>
      </c>
      <c r="AI67" s="112"/>
      <c r="AJ67" s="112">
        <f t="shared" si="15"/>
        <v>0</v>
      </c>
      <c r="AK67" s="112"/>
      <c r="AL67" s="112">
        <f t="shared" si="16"/>
        <v>0</v>
      </c>
      <c r="AM67" s="112"/>
      <c r="AN67" s="112">
        <f t="shared" si="17"/>
        <v>0</v>
      </c>
      <c r="AO67" s="99">
        <f t="shared" si="3"/>
        <v>0</v>
      </c>
      <c r="AP67" s="505">
        <f t="shared" si="3"/>
        <v>0</v>
      </c>
      <c r="AQ67" s="111"/>
      <c r="AR67" s="112"/>
      <c r="AS67" s="99">
        <f t="shared" si="18"/>
        <v>0</v>
      </c>
      <c r="AT67" s="102">
        <f t="shared" si="4"/>
        <v>0</v>
      </c>
      <c r="AU67" s="103">
        <f t="shared" si="5"/>
        <v>6.0000000000000005E-2</v>
      </c>
      <c r="AV67" s="104">
        <f t="shared" si="6"/>
        <v>1.3653692307692304</v>
      </c>
      <c r="AW67" s="56" t="s">
        <v>155</v>
      </c>
      <c r="AX67" s="56">
        <f t="shared" si="19"/>
        <v>0</v>
      </c>
    </row>
    <row r="68" spans="1:50" ht="15" customHeight="1" x14ac:dyDescent="0.45">
      <c r="A68" s="73"/>
      <c r="B68" s="90"/>
      <c r="C68" s="175">
        <v>56</v>
      </c>
      <c r="D68" s="172" t="s">
        <v>283</v>
      </c>
      <c r="E68" s="173" t="s">
        <v>284</v>
      </c>
      <c r="F68" s="110" t="s">
        <v>162</v>
      </c>
      <c r="G68" s="93">
        <v>0.01</v>
      </c>
      <c r="H68" s="94">
        <f t="shared" si="7"/>
        <v>1.8075000000000001</v>
      </c>
      <c r="I68" s="94"/>
      <c r="J68" s="94"/>
      <c r="K68" s="95">
        <f t="shared" si="1"/>
        <v>0.01</v>
      </c>
      <c r="L68" s="96">
        <f t="shared" si="1"/>
        <v>1.8075000000000001</v>
      </c>
      <c r="M68" s="111">
        <v>0.04</v>
      </c>
      <c r="N68" s="112">
        <f t="shared" si="8"/>
        <v>0.9102461538461537</v>
      </c>
      <c r="O68" s="112">
        <v>0.01</v>
      </c>
      <c r="P68" s="112">
        <f t="shared" si="26"/>
        <v>0.22756153846153843</v>
      </c>
      <c r="Q68" s="112">
        <v>0.01</v>
      </c>
      <c r="R68" s="112">
        <f t="shared" si="26"/>
        <v>0.22756153846153843</v>
      </c>
      <c r="S68" s="112">
        <v>0.01</v>
      </c>
      <c r="T68" s="112">
        <f t="shared" si="27"/>
        <v>0.22756153846153843</v>
      </c>
      <c r="U68" s="112">
        <v>0.01</v>
      </c>
      <c r="V68" s="112">
        <f t="shared" si="27"/>
        <v>0.22756153846153843</v>
      </c>
      <c r="W68" s="112">
        <v>0.01</v>
      </c>
      <c r="X68" s="112">
        <f t="shared" si="28"/>
        <v>0.22756153846153843</v>
      </c>
      <c r="Y68" s="112">
        <v>0.01</v>
      </c>
      <c r="Z68" s="112">
        <f t="shared" si="28"/>
        <v>0.22756153846153843</v>
      </c>
      <c r="AA68" s="112">
        <v>0.02</v>
      </c>
      <c r="AB68" s="112">
        <f t="shared" si="12"/>
        <v>0.45512307692307685</v>
      </c>
      <c r="AC68" s="506">
        <f t="shared" si="2"/>
        <v>0.12</v>
      </c>
      <c r="AD68" s="507">
        <f t="shared" si="2"/>
        <v>2.7307384615384609</v>
      </c>
      <c r="AE68" s="111"/>
      <c r="AF68" s="112">
        <f t="shared" si="13"/>
        <v>0</v>
      </c>
      <c r="AG68" s="112"/>
      <c r="AH68" s="112">
        <f t="shared" si="14"/>
        <v>0</v>
      </c>
      <c r="AI68" s="112"/>
      <c r="AJ68" s="112">
        <f t="shared" si="15"/>
        <v>0</v>
      </c>
      <c r="AK68" s="112"/>
      <c r="AL68" s="112">
        <f t="shared" si="16"/>
        <v>0</v>
      </c>
      <c r="AM68" s="112"/>
      <c r="AN68" s="112">
        <f t="shared" si="17"/>
        <v>0</v>
      </c>
      <c r="AO68" s="99">
        <f t="shared" si="3"/>
        <v>0</v>
      </c>
      <c r="AP68" s="505">
        <f t="shared" si="3"/>
        <v>0</v>
      </c>
      <c r="AQ68" s="111"/>
      <c r="AR68" s="112"/>
      <c r="AS68" s="99">
        <f t="shared" si="18"/>
        <v>0</v>
      </c>
      <c r="AT68" s="102">
        <f t="shared" si="4"/>
        <v>0</v>
      </c>
      <c r="AU68" s="103">
        <f t="shared" si="5"/>
        <v>0.13</v>
      </c>
      <c r="AV68" s="104">
        <f t="shared" si="6"/>
        <v>4.5382384615384606</v>
      </c>
      <c r="AW68" s="56" t="s">
        <v>155</v>
      </c>
      <c r="AX68" s="56">
        <f t="shared" si="19"/>
        <v>0</v>
      </c>
    </row>
    <row r="69" spans="1:50" ht="15" customHeight="1" x14ac:dyDescent="0.45">
      <c r="A69" s="73"/>
      <c r="B69" s="113" t="s">
        <v>285</v>
      </c>
      <c r="C69" s="107">
        <v>57</v>
      </c>
      <c r="D69" s="172" t="s">
        <v>286</v>
      </c>
      <c r="E69" s="173" t="s">
        <v>287</v>
      </c>
      <c r="F69" s="174" t="s">
        <v>203</v>
      </c>
      <c r="G69" s="93"/>
      <c r="H69" s="94">
        <f t="shared" si="7"/>
        <v>0</v>
      </c>
      <c r="I69" s="94"/>
      <c r="J69" s="94"/>
      <c r="K69" s="95">
        <f t="shared" si="1"/>
        <v>0</v>
      </c>
      <c r="L69" s="96">
        <f t="shared" si="1"/>
        <v>0</v>
      </c>
      <c r="M69" s="111"/>
      <c r="N69" s="112">
        <f t="shared" si="8"/>
        <v>0</v>
      </c>
      <c r="O69" s="112"/>
      <c r="P69" s="112">
        <f t="shared" si="26"/>
        <v>0</v>
      </c>
      <c r="Q69" s="112"/>
      <c r="R69" s="112">
        <f t="shared" si="26"/>
        <v>0</v>
      </c>
      <c r="S69" s="112"/>
      <c r="T69" s="112">
        <f t="shared" si="27"/>
        <v>0</v>
      </c>
      <c r="U69" s="112"/>
      <c r="V69" s="112">
        <f t="shared" si="27"/>
        <v>0</v>
      </c>
      <c r="W69" s="112"/>
      <c r="X69" s="112">
        <f t="shared" si="28"/>
        <v>0</v>
      </c>
      <c r="Y69" s="112"/>
      <c r="Z69" s="112">
        <f t="shared" si="28"/>
        <v>0</v>
      </c>
      <c r="AA69" s="112">
        <v>0.03</v>
      </c>
      <c r="AB69" s="112">
        <f t="shared" si="12"/>
        <v>0.68268461538461522</v>
      </c>
      <c r="AC69" s="506">
        <f t="shared" si="2"/>
        <v>0.03</v>
      </c>
      <c r="AD69" s="507">
        <f t="shared" si="2"/>
        <v>0.68268461538461522</v>
      </c>
      <c r="AE69" s="111"/>
      <c r="AF69" s="112">
        <f t="shared" si="13"/>
        <v>0</v>
      </c>
      <c r="AG69" s="112">
        <v>7.0000000000000007E-2</v>
      </c>
      <c r="AH69" s="112">
        <f t="shared" si="14"/>
        <v>1.5929307692307693</v>
      </c>
      <c r="AI69" s="112">
        <v>7.0000000000000007E-2</v>
      </c>
      <c r="AJ69" s="112">
        <f t="shared" si="15"/>
        <v>1.5929307692307693</v>
      </c>
      <c r="AK69" s="112">
        <v>0.1</v>
      </c>
      <c r="AL69" s="112">
        <f t="shared" si="16"/>
        <v>2.2756153846153846</v>
      </c>
      <c r="AM69" s="112">
        <v>7.0000000000000007E-2</v>
      </c>
      <c r="AN69" s="112">
        <f t="shared" si="17"/>
        <v>1.5929307692307693</v>
      </c>
      <c r="AO69" s="99">
        <f t="shared" si="3"/>
        <v>0.31000000000000005</v>
      </c>
      <c r="AP69" s="505">
        <f t="shared" si="3"/>
        <v>7.0544076923076915</v>
      </c>
      <c r="AQ69" s="111"/>
      <c r="AR69" s="112"/>
      <c r="AS69" s="99">
        <f t="shared" si="18"/>
        <v>0</v>
      </c>
      <c r="AT69" s="102">
        <f t="shared" si="4"/>
        <v>0</v>
      </c>
      <c r="AU69" s="103">
        <f t="shared" si="5"/>
        <v>0.34000000000000008</v>
      </c>
      <c r="AV69" s="104">
        <f t="shared" si="6"/>
        <v>7.7370923076923068</v>
      </c>
      <c r="AW69" s="56" t="s">
        <v>155</v>
      </c>
      <c r="AX69" s="56">
        <f t="shared" si="19"/>
        <v>0</v>
      </c>
    </row>
    <row r="70" spans="1:50" ht="15" customHeight="1" x14ac:dyDescent="0.45">
      <c r="A70" s="73"/>
      <c r="B70" s="90"/>
      <c r="C70" s="114">
        <v>58</v>
      </c>
      <c r="D70" s="172" t="s">
        <v>223</v>
      </c>
      <c r="E70" s="173" t="s">
        <v>224</v>
      </c>
      <c r="F70" s="174" t="s">
        <v>203</v>
      </c>
      <c r="G70" s="93"/>
      <c r="H70" s="94">
        <f t="shared" si="7"/>
        <v>0</v>
      </c>
      <c r="I70" s="94"/>
      <c r="J70" s="94"/>
      <c r="K70" s="95">
        <f t="shared" si="1"/>
        <v>0</v>
      </c>
      <c r="L70" s="96">
        <f t="shared" si="1"/>
        <v>0</v>
      </c>
      <c r="M70" s="111"/>
      <c r="N70" s="112">
        <f t="shared" si="8"/>
        <v>0</v>
      </c>
      <c r="O70" s="112">
        <v>0.1</v>
      </c>
      <c r="P70" s="112">
        <f t="shared" si="26"/>
        <v>2.2756153846153846</v>
      </c>
      <c r="Q70" s="112">
        <v>0.1</v>
      </c>
      <c r="R70" s="112">
        <f t="shared" si="26"/>
        <v>2.2756153846153846</v>
      </c>
      <c r="S70" s="112">
        <v>0.1</v>
      </c>
      <c r="T70" s="112">
        <f t="shared" si="27"/>
        <v>2.2756153846153846</v>
      </c>
      <c r="U70" s="112">
        <v>0.1</v>
      </c>
      <c r="V70" s="112">
        <f t="shared" si="27"/>
        <v>2.2756153846153846</v>
      </c>
      <c r="W70" s="112">
        <v>0.15</v>
      </c>
      <c r="X70" s="112">
        <f t="shared" si="28"/>
        <v>3.4134230769230762</v>
      </c>
      <c r="Y70" s="112">
        <v>0.05</v>
      </c>
      <c r="Z70" s="112">
        <f t="shared" si="28"/>
        <v>1.1378076923076923</v>
      </c>
      <c r="AA70" s="112">
        <v>0.03</v>
      </c>
      <c r="AB70" s="112">
        <f t="shared" si="12"/>
        <v>0.68268461538461522</v>
      </c>
      <c r="AC70" s="506">
        <f t="shared" si="2"/>
        <v>0.63000000000000012</v>
      </c>
      <c r="AD70" s="507">
        <f t="shared" si="2"/>
        <v>14.336376923076921</v>
      </c>
      <c r="AE70" s="111"/>
      <c r="AF70" s="112">
        <f t="shared" si="13"/>
        <v>0</v>
      </c>
      <c r="AG70" s="112"/>
      <c r="AH70" s="112">
        <f t="shared" si="14"/>
        <v>0</v>
      </c>
      <c r="AI70" s="112"/>
      <c r="AJ70" s="112">
        <f t="shared" si="15"/>
        <v>0</v>
      </c>
      <c r="AK70" s="112"/>
      <c r="AL70" s="112">
        <f t="shared" si="16"/>
        <v>0</v>
      </c>
      <c r="AM70" s="112"/>
      <c r="AN70" s="112">
        <f t="shared" si="17"/>
        <v>0</v>
      </c>
      <c r="AO70" s="99">
        <f t="shared" si="3"/>
        <v>0</v>
      </c>
      <c r="AP70" s="505">
        <f t="shared" si="3"/>
        <v>0</v>
      </c>
      <c r="AQ70" s="111"/>
      <c r="AR70" s="112"/>
      <c r="AS70" s="99">
        <f t="shared" si="18"/>
        <v>0</v>
      </c>
      <c r="AT70" s="102">
        <f t="shared" si="4"/>
        <v>0</v>
      </c>
      <c r="AU70" s="103">
        <f t="shared" si="5"/>
        <v>0.63000000000000012</v>
      </c>
      <c r="AV70" s="104">
        <f t="shared" si="6"/>
        <v>14.336376923076921</v>
      </c>
      <c r="AW70" s="56" t="s">
        <v>190</v>
      </c>
      <c r="AX70" s="56">
        <f t="shared" si="19"/>
        <v>14.336376923076921</v>
      </c>
    </row>
    <row r="71" spans="1:50" ht="15" customHeight="1" x14ac:dyDescent="0.45">
      <c r="A71" s="73"/>
      <c r="B71" s="90"/>
      <c r="C71" s="114">
        <v>59</v>
      </c>
      <c r="D71" s="172" t="s">
        <v>288</v>
      </c>
      <c r="E71" s="173" t="s">
        <v>289</v>
      </c>
      <c r="F71" s="174" t="s">
        <v>203</v>
      </c>
      <c r="G71" s="93"/>
      <c r="H71" s="94">
        <f t="shared" si="7"/>
        <v>0</v>
      </c>
      <c r="I71" s="94"/>
      <c r="J71" s="94"/>
      <c r="K71" s="95">
        <f t="shared" si="1"/>
        <v>0</v>
      </c>
      <c r="L71" s="96">
        <f t="shared" si="1"/>
        <v>0</v>
      </c>
      <c r="M71" s="111"/>
      <c r="N71" s="112">
        <f t="shared" si="8"/>
        <v>0</v>
      </c>
      <c r="O71" s="112"/>
      <c r="P71" s="112">
        <f t="shared" si="26"/>
        <v>0</v>
      </c>
      <c r="Q71" s="112"/>
      <c r="R71" s="112">
        <f t="shared" si="26"/>
        <v>0</v>
      </c>
      <c r="S71" s="112"/>
      <c r="T71" s="112">
        <f t="shared" si="27"/>
        <v>0</v>
      </c>
      <c r="U71" s="112"/>
      <c r="V71" s="112">
        <f t="shared" si="27"/>
        <v>0</v>
      </c>
      <c r="W71" s="112"/>
      <c r="X71" s="112">
        <f t="shared" si="28"/>
        <v>0</v>
      </c>
      <c r="Y71" s="112"/>
      <c r="Z71" s="112">
        <f t="shared" si="28"/>
        <v>0</v>
      </c>
      <c r="AA71" s="112">
        <v>0.02</v>
      </c>
      <c r="AB71" s="112">
        <f t="shared" si="12"/>
        <v>0.45512307692307685</v>
      </c>
      <c r="AC71" s="506">
        <f t="shared" si="2"/>
        <v>0.02</v>
      </c>
      <c r="AD71" s="507">
        <f t="shared" si="2"/>
        <v>0.45512307692307685</v>
      </c>
      <c r="AE71" s="111"/>
      <c r="AF71" s="112">
        <f t="shared" si="13"/>
        <v>0</v>
      </c>
      <c r="AG71" s="112">
        <v>0.05</v>
      </c>
      <c r="AH71" s="112">
        <f t="shared" si="14"/>
        <v>1.1378076923076923</v>
      </c>
      <c r="AI71" s="112">
        <v>0.05</v>
      </c>
      <c r="AJ71" s="112">
        <f t="shared" si="15"/>
        <v>1.1378076923076923</v>
      </c>
      <c r="AK71" s="112">
        <v>0.1</v>
      </c>
      <c r="AL71" s="112">
        <f t="shared" si="16"/>
        <v>2.2756153846153846</v>
      </c>
      <c r="AM71" s="112">
        <v>0.08</v>
      </c>
      <c r="AN71" s="112">
        <f t="shared" si="17"/>
        <v>1.8204923076923074</v>
      </c>
      <c r="AO71" s="99">
        <f t="shared" si="3"/>
        <v>0.28000000000000003</v>
      </c>
      <c r="AP71" s="505">
        <f t="shared" si="3"/>
        <v>6.371723076923077</v>
      </c>
      <c r="AQ71" s="111"/>
      <c r="AR71" s="112"/>
      <c r="AS71" s="99">
        <f t="shared" si="18"/>
        <v>0</v>
      </c>
      <c r="AT71" s="102">
        <f t="shared" si="4"/>
        <v>0</v>
      </c>
      <c r="AU71" s="103">
        <f t="shared" si="5"/>
        <v>0.30000000000000004</v>
      </c>
      <c r="AV71" s="104">
        <f t="shared" si="6"/>
        <v>6.8268461538461542</v>
      </c>
      <c r="AW71" s="56" t="s">
        <v>155</v>
      </c>
      <c r="AX71" s="56">
        <f t="shared" si="19"/>
        <v>0</v>
      </c>
    </row>
    <row r="72" spans="1:50" ht="15" customHeight="1" x14ac:dyDescent="0.45">
      <c r="A72" s="73"/>
      <c r="B72" s="90"/>
      <c r="C72" s="107">
        <v>60</v>
      </c>
      <c r="D72" s="172" t="s">
        <v>290</v>
      </c>
      <c r="E72" s="173" t="s">
        <v>289</v>
      </c>
      <c r="F72" s="174" t="s">
        <v>291</v>
      </c>
      <c r="G72" s="93"/>
      <c r="H72" s="94">
        <f t="shared" si="7"/>
        <v>0</v>
      </c>
      <c r="I72" s="94"/>
      <c r="J72" s="94"/>
      <c r="K72" s="95">
        <f t="shared" si="1"/>
        <v>0</v>
      </c>
      <c r="L72" s="96">
        <f t="shared" si="1"/>
        <v>0</v>
      </c>
      <c r="M72" s="111"/>
      <c r="N72" s="112">
        <f t="shared" si="8"/>
        <v>0</v>
      </c>
      <c r="O72" s="112"/>
      <c r="P72" s="112">
        <f t="shared" si="26"/>
        <v>0</v>
      </c>
      <c r="Q72" s="112"/>
      <c r="R72" s="112">
        <f t="shared" si="26"/>
        <v>0</v>
      </c>
      <c r="S72" s="112"/>
      <c r="T72" s="112">
        <f t="shared" si="27"/>
        <v>0</v>
      </c>
      <c r="U72" s="112"/>
      <c r="V72" s="112">
        <f t="shared" si="27"/>
        <v>0</v>
      </c>
      <c r="W72" s="112"/>
      <c r="X72" s="112">
        <f t="shared" si="28"/>
        <v>0</v>
      </c>
      <c r="Y72" s="112"/>
      <c r="Z72" s="112">
        <f t="shared" si="28"/>
        <v>0</v>
      </c>
      <c r="AA72" s="112"/>
      <c r="AB72" s="112">
        <f t="shared" si="12"/>
        <v>0</v>
      </c>
      <c r="AC72" s="506">
        <f t="shared" si="2"/>
        <v>0</v>
      </c>
      <c r="AD72" s="507">
        <f t="shared" si="2"/>
        <v>0</v>
      </c>
      <c r="AE72" s="111"/>
      <c r="AF72" s="112">
        <f t="shared" si="13"/>
        <v>0</v>
      </c>
      <c r="AG72" s="112">
        <v>0.03</v>
      </c>
      <c r="AH72" s="112">
        <f t="shared" si="14"/>
        <v>0.68268461538461522</v>
      </c>
      <c r="AI72" s="112">
        <v>0.03</v>
      </c>
      <c r="AJ72" s="112">
        <f t="shared" si="15"/>
        <v>0.68268461538461522</v>
      </c>
      <c r="AK72" s="112"/>
      <c r="AL72" s="112">
        <f t="shared" si="16"/>
        <v>0</v>
      </c>
      <c r="AM72" s="112"/>
      <c r="AN72" s="112">
        <f t="shared" si="17"/>
        <v>0</v>
      </c>
      <c r="AO72" s="99">
        <f t="shared" si="3"/>
        <v>0.06</v>
      </c>
      <c r="AP72" s="505">
        <f t="shared" si="3"/>
        <v>1.3653692307692304</v>
      </c>
      <c r="AQ72" s="111"/>
      <c r="AR72" s="112"/>
      <c r="AS72" s="99">
        <f t="shared" si="18"/>
        <v>0</v>
      </c>
      <c r="AT72" s="102">
        <f t="shared" si="4"/>
        <v>0</v>
      </c>
      <c r="AU72" s="103">
        <f t="shared" si="5"/>
        <v>0.06</v>
      </c>
      <c r="AV72" s="104">
        <f t="shared" si="6"/>
        <v>1.3653692307692304</v>
      </c>
      <c r="AW72" s="56" t="s">
        <v>155</v>
      </c>
      <c r="AX72" s="56">
        <f t="shared" si="19"/>
        <v>0</v>
      </c>
    </row>
    <row r="73" spans="1:50" ht="15" customHeight="1" x14ac:dyDescent="0.45">
      <c r="A73" s="73"/>
      <c r="B73" s="90"/>
      <c r="C73" s="114">
        <v>61</v>
      </c>
      <c r="D73" s="172" t="s">
        <v>292</v>
      </c>
      <c r="E73" s="173" t="s">
        <v>293</v>
      </c>
      <c r="F73" s="174" t="s">
        <v>203</v>
      </c>
      <c r="G73" s="93">
        <v>0.1</v>
      </c>
      <c r="H73" s="94">
        <f t="shared" si="7"/>
        <v>18.074999999999999</v>
      </c>
      <c r="I73" s="94"/>
      <c r="J73" s="94"/>
      <c r="K73" s="95">
        <f t="shared" si="1"/>
        <v>0.1</v>
      </c>
      <c r="L73" s="96">
        <f t="shared" si="1"/>
        <v>18.074999999999999</v>
      </c>
      <c r="M73" s="111">
        <v>0.1</v>
      </c>
      <c r="N73" s="112">
        <f t="shared" si="8"/>
        <v>2.2756153846153846</v>
      </c>
      <c r="O73" s="112"/>
      <c r="P73" s="112">
        <f t="shared" si="26"/>
        <v>0</v>
      </c>
      <c r="Q73" s="112"/>
      <c r="R73" s="112">
        <f t="shared" si="26"/>
        <v>0</v>
      </c>
      <c r="S73" s="112"/>
      <c r="T73" s="112">
        <f t="shared" si="27"/>
        <v>0</v>
      </c>
      <c r="U73" s="112"/>
      <c r="V73" s="112">
        <f t="shared" si="27"/>
        <v>0</v>
      </c>
      <c r="W73" s="112"/>
      <c r="X73" s="112">
        <f t="shared" si="28"/>
        <v>0</v>
      </c>
      <c r="Y73" s="112"/>
      <c r="Z73" s="112">
        <f t="shared" si="28"/>
        <v>0</v>
      </c>
      <c r="AA73" s="112"/>
      <c r="AB73" s="112">
        <f t="shared" si="12"/>
        <v>0</v>
      </c>
      <c r="AC73" s="506">
        <f t="shared" si="2"/>
        <v>0.1</v>
      </c>
      <c r="AD73" s="507">
        <f t="shared" si="2"/>
        <v>2.2756153846153846</v>
      </c>
      <c r="AE73" s="111"/>
      <c r="AF73" s="112">
        <f t="shared" si="13"/>
        <v>0</v>
      </c>
      <c r="AG73" s="112"/>
      <c r="AH73" s="112">
        <f t="shared" si="14"/>
        <v>0</v>
      </c>
      <c r="AI73" s="112"/>
      <c r="AJ73" s="112">
        <f t="shared" si="15"/>
        <v>0</v>
      </c>
      <c r="AK73" s="112"/>
      <c r="AL73" s="112">
        <f t="shared" si="16"/>
        <v>0</v>
      </c>
      <c r="AM73" s="112"/>
      <c r="AN73" s="112">
        <f t="shared" si="17"/>
        <v>0</v>
      </c>
      <c r="AO73" s="99">
        <f t="shared" si="3"/>
        <v>0</v>
      </c>
      <c r="AP73" s="505">
        <f t="shared" si="3"/>
        <v>0</v>
      </c>
      <c r="AQ73" s="111"/>
      <c r="AR73" s="112"/>
      <c r="AS73" s="99">
        <f t="shared" si="18"/>
        <v>0</v>
      </c>
      <c r="AT73" s="102">
        <f t="shared" si="4"/>
        <v>0</v>
      </c>
      <c r="AU73" s="103">
        <f t="shared" si="5"/>
        <v>0.2</v>
      </c>
      <c r="AV73" s="104">
        <f t="shared" si="6"/>
        <v>20.350615384615384</v>
      </c>
      <c r="AW73" s="56" t="s">
        <v>155</v>
      </c>
      <c r="AX73" s="56">
        <f t="shared" si="19"/>
        <v>0</v>
      </c>
    </row>
    <row r="74" spans="1:50" ht="15" customHeight="1" x14ac:dyDescent="0.45">
      <c r="A74" s="73"/>
      <c r="B74" s="90"/>
      <c r="C74" s="114">
        <v>62</v>
      </c>
      <c r="D74" s="172" t="s">
        <v>294</v>
      </c>
      <c r="E74" s="173" t="s">
        <v>295</v>
      </c>
      <c r="F74" s="110" t="s">
        <v>177</v>
      </c>
      <c r="G74" s="93">
        <v>0.02</v>
      </c>
      <c r="H74" s="94">
        <f t="shared" si="7"/>
        <v>3.6150000000000002</v>
      </c>
      <c r="I74" s="94"/>
      <c r="J74" s="94"/>
      <c r="K74" s="95">
        <f t="shared" si="1"/>
        <v>0.02</v>
      </c>
      <c r="L74" s="96">
        <f t="shared" si="1"/>
        <v>3.6150000000000002</v>
      </c>
      <c r="M74" s="111">
        <v>0.02</v>
      </c>
      <c r="N74" s="112">
        <f t="shared" si="8"/>
        <v>0.45512307692307685</v>
      </c>
      <c r="O74" s="112"/>
      <c r="P74" s="112">
        <f t="shared" si="26"/>
        <v>0</v>
      </c>
      <c r="Q74" s="112"/>
      <c r="R74" s="112">
        <f t="shared" si="26"/>
        <v>0</v>
      </c>
      <c r="S74" s="112"/>
      <c r="T74" s="112">
        <f t="shared" si="27"/>
        <v>0</v>
      </c>
      <c r="U74" s="112"/>
      <c r="V74" s="112">
        <f t="shared" si="27"/>
        <v>0</v>
      </c>
      <c r="W74" s="112"/>
      <c r="X74" s="112">
        <f t="shared" si="28"/>
        <v>0</v>
      </c>
      <c r="Y74" s="112"/>
      <c r="Z74" s="112">
        <f t="shared" si="28"/>
        <v>0</v>
      </c>
      <c r="AA74" s="112"/>
      <c r="AB74" s="112">
        <f t="shared" si="12"/>
        <v>0</v>
      </c>
      <c r="AC74" s="506">
        <f t="shared" si="2"/>
        <v>0.02</v>
      </c>
      <c r="AD74" s="507">
        <f t="shared" si="2"/>
        <v>0.45512307692307685</v>
      </c>
      <c r="AE74" s="111"/>
      <c r="AF74" s="112">
        <f t="shared" si="13"/>
        <v>0</v>
      </c>
      <c r="AG74" s="112">
        <v>0.05</v>
      </c>
      <c r="AH74" s="112">
        <f t="shared" si="14"/>
        <v>1.1378076923076923</v>
      </c>
      <c r="AI74" s="112">
        <v>0.05</v>
      </c>
      <c r="AJ74" s="112">
        <f t="shared" si="15"/>
        <v>1.1378076923076923</v>
      </c>
      <c r="AK74" s="112">
        <v>0.18</v>
      </c>
      <c r="AL74" s="112">
        <f t="shared" si="16"/>
        <v>4.096107692307692</v>
      </c>
      <c r="AM74" s="112">
        <v>0.17</v>
      </c>
      <c r="AN74" s="112">
        <f t="shared" si="17"/>
        <v>3.8685461538461539</v>
      </c>
      <c r="AO74" s="99">
        <f t="shared" si="3"/>
        <v>0.45</v>
      </c>
      <c r="AP74" s="505">
        <f t="shared" si="3"/>
        <v>10.240269230769231</v>
      </c>
      <c r="AQ74" s="111"/>
      <c r="AR74" s="112"/>
      <c r="AS74" s="99">
        <f t="shared" si="18"/>
        <v>0</v>
      </c>
      <c r="AT74" s="102">
        <f t="shared" si="4"/>
        <v>0</v>
      </c>
      <c r="AU74" s="103">
        <f t="shared" si="5"/>
        <v>0.49</v>
      </c>
      <c r="AV74" s="104">
        <f t="shared" si="6"/>
        <v>14.310392307692307</v>
      </c>
      <c r="AW74" s="56" t="s">
        <v>155</v>
      </c>
      <c r="AX74" s="56">
        <f t="shared" si="19"/>
        <v>0</v>
      </c>
    </row>
    <row r="75" spans="1:50" ht="15" customHeight="1" x14ac:dyDescent="0.45">
      <c r="A75" s="73"/>
      <c r="B75" s="90"/>
      <c r="C75" s="107">
        <v>63</v>
      </c>
      <c r="D75" s="172" t="s">
        <v>296</v>
      </c>
      <c r="E75" s="173" t="s">
        <v>297</v>
      </c>
      <c r="F75" s="110" t="s">
        <v>187</v>
      </c>
      <c r="G75" s="93">
        <v>0.01</v>
      </c>
      <c r="H75" s="94">
        <f t="shared" si="7"/>
        <v>1.8075000000000001</v>
      </c>
      <c r="I75" s="94"/>
      <c r="J75" s="94"/>
      <c r="K75" s="95">
        <f t="shared" si="1"/>
        <v>0.01</v>
      </c>
      <c r="L75" s="96">
        <f t="shared" si="1"/>
        <v>1.8075000000000001</v>
      </c>
      <c r="M75" s="111">
        <v>0.01</v>
      </c>
      <c r="N75" s="112">
        <f t="shared" si="8"/>
        <v>0.22756153846153843</v>
      </c>
      <c r="O75" s="112"/>
      <c r="P75" s="112">
        <f t="shared" si="26"/>
        <v>0</v>
      </c>
      <c r="Q75" s="112"/>
      <c r="R75" s="112">
        <f t="shared" si="26"/>
        <v>0</v>
      </c>
      <c r="S75" s="112"/>
      <c r="T75" s="112">
        <f t="shared" si="27"/>
        <v>0</v>
      </c>
      <c r="U75" s="112"/>
      <c r="V75" s="112">
        <f t="shared" si="27"/>
        <v>0</v>
      </c>
      <c r="W75" s="112"/>
      <c r="X75" s="112">
        <f t="shared" si="28"/>
        <v>0</v>
      </c>
      <c r="Y75" s="112"/>
      <c r="Z75" s="112">
        <f t="shared" si="28"/>
        <v>0</v>
      </c>
      <c r="AA75" s="112">
        <v>0.02</v>
      </c>
      <c r="AB75" s="112">
        <f t="shared" si="12"/>
        <v>0.45512307692307685</v>
      </c>
      <c r="AC75" s="506">
        <f t="shared" si="2"/>
        <v>0.03</v>
      </c>
      <c r="AD75" s="507">
        <f t="shared" si="2"/>
        <v>0.68268461538461533</v>
      </c>
      <c r="AE75" s="111"/>
      <c r="AF75" s="112">
        <f t="shared" si="13"/>
        <v>0</v>
      </c>
      <c r="AG75" s="112">
        <v>0.03</v>
      </c>
      <c r="AH75" s="112">
        <f t="shared" si="14"/>
        <v>0.68268461538461522</v>
      </c>
      <c r="AI75" s="112">
        <v>0.03</v>
      </c>
      <c r="AJ75" s="112">
        <f t="shared" si="15"/>
        <v>0.68268461538461522</v>
      </c>
      <c r="AK75" s="112">
        <v>0.05</v>
      </c>
      <c r="AL75" s="112">
        <f t="shared" si="16"/>
        <v>1.1378076923076923</v>
      </c>
      <c r="AM75" s="112">
        <v>0.06</v>
      </c>
      <c r="AN75" s="112">
        <f t="shared" si="17"/>
        <v>1.3653692307692304</v>
      </c>
      <c r="AO75" s="99">
        <f t="shared" si="3"/>
        <v>0.17</v>
      </c>
      <c r="AP75" s="505">
        <f t="shared" si="3"/>
        <v>3.868546153846153</v>
      </c>
      <c r="AQ75" s="111"/>
      <c r="AR75" s="112"/>
      <c r="AS75" s="99">
        <f t="shared" si="18"/>
        <v>0</v>
      </c>
      <c r="AT75" s="102">
        <f t="shared" si="4"/>
        <v>0</v>
      </c>
      <c r="AU75" s="103">
        <f t="shared" si="5"/>
        <v>0.21000000000000002</v>
      </c>
      <c r="AV75" s="104">
        <f t="shared" si="6"/>
        <v>6.3587307692307684</v>
      </c>
      <c r="AW75" s="56" t="s">
        <v>155</v>
      </c>
      <c r="AX75" s="56">
        <f t="shared" si="19"/>
        <v>0</v>
      </c>
    </row>
    <row r="76" spans="1:50" ht="15" customHeight="1" x14ac:dyDescent="0.45">
      <c r="A76" s="73"/>
      <c r="B76" s="90"/>
      <c r="C76" s="175">
        <v>64</v>
      </c>
      <c r="D76" s="172" t="s">
        <v>298</v>
      </c>
      <c r="E76" s="173" t="s">
        <v>299</v>
      </c>
      <c r="F76" s="174" t="s">
        <v>203</v>
      </c>
      <c r="G76" s="93"/>
      <c r="H76" s="94">
        <f t="shared" si="7"/>
        <v>0</v>
      </c>
      <c r="I76" s="94"/>
      <c r="J76" s="94"/>
      <c r="K76" s="95">
        <f t="shared" si="1"/>
        <v>0</v>
      </c>
      <c r="L76" s="96">
        <f t="shared" si="1"/>
        <v>0</v>
      </c>
      <c r="M76" s="111"/>
      <c r="N76" s="112">
        <f t="shared" si="8"/>
        <v>0</v>
      </c>
      <c r="O76" s="112"/>
      <c r="P76" s="112">
        <f t="shared" si="26"/>
        <v>0</v>
      </c>
      <c r="Q76" s="112"/>
      <c r="R76" s="112">
        <f t="shared" si="26"/>
        <v>0</v>
      </c>
      <c r="S76" s="112"/>
      <c r="T76" s="112">
        <f t="shared" si="27"/>
        <v>0</v>
      </c>
      <c r="U76" s="112"/>
      <c r="V76" s="112">
        <f t="shared" si="27"/>
        <v>0</v>
      </c>
      <c r="W76" s="112"/>
      <c r="X76" s="112">
        <f t="shared" si="28"/>
        <v>0</v>
      </c>
      <c r="Y76" s="112"/>
      <c r="Z76" s="112">
        <f t="shared" si="28"/>
        <v>0</v>
      </c>
      <c r="AA76" s="112"/>
      <c r="AB76" s="112">
        <f t="shared" si="12"/>
        <v>0</v>
      </c>
      <c r="AC76" s="506">
        <f t="shared" si="2"/>
        <v>0</v>
      </c>
      <c r="AD76" s="507">
        <f t="shared" si="2"/>
        <v>0</v>
      </c>
      <c r="AE76" s="111"/>
      <c r="AF76" s="112">
        <f t="shared" si="13"/>
        <v>0</v>
      </c>
      <c r="AG76" s="112">
        <v>0.03</v>
      </c>
      <c r="AH76" s="112">
        <f t="shared" si="14"/>
        <v>0.68268461538461522</v>
      </c>
      <c r="AI76" s="112">
        <v>0.03</v>
      </c>
      <c r="AJ76" s="112">
        <f t="shared" si="15"/>
        <v>0.68268461538461522</v>
      </c>
      <c r="AK76" s="112">
        <v>0.05</v>
      </c>
      <c r="AL76" s="112">
        <f t="shared" si="16"/>
        <v>1.1378076923076923</v>
      </c>
      <c r="AM76" s="112">
        <v>0.1</v>
      </c>
      <c r="AN76" s="112">
        <f t="shared" si="17"/>
        <v>2.2756153846153846</v>
      </c>
      <c r="AO76" s="99">
        <f t="shared" si="3"/>
        <v>0.21</v>
      </c>
      <c r="AP76" s="505">
        <f t="shared" si="3"/>
        <v>4.7787923076923073</v>
      </c>
      <c r="AQ76" s="111"/>
      <c r="AR76" s="112"/>
      <c r="AS76" s="99">
        <f t="shared" si="18"/>
        <v>0</v>
      </c>
      <c r="AT76" s="102">
        <f t="shared" si="4"/>
        <v>0</v>
      </c>
      <c r="AU76" s="103">
        <f t="shared" si="5"/>
        <v>0.21</v>
      </c>
      <c r="AV76" s="104">
        <f t="shared" si="6"/>
        <v>4.7787923076923073</v>
      </c>
      <c r="AW76" s="56" t="s">
        <v>155</v>
      </c>
      <c r="AX76" s="56">
        <f t="shared" si="19"/>
        <v>0</v>
      </c>
    </row>
    <row r="77" spans="1:50" ht="15" customHeight="1" x14ac:dyDescent="0.45">
      <c r="A77" s="73"/>
      <c r="B77" s="106" t="s">
        <v>300</v>
      </c>
      <c r="C77" s="107">
        <v>65</v>
      </c>
      <c r="D77" s="172" t="s">
        <v>301</v>
      </c>
      <c r="E77" s="173" t="s">
        <v>302</v>
      </c>
      <c r="F77" s="110" t="s">
        <v>177</v>
      </c>
      <c r="G77" s="93"/>
      <c r="H77" s="94">
        <f t="shared" si="7"/>
        <v>0</v>
      </c>
      <c r="I77" s="94"/>
      <c r="J77" s="94"/>
      <c r="K77" s="95">
        <f t="shared" ref="K77:L112" si="29">G77+I77</f>
        <v>0</v>
      </c>
      <c r="L77" s="96">
        <f t="shared" si="29"/>
        <v>0</v>
      </c>
      <c r="M77" s="111"/>
      <c r="N77" s="112">
        <f t="shared" si="8"/>
        <v>0</v>
      </c>
      <c r="O77" s="112"/>
      <c r="P77" s="112">
        <f t="shared" si="26"/>
        <v>0</v>
      </c>
      <c r="Q77" s="112"/>
      <c r="R77" s="112">
        <f t="shared" si="26"/>
        <v>0</v>
      </c>
      <c r="S77" s="112"/>
      <c r="T77" s="112">
        <f t="shared" si="27"/>
        <v>0</v>
      </c>
      <c r="U77" s="112"/>
      <c r="V77" s="112">
        <f t="shared" si="27"/>
        <v>0</v>
      </c>
      <c r="W77" s="112"/>
      <c r="X77" s="112">
        <f t="shared" si="28"/>
        <v>0</v>
      </c>
      <c r="Y77" s="112"/>
      <c r="Z77" s="112">
        <f t="shared" si="28"/>
        <v>0</v>
      </c>
      <c r="AA77" s="112">
        <v>0.02</v>
      </c>
      <c r="AB77" s="112">
        <f t="shared" si="12"/>
        <v>0.45512307692307685</v>
      </c>
      <c r="AC77" s="506">
        <f t="shared" ref="AC77:AD112" si="30">M77+O77+Q77+S77+U77+W77+Y77+AA77</f>
        <v>0.02</v>
      </c>
      <c r="AD77" s="507">
        <f t="shared" si="30"/>
        <v>0.45512307692307685</v>
      </c>
      <c r="AE77" s="111"/>
      <c r="AF77" s="112">
        <f t="shared" si="13"/>
        <v>0</v>
      </c>
      <c r="AG77" s="112">
        <v>0.05</v>
      </c>
      <c r="AH77" s="112">
        <f t="shared" si="14"/>
        <v>1.1378076923076923</v>
      </c>
      <c r="AI77" s="112">
        <v>0.05</v>
      </c>
      <c r="AJ77" s="112">
        <f t="shared" si="15"/>
        <v>1.1378076923076923</v>
      </c>
      <c r="AK77" s="112">
        <v>7.0000000000000007E-2</v>
      </c>
      <c r="AL77" s="112">
        <f t="shared" si="16"/>
        <v>1.5929307692307693</v>
      </c>
      <c r="AM77" s="112">
        <v>0.05</v>
      </c>
      <c r="AN77" s="112">
        <f t="shared" si="17"/>
        <v>1.1378076923076923</v>
      </c>
      <c r="AO77" s="99">
        <f t="shared" ref="AO77:AP112" si="31">AE77+AG77+AK77+AM77+AI77</f>
        <v>0.22000000000000003</v>
      </c>
      <c r="AP77" s="505">
        <f t="shared" si="31"/>
        <v>5.0063538461538464</v>
      </c>
      <c r="AQ77" s="111"/>
      <c r="AR77" s="112"/>
      <c r="AS77" s="99">
        <f t="shared" si="18"/>
        <v>0</v>
      </c>
      <c r="AT77" s="102">
        <f t="shared" si="18"/>
        <v>0</v>
      </c>
      <c r="AU77" s="103">
        <f t="shared" ref="AU77:AU112" si="32">K77+AC77+AO77</f>
        <v>0.24000000000000002</v>
      </c>
      <c r="AV77" s="104">
        <f t="shared" ref="AV77:AV112" si="33">L77+AD77+AP77+AT77</f>
        <v>5.4614769230769236</v>
      </c>
      <c r="AW77" s="56" t="s">
        <v>155</v>
      </c>
      <c r="AX77" s="56">
        <f t="shared" si="19"/>
        <v>0</v>
      </c>
    </row>
    <row r="78" spans="1:50" ht="15" customHeight="1" x14ac:dyDescent="0.45">
      <c r="A78" s="73"/>
      <c r="B78" s="90" t="s">
        <v>303</v>
      </c>
      <c r="C78" s="107">
        <v>66</v>
      </c>
      <c r="D78" s="172" t="s">
        <v>304</v>
      </c>
      <c r="E78" s="173" t="s">
        <v>305</v>
      </c>
      <c r="F78" s="174" t="s">
        <v>203</v>
      </c>
      <c r="G78" s="93"/>
      <c r="H78" s="94">
        <f t="shared" ref="H78:H112" si="34">$H$12/$G$12*G78</f>
        <v>0</v>
      </c>
      <c r="I78" s="94"/>
      <c r="J78" s="94"/>
      <c r="K78" s="95">
        <f t="shared" si="29"/>
        <v>0</v>
      </c>
      <c r="L78" s="96">
        <f t="shared" si="29"/>
        <v>0</v>
      </c>
      <c r="M78" s="111"/>
      <c r="N78" s="112">
        <f t="shared" ref="N78:N112" si="35">N$12/M$12*M78</f>
        <v>0</v>
      </c>
      <c r="O78" s="112"/>
      <c r="P78" s="112">
        <f t="shared" ref="P78:R93" si="36">P$12/O$12*O78</f>
        <v>0</v>
      </c>
      <c r="Q78" s="112"/>
      <c r="R78" s="112">
        <f t="shared" si="36"/>
        <v>0</v>
      </c>
      <c r="S78" s="112"/>
      <c r="T78" s="112">
        <f t="shared" ref="T78:V93" si="37">T$12/S$12*S78</f>
        <v>0</v>
      </c>
      <c r="U78" s="112"/>
      <c r="V78" s="112">
        <f t="shared" si="37"/>
        <v>0</v>
      </c>
      <c r="W78" s="112"/>
      <c r="X78" s="112">
        <f t="shared" ref="X78:Z93" si="38">X$12/W$12*W78</f>
        <v>0</v>
      </c>
      <c r="Y78" s="112"/>
      <c r="Z78" s="112">
        <f t="shared" si="38"/>
        <v>0</v>
      </c>
      <c r="AA78" s="112">
        <v>0.02</v>
      </c>
      <c r="AB78" s="112">
        <f t="shared" ref="AB78:AB112" si="39">AB$12/AA$12*AA78</f>
        <v>0.45512307692307685</v>
      </c>
      <c r="AC78" s="506">
        <f t="shared" si="30"/>
        <v>0.02</v>
      </c>
      <c r="AD78" s="507">
        <f t="shared" si="30"/>
        <v>0.45512307692307685</v>
      </c>
      <c r="AE78" s="111"/>
      <c r="AF78" s="112">
        <f t="shared" ref="AF78:AF112" si="40">AF$12/AE$12*AE78</f>
        <v>0</v>
      </c>
      <c r="AG78" s="112">
        <v>0.05</v>
      </c>
      <c r="AH78" s="112">
        <f t="shared" ref="AH78:AH112" si="41">AH$12/AG$12*AG78</f>
        <v>1.1378076923076923</v>
      </c>
      <c r="AI78" s="112">
        <v>0.05</v>
      </c>
      <c r="AJ78" s="112">
        <f t="shared" ref="AJ78:AJ112" si="42">AJ$12/AI$12*AI78</f>
        <v>1.1378076923076923</v>
      </c>
      <c r="AK78" s="112">
        <v>0.09</v>
      </c>
      <c r="AL78" s="112">
        <f t="shared" ref="AL78:AL112" si="43">AL$12/AK$12*AK78</f>
        <v>2.048053846153846</v>
      </c>
      <c r="AM78" s="112">
        <v>0.11</v>
      </c>
      <c r="AN78" s="112">
        <f t="shared" ref="AN78:AN112" si="44">AN$12/AM$12*AM78</f>
        <v>2.5031769230769227</v>
      </c>
      <c r="AO78" s="99">
        <f t="shared" si="31"/>
        <v>0.3</v>
      </c>
      <c r="AP78" s="505">
        <f t="shared" si="31"/>
        <v>6.8268461538461533</v>
      </c>
      <c r="AQ78" s="111"/>
      <c r="AR78" s="112"/>
      <c r="AS78" s="99">
        <f t="shared" ref="AS78:AT112" si="45">AQ78</f>
        <v>0</v>
      </c>
      <c r="AT78" s="102">
        <f t="shared" si="45"/>
        <v>0</v>
      </c>
      <c r="AU78" s="103">
        <f t="shared" si="32"/>
        <v>0.32</v>
      </c>
      <c r="AV78" s="104">
        <f t="shared" si="33"/>
        <v>7.2819692307692305</v>
      </c>
      <c r="AW78" s="56" t="s">
        <v>155</v>
      </c>
      <c r="AX78" s="56">
        <f t="shared" ref="AX78:AX112" si="46">IF(AW78="●",AV78,0)</f>
        <v>0</v>
      </c>
    </row>
    <row r="79" spans="1:50" ht="15" customHeight="1" x14ac:dyDescent="0.45">
      <c r="A79" s="73"/>
      <c r="B79" s="90"/>
      <c r="C79" s="114">
        <v>67</v>
      </c>
      <c r="D79" s="172" t="s">
        <v>306</v>
      </c>
      <c r="E79" s="173" t="s">
        <v>307</v>
      </c>
      <c r="F79" s="174" t="s">
        <v>203</v>
      </c>
      <c r="G79" s="93"/>
      <c r="H79" s="94">
        <f t="shared" si="34"/>
        <v>0</v>
      </c>
      <c r="I79" s="94"/>
      <c r="J79" s="94"/>
      <c r="K79" s="95">
        <f t="shared" si="29"/>
        <v>0</v>
      </c>
      <c r="L79" s="96">
        <f t="shared" si="29"/>
        <v>0</v>
      </c>
      <c r="M79" s="111"/>
      <c r="N79" s="112">
        <f t="shared" si="35"/>
        <v>0</v>
      </c>
      <c r="O79" s="112"/>
      <c r="P79" s="112">
        <f t="shared" si="36"/>
        <v>0</v>
      </c>
      <c r="Q79" s="112"/>
      <c r="R79" s="112">
        <f t="shared" si="36"/>
        <v>0</v>
      </c>
      <c r="S79" s="112"/>
      <c r="T79" s="112">
        <f t="shared" si="37"/>
        <v>0</v>
      </c>
      <c r="U79" s="112"/>
      <c r="V79" s="112">
        <f t="shared" si="37"/>
        <v>0</v>
      </c>
      <c r="W79" s="112"/>
      <c r="X79" s="112">
        <f t="shared" si="38"/>
        <v>0</v>
      </c>
      <c r="Y79" s="112"/>
      <c r="Z79" s="112">
        <f t="shared" si="38"/>
        <v>0</v>
      </c>
      <c r="AA79" s="112">
        <v>0.02</v>
      </c>
      <c r="AB79" s="112">
        <f t="shared" si="39"/>
        <v>0.45512307692307685</v>
      </c>
      <c r="AC79" s="506">
        <f t="shared" si="30"/>
        <v>0.02</v>
      </c>
      <c r="AD79" s="507">
        <f t="shared" si="30"/>
        <v>0.45512307692307685</v>
      </c>
      <c r="AE79" s="111"/>
      <c r="AF79" s="112">
        <f t="shared" si="40"/>
        <v>0</v>
      </c>
      <c r="AG79" s="112">
        <v>0.05</v>
      </c>
      <c r="AH79" s="112">
        <f t="shared" si="41"/>
        <v>1.1378076923076923</v>
      </c>
      <c r="AI79" s="112">
        <v>0.05</v>
      </c>
      <c r="AJ79" s="112">
        <f t="shared" si="42"/>
        <v>1.1378076923076923</v>
      </c>
      <c r="AK79" s="112">
        <v>0.05</v>
      </c>
      <c r="AL79" s="112">
        <f t="shared" si="43"/>
        <v>1.1378076923076923</v>
      </c>
      <c r="AM79" s="112">
        <v>0.05</v>
      </c>
      <c r="AN79" s="112">
        <f t="shared" si="44"/>
        <v>1.1378076923076923</v>
      </c>
      <c r="AO79" s="99">
        <f t="shared" si="31"/>
        <v>0.2</v>
      </c>
      <c r="AP79" s="505">
        <f t="shared" si="31"/>
        <v>4.5512307692307692</v>
      </c>
      <c r="AQ79" s="111"/>
      <c r="AR79" s="112"/>
      <c r="AS79" s="99">
        <f t="shared" si="45"/>
        <v>0</v>
      </c>
      <c r="AT79" s="102">
        <f t="shared" si="45"/>
        <v>0</v>
      </c>
      <c r="AU79" s="103">
        <f t="shared" si="32"/>
        <v>0.22</v>
      </c>
      <c r="AV79" s="104">
        <f t="shared" si="33"/>
        <v>5.0063538461538464</v>
      </c>
      <c r="AW79" s="56" t="s">
        <v>155</v>
      </c>
      <c r="AX79" s="56">
        <f t="shared" si="46"/>
        <v>0</v>
      </c>
    </row>
    <row r="80" spans="1:50" ht="15" customHeight="1" x14ac:dyDescent="0.45">
      <c r="A80" s="73"/>
      <c r="B80" s="90"/>
      <c r="C80" s="114">
        <v>68</v>
      </c>
      <c r="D80" s="172" t="s">
        <v>308</v>
      </c>
      <c r="E80" s="173" t="s">
        <v>309</v>
      </c>
      <c r="F80" s="174" t="s">
        <v>203</v>
      </c>
      <c r="G80" s="93"/>
      <c r="H80" s="94">
        <f t="shared" si="34"/>
        <v>0</v>
      </c>
      <c r="I80" s="94"/>
      <c r="J80" s="94"/>
      <c r="K80" s="95">
        <f t="shared" si="29"/>
        <v>0</v>
      </c>
      <c r="L80" s="96">
        <f t="shared" si="29"/>
        <v>0</v>
      </c>
      <c r="M80" s="111"/>
      <c r="N80" s="112">
        <f t="shared" si="35"/>
        <v>0</v>
      </c>
      <c r="O80" s="112"/>
      <c r="P80" s="112">
        <f t="shared" si="36"/>
        <v>0</v>
      </c>
      <c r="Q80" s="112"/>
      <c r="R80" s="112">
        <f t="shared" si="36"/>
        <v>0</v>
      </c>
      <c r="S80" s="112"/>
      <c r="T80" s="112">
        <f t="shared" si="37"/>
        <v>0</v>
      </c>
      <c r="U80" s="112"/>
      <c r="V80" s="112">
        <f t="shared" si="37"/>
        <v>0</v>
      </c>
      <c r="W80" s="112"/>
      <c r="X80" s="112">
        <f t="shared" si="38"/>
        <v>0</v>
      </c>
      <c r="Y80" s="112"/>
      <c r="Z80" s="112">
        <f t="shared" si="38"/>
        <v>0</v>
      </c>
      <c r="AA80" s="112">
        <v>0.02</v>
      </c>
      <c r="AB80" s="112">
        <f t="shared" si="39"/>
        <v>0.45512307692307685</v>
      </c>
      <c r="AC80" s="506">
        <f t="shared" si="30"/>
        <v>0.02</v>
      </c>
      <c r="AD80" s="507">
        <f t="shared" si="30"/>
        <v>0.45512307692307685</v>
      </c>
      <c r="AE80" s="111"/>
      <c r="AF80" s="112">
        <f t="shared" si="40"/>
        <v>0</v>
      </c>
      <c r="AG80" s="112">
        <v>0.05</v>
      </c>
      <c r="AH80" s="112">
        <f t="shared" si="41"/>
        <v>1.1378076923076923</v>
      </c>
      <c r="AI80" s="112">
        <v>0.05</v>
      </c>
      <c r="AJ80" s="112">
        <f t="shared" si="42"/>
        <v>1.1378076923076923</v>
      </c>
      <c r="AK80" s="112">
        <v>0.03</v>
      </c>
      <c r="AL80" s="112">
        <f t="shared" si="43"/>
        <v>0.68268461538461522</v>
      </c>
      <c r="AM80" s="112">
        <v>0.03</v>
      </c>
      <c r="AN80" s="112">
        <f t="shared" si="44"/>
        <v>0.68268461538461522</v>
      </c>
      <c r="AO80" s="99">
        <f t="shared" si="31"/>
        <v>0.16</v>
      </c>
      <c r="AP80" s="505">
        <f t="shared" si="31"/>
        <v>3.6409846153846148</v>
      </c>
      <c r="AQ80" s="111"/>
      <c r="AR80" s="112"/>
      <c r="AS80" s="99">
        <f t="shared" si="45"/>
        <v>0</v>
      </c>
      <c r="AT80" s="102">
        <f t="shared" si="45"/>
        <v>0</v>
      </c>
      <c r="AU80" s="103">
        <f t="shared" si="32"/>
        <v>0.18</v>
      </c>
      <c r="AV80" s="104">
        <f t="shared" si="33"/>
        <v>4.096107692307692</v>
      </c>
      <c r="AW80" s="56" t="s">
        <v>155</v>
      </c>
      <c r="AX80" s="56">
        <f t="shared" si="46"/>
        <v>0</v>
      </c>
    </row>
    <row r="81" spans="1:50" ht="15" customHeight="1" x14ac:dyDescent="0.45">
      <c r="A81" s="73"/>
      <c r="B81" s="90"/>
      <c r="C81" s="107">
        <v>69</v>
      </c>
      <c r="D81" s="172" t="s">
        <v>310</v>
      </c>
      <c r="E81" s="173" t="s">
        <v>311</v>
      </c>
      <c r="F81" s="174" t="s">
        <v>203</v>
      </c>
      <c r="G81" s="93"/>
      <c r="H81" s="94">
        <f t="shared" si="34"/>
        <v>0</v>
      </c>
      <c r="I81" s="94"/>
      <c r="J81" s="94"/>
      <c r="K81" s="95">
        <f t="shared" si="29"/>
        <v>0</v>
      </c>
      <c r="L81" s="96">
        <f t="shared" si="29"/>
        <v>0</v>
      </c>
      <c r="M81" s="111"/>
      <c r="N81" s="112">
        <f t="shared" si="35"/>
        <v>0</v>
      </c>
      <c r="O81" s="112">
        <v>0.01</v>
      </c>
      <c r="P81" s="112">
        <f t="shared" si="36"/>
        <v>0.22756153846153843</v>
      </c>
      <c r="Q81" s="112">
        <v>0.01</v>
      </c>
      <c r="R81" s="112">
        <f t="shared" si="36"/>
        <v>0.22756153846153843</v>
      </c>
      <c r="S81" s="112">
        <v>0.01</v>
      </c>
      <c r="T81" s="112">
        <f t="shared" si="37"/>
        <v>0.22756153846153843</v>
      </c>
      <c r="U81" s="112">
        <v>0.01</v>
      </c>
      <c r="V81" s="112">
        <f t="shared" si="37"/>
        <v>0.22756153846153843</v>
      </c>
      <c r="W81" s="112">
        <v>0.01</v>
      </c>
      <c r="X81" s="112">
        <f t="shared" si="38"/>
        <v>0.22756153846153843</v>
      </c>
      <c r="Y81" s="112">
        <v>0.01</v>
      </c>
      <c r="Z81" s="112">
        <f t="shared" si="38"/>
        <v>0.22756153846153843</v>
      </c>
      <c r="AA81" s="112"/>
      <c r="AB81" s="112">
        <f t="shared" si="39"/>
        <v>0</v>
      </c>
      <c r="AC81" s="506">
        <f t="shared" si="30"/>
        <v>6.0000000000000005E-2</v>
      </c>
      <c r="AD81" s="507">
        <f t="shared" si="30"/>
        <v>1.3653692307692304</v>
      </c>
      <c r="AE81" s="111"/>
      <c r="AF81" s="112">
        <f t="shared" si="40"/>
        <v>0</v>
      </c>
      <c r="AG81" s="112"/>
      <c r="AH81" s="112">
        <f t="shared" si="41"/>
        <v>0</v>
      </c>
      <c r="AI81" s="112"/>
      <c r="AJ81" s="112">
        <f t="shared" si="42"/>
        <v>0</v>
      </c>
      <c r="AK81" s="112"/>
      <c r="AL81" s="112">
        <f t="shared" si="43"/>
        <v>0</v>
      </c>
      <c r="AM81" s="112"/>
      <c r="AN81" s="112">
        <f t="shared" si="44"/>
        <v>0</v>
      </c>
      <c r="AO81" s="99">
        <f t="shared" si="31"/>
        <v>0</v>
      </c>
      <c r="AP81" s="505">
        <f t="shared" si="31"/>
        <v>0</v>
      </c>
      <c r="AQ81" s="111"/>
      <c r="AR81" s="112"/>
      <c r="AS81" s="99">
        <f t="shared" si="45"/>
        <v>0</v>
      </c>
      <c r="AT81" s="102">
        <f t="shared" si="45"/>
        <v>0</v>
      </c>
      <c r="AU81" s="103">
        <f t="shared" si="32"/>
        <v>6.0000000000000005E-2</v>
      </c>
      <c r="AV81" s="104">
        <f t="shared" si="33"/>
        <v>1.3653692307692304</v>
      </c>
      <c r="AW81" s="56" t="s">
        <v>155</v>
      </c>
      <c r="AX81" s="56">
        <f t="shared" si="46"/>
        <v>0</v>
      </c>
    </row>
    <row r="82" spans="1:50" ht="15" customHeight="1" x14ac:dyDescent="0.45">
      <c r="A82" s="73"/>
      <c r="B82" s="90"/>
      <c r="C82" s="114">
        <v>70</v>
      </c>
      <c r="D82" s="172" t="s">
        <v>312</v>
      </c>
      <c r="E82" s="173" t="s">
        <v>313</v>
      </c>
      <c r="F82" s="110" t="s">
        <v>177</v>
      </c>
      <c r="G82" s="93"/>
      <c r="H82" s="94">
        <f t="shared" si="34"/>
        <v>0</v>
      </c>
      <c r="I82" s="94"/>
      <c r="J82" s="94"/>
      <c r="K82" s="95">
        <f t="shared" si="29"/>
        <v>0</v>
      </c>
      <c r="L82" s="96">
        <f t="shared" si="29"/>
        <v>0</v>
      </c>
      <c r="M82" s="111"/>
      <c r="N82" s="112">
        <f t="shared" si="35"/>
        <v>0</v>
      </c>
      <c r="O82" s="112"/>
      <c r="P82" s="112">
        <f t="shared" si="36"/>
        <v>0</v>
      </c>
      <c r="Q82" s="112"/>
      <c r="R82" s="112">
        <f t="shared" si="36"/>
        <v>0</v>
      </c>
      <c r="S82" s="112"/>
      <c r="T82" s="112">
        <f t="shared" si="37"/>
        <v>0</v>
      </c>
      <c r="U82" s="112"/>
      <c r="V82" s="112">
        <f t="shared" si="37"/>
        <v>0</v>
      </c>
      <c r="W82" s="112"/>
      <c r="X82" s="112">
        <f t="shared" si="38"/>
        <v>0</v>
      </c>
      <c r="Y82" s="112"/>
      <c r="Z82" s="112">
        <f t="shared" si="38"/>
        <v>0</v>
      </c>
      <c r="AA82" s="112">
        <v>0.05</v>
      </c>
      <c r="AB82" s="112">
        <f t="shared" si="39"/>
        <v>1.1378076923076923</v>
      </c>
      <c r="AC82" s="506">
        <f t="shared" si="30"/>
        <v>0.05</v>
      </c>
      <c r="AD82" s="507">
        <f t="shared" si="30"/>
        <v>1.1378076923076923</v>
      </c>
      <c r="AE82" s="111"/>
      <c r="AF82" s="112">
        <f t="shared" si="40"/>
        <v>0</v>
      </c>
      <c r="AG82" s="112">
        <v>0.03</v>
      </c>
      <c r="AH82" s="112">
        <f t="shared" si="41"/>
        <v>0.68268461538461522</v>
      </c>
      <c r="AI82" s="112">
        <v>0.03</v>
      </c>
      <c r="AJ82" s="112">
        <f t="shared" si="42"/>
        <v>0.68268461538461522</v>
      </c>
      <c r="AK82" s="112">
        <v>0.04</v>
      </c>
      <c r="AL82" s="112">
        <f t="shared" si="43"/>
        <v>0.9102461538461537</v>
      </c>
      <c r="AM82" s="112">
        <v>0.04</v>
      </c>
      <c r="AN82" s="112">
        <f t="shared" si="44"/>
        <v>0.9102461538461537</v>
      </c>
      <c r="AO82" s="99">
        <f t="shared" si="31"/>
        <v>0.14000000000000001</v>
      </c>
      <c r="AP82" s="505">
        <f t="shared" si="31"/>
        <v>3.1858615384615376</v>
      </c>
      <c r="AQ82" s="111"/>
      <c r="AR82" s="112"/>
      <c r="AS82" s="99">
        <f t="shared" si="45"/>
        <v>0</v>
      </c>
      <c r="AT82" s="102">
        <f t="shared" si="45"/>
        <v>0</v>
      </c>
      <c r="AU82" s="103">
        <f t="shared" si="32"/>
        <v>0.19</v>
      </c>
      <c r="AV82" s="104">
        <f t="shared" si="33"/>
        <v>4.3236692307692302</v>
      </c>
      <c r="AW82" s="56" t="s">
        <v>155</v>
      </c>
      <c r="AX82" s="56">
        <f t="shared" si="46"/>
        <v>0</v>
      </c>
    </row>
    <row r="83" spans="1:50" ht="15" customHeight="1" x14ac:dyDescent="0.45">
      <c r="A83" s="73"/>
      <c r="B83" s="90"/>
      <c r="C83" s="107">
        <v>71</v>
      </c>
      <c r="D83" s="172" t="s">
        <v>314</v>
      </c>
      <c r="E83" s="173" t="s">
        <v>315</v>
      </c>
      <c r="F83" s="110" t="s">
        <v>187</v>
      </c>
      <c r="G83" s="93"/>
      <c r="H83" s="94">
        <f t="shared" si="34"/>
        <v>0</v>
      </c>
      <c r="I83" s="94"/>
      <c r="J83" s="94"/>
      <c r="K83" s="95">
        <f t="shared" si="29"/>
        <v>0</v>
      </c>
      <c r="L83" s="96">
        <f t="shared" si="29"/>
        <v>0</v>
      </c>
      <c r="M83" s="111"/>
      <c r="N83" s="112">
        <f t="shared" si="35"/>
        <v>0</v>
      </c>
      <c r="O83" s="112"/>
      <c r="P83" s="112">
        <f t="shared" si="36"/>
        <v>0</v>
      </c>
      <c r="Q83" s="112"/>
      <c r="R83" s="112">
        <f t="shared" si="36"/>
        <v>0</v>
      </c>
      <c r="S83" s="112"/>
      <c r="T83" s="112">
        <f t="shared" si="37"/>
        <v>0</v>
      </c>
      <c r="U83" s="112"/>
      <c r="V83" s="112">
        <f t="shared" si="37"/>
        <v>0</v>
      </c>
      <c r="W83" s="112"/>
      <c r="X83" s="112">
        <f t="shared" si="38"/>
        <v>0</v>
      </c>
      <c r="Y83" s="112"/>
      <c r="Z83" s="112">
        <f t="shared" si="38"/>
        <v>0</v>
      </c>
      <c r="AA83" s="112">
        <v>0.01</v>
      </c>
      <c r="AB83" s="112">
        <f t="shared" si="39"/>
        <v>0.22756153846153843</v>
      </c>
      <c r="AC83" s="506">
        <f t="shared" si="30"/>
        <v>0.01</v>
      </c>
      <c r="AD83" s="507">
        <f t="shared" si="30"/>
        <v>0.22756153846153843</v>
      </c>
      <c r="AE83" s="111"/>
      <c r="AF83" s="112">
        <f t="shared" si="40"/>
        <v>0</v>
      </c>
      <c r="AG83" s="112">
        <v>0.03</v>
      </c>
      <c r="AH83" s="112">
        <f t="shared" si="41"/>
        <v>0.68268461538461522</v>
      </c>
      <c r="AI83" s="112">
        <v>0.03</v>
      </c>
      <c r="AJ83" s="112">
        <f t="shared" si="42"/>
        <v>0.68268461538461522</v>
      </c>
      <c r="AK83" s="112">
        <v>0.04</v>
      </c>
      <c r="AL83" s="112">
        <f t="shared" si="43"/>
        <v>0.9102461538461537</v>
      </c>
      <c r="AM83" s="112">
        <v>0.04</v>
      </c>
      <c r="AN83" s="112">
        <f t="shared" si="44"/>
        <v>0.9102461538461537</v>
      </c>
      <c r="AO83" s="99">
        <f t="shared" si="31"/>
        <v>0.14000000000000001</v>
      </c>
      <c r="AP83" s="505">
        <f t="shared" si="31"/>
        <v>3.1858615384615376</v>
      </c>
      <c r="AQ83" s="111"/>
      <c r="AR83" s="112"/>
      <c r="AS83" s="99">
        <f t="shared" si="45"/>
        <v>0</v>
      </c>
      <c r="AT83" s="102">
        <f t="shared" si="45"/>
        <v>0</v>
      </c>
      <c r="AU83" s="103">
        <f t="shared" si="32"/>
        <v>0.15000000000000002</v>
      </c>
      <c r="AV83" s="104">
        <f t="shared" si="33"/>
        <v>3.4134230769230762</v>
      </c>
      <c r="AW83" s="56" t="s">
        <v>155</v>
      </c>
      <c r="AX83" s="56">
        <f t="shared" si="46"/>
        <v>0</v>
      </c>
    </row>
    <row r="84" spans="1:50" ht="15" customHeight="1" thickBot="1" x14ac:dyDescent="0.5">
      <c r="A84" s="150"/>
      <c r="B84" s="151"/>
      <c r="C84" s="186">
        <v>72</v>
      </c>
      <c r="D84" s="187" t="s">
        <v>316</v>
      </c>
      <c r="E84" s="188" t="s">
        <v>317</v>
      </c>
      <c r="F84" s="155" t="s">
        <v>187</v>
      </c>
      <c r="G84" s="156">
        <v>0.01</v>
      </c>
      <c r="H84" s="157">
        <f t="shared" si="34"/>
        <v>1.8075000000000001</v>
      </c>
      <c r="I84" s="157"/>
      <c r="J84" s="157"/>
      <c r="K84" s="158">
        <f t="shared" si="29"/>
        <v>0.01</v>
      </c>
      <c r="L84" s="159">
        <f t="shared" si="29"/>
        <v>1.8075000000000001</v>
      </c>
      <c r="M84" s="160">
        <v>0.05</v>
      </c>
      <c r="N84" s="161">
        <f t="shared" si="35"/>
        <v>1.1378076923076923</v>
      </c>
      <c r="O84" s="161">
        <v>0.01</v>
      </c>
      <c r="P84" s="161">
        <f t="shared" si="36"/>
        <v>0.22756153846153843</v>
      </c>
      <c r="Q84" s="161">
        <v>0.01</v>
      </c>
      <c r="R84" s="161">
        <f t="shared" si="36"/>
        <v>0.22756153846153843</v>
      </c>
      <c r="S84" s="161">
        <v>0.01</v>
      </c>
      <c r="T84" s="161">
        <f t="shared" si="37"/>
        <v>0.22756153846153843</v>
      </c>
      <c r="U84" s="161">
        <v>0.01</v>
      </c>
      <c r="V84" s="161">
        <f t="shared" si="37"/>
        <v>0.22756153846153843</v>
      </c>
      <c r="W84" s="161">
        <v>0.01</v>
      </c>
      <c r="X84" s="161">
        <f t="shared" si="38"/>
        <v>0.22756153846153843</v>
      </c>
      <c r="Y84" s="161">
        <v>0.01</v>
      </c>
      <c r="Z84" s="161">
        <f t="shared" si="38"/>
        <v>0.22756153846153843</v>
      </c>
      <c r="AA84" s="161"/>
      <c r="AB84" s="161">
        <f t="shared" si="39"/>
        <v>0</v>
      </c>
      <c r="AC84" s="514">
        <f t="shared" si="30"/>
        <v>0.10999999999999999</v>
      </c>
      <c r="AD84" s="515">
        <f t="shared" si="30"/>
        <v>2.5031769230769232</v>
      </c>
      <c r="AE84" s="160"/>
      <c r="AF84" s="161">
        <f t="shared" si="40"/>
        <v>0</v>
      </c>
      <c r="AG84" s="161"/>
      <c r="AH84" s="161">
        <f t="shared" si="41"/>
        <v>0</v>
      </c>
      <c r="AI84" s="161"/>
      <c r="AJ84" s="161">
        <f t="shared" si="42"/>
        <v>0</v>
      </c>
      <c r="AK84" s="161"/>
      <c r="AL84" s="161">
        <f t="shared" si="43"/>
        <v>0</v>
      </c>
      <c r="AM84" s="161"/>
      <c r="AN84" s="161">
        <f t="shared" si="44"/>
        <v>0</v>
      </c>
      <c r="AO84" s="162">
        <f t="shared" si="31"/>
        <v>0</v>
      </c>
      <c r="AP84" s="516">
        <f t="shared" si="31"/>
        <v>0</v>
      </c>
      <c r="AQ84" s="160"/>
      <c r="AR84" s="161"/>
      <c r="AS84" s="162">
        <f t="shared" si="45"/>
        <v>0</v>
      </c>
      <c r="AT84" s="165">
        <f t="shared" si="45"/>
        <v>0</v>
      </c>
      <c r="AU84" s="166">
        <f t="shared" si="32"/>
        <v>0.11999999999999998</v>
      </c>
      <c r="AV84" s="167">
        <f t="shared" si="33"/>
        <v>4.3106769230769233</v>
      </c>
      <c r="AW84" s="130" t="s">
        <v>155</v>
      </c>
      <c r="AX84" s="56">
        <f t="shared" si="46"/>
        <v>0</v>
      </c>
    </row>
    <row r="85" spans="1:50" ht="15" customHeight="1" thickTop="1" x14ac:dyDescent="0.45">
      <c r="A85" s="73" t="s">
        <v>318</v>
      </c>
      <c r="B85" s="90" t="s">
        <v>318</v>
      </c>
      <c r="C85" s="114">
        <v>73</v>
      </c>
      <c r="D85" s="108" t="s">
        <v>319</v>
      </c>
      <c r="E85" s="109" t="s">
        <v>320</v>
      </c>
      <c r="F85" s="110" t="s">
        <v>203</v>
      </c>
      <c r="G85" s="78"/>
      <c r="H85" s="79">
        <f t="shared" si="34"/>
        <v>0</v>
      </c>
      <c r="I85" s="79"/>
      <c r="J85" s="79"/>
      <c r="K85" s="80">
        <f t="shared" si="29"/>
        <v>0</v>
      </c>
      <c r="L85" s="81">
        <f t="shared" si="29"/>
        <v>0</v>
      </c>
      <c r="M85" s="169"/>
      <c r="N85" s="170">
        <f t="shared" si="35"/>
        <v>0</v>
      </c>
      <c r="O85" s="170"/>
      <c r="P85" s="170">
        <f t="shared" si="36"/>
        <v>0</v>
      </c>
      <c r="Q85" s="170"/>
      <c r="R85" s="170">
        <f t="shared" si="36"/>
        <v>0</v>
      </c>
      <c r="S85" s="170"/>
      <c r="T85" s="170">
        <f t="shared" si="37"/>
        <v>0</v>
      </c>
      <c r="U85" s="170"/>
      <c r="V85" s="170">
        <f t="shared" si="37"/>
        <v>0</v>
      </c>
      <c r="W85" s="170"/>
      <c r="X85" s="170">
        <f t="shared" si="38"/>
        <v>0</v>
      </c>
      <c r="Y85" s="170">
        <v>0.05</v>
      </c>
      <c r="Z85" s="170">
        <f t="shared" si="38"/>
        <v>1.1378076923076923</v>
      </c>
      <c r="AA85" s="170"/>
      <c r="AB85" s="170">
        <f t="shared" si="39"/>
        <v>0</v>
      </c>
      <c r="AC85" s="517">
        <f t="shared" si="30"/>
        <v>0.05</v>
      </c>
      <c r="AD85" s="518">
        <f t="shared" si="30"/>
        <v>1.1378076923076923</v>
      </c>
      <c r="AE85" s="169"/>
      <c r="AF85" s="170">
        <f t="shared" si="40"/>
        <v>0</v>
      </c>
      <c r="AG85" s="170"/>
      <c r="AH85" s="170">
        <f t="shared" si="41"/>
        <v>0</v>
      </c>
      <c r="AI85" s="170"/>
      <c r="AJ85" s="170">
        <f t="shared" si="42"/>
        <v>0</v>
      </c>
      <c r="AK85" s="170"/>
      <c r="AL85" s="170">
        <f t="shared" si="43"/>
        <v>0</v>
      </c>
      <c r="AM85" s="170"/>
      <c r="AN85" s="170">
        <f t="shared" si="44"/>
        <v>0</v>
      </c>
      <c r="AO85" s="84">
        <f t="shared" si="31"/>
        <v>0</v>
      </c>
      <c r="AP85" s="504">
        <f t="shared" si="31"/>
        <v>0</v>
      </c>
      <c r="AQ85" s="169"/>
      <c r="AR85" s="170"/>
      <c r="AS85" s="84">
        <f t="shared" si="45"/>
        <v>0</v>
      </c>
      <c r="AT85" s="87">
        <f t="shared" si="45"/>
        <v>0</v>
      </c>
      <c r="AU85" s="88">
        <f t="shared" si="32"/>
        <v>0.05</v>
      </c>
      <c r="AV85" s="89">
        <f t="shared" si="33"/>
        <v>1.1378076923076923</v>
      </c>
      <c r="AW85" s="149" t="s">
        <v>155</v>
      </c>
      <c r="AX85" s="56">
        <f t="shared" si="46"/>
        <v>0</v>
      </c>
    </row>
    <row r="86" spans="1:50" ht="15" customHeight="1" x14ac:dyDescent="0.45">
      <c r="A86" s="73"/>
      <c r="B86" s="90"/>
      <c r="C86" s="114">
        <v>74</v>
      </c>
      <c r="D86" s="181" t="s">
        <v>236</v>
      </c>
      <c r="E86" s="182" t="s">
        <v>321</v>
      </c>
      <c r="F86" s="174" t="s">
        <v>203</v>
      </c>
      <c r="G86" s="93"/>
      <c r="H86" s="94">
        <f t="shared" si="34"/>
        <v>0</v>
      </c>
      <c r="I86" s="94"/>
      <c r="J86" s="94"/>
      <c r="K86" s="95">
        <f t="shared" si="29"/>
        <v>0</v>
      </c>
      <c r="L86" s="96">
        <f t="shared" si="29"/>
        <v>0</v>
      </c>
      <c r="M86" s="111"/>
      <c r="N86" s="112">
        <f t="shared" si="35"/>
        <v>0</v>
      </c>
      <c r="O86" s="112"/>
      <c r="P86" s="112">
        <f t="shared" si="36"/>
        <v>0</v>
      </c>
      <c r="Q86" s="112"/>
      <c r="R86" s="112">
        <f t="shared" si="36"/>
        <v>0</v>
      </c>
      <c r="S86" s="112"/>
      <c r="T86" s="112">
        <f t="shared" si="37"/>
        <v>0</v>
      </c>
      <c r="U86" s="112"/>
      <c r="V86" s="112">
        <f t="shared" si="37"/>
        <v>0</v>
      </c>
      <c r="W86" s="112"/>
      <c r="X86" s="112">
        <f t="shared" si="38"/>
        <v>0</v>
      </c>
      <c r="Y86" s="112">
        <v>0.05</v>
      </c>
      <c r="Z86" s="112">
        <f t="shared" si="38"/>
        <v>1.1378076923076923</v>
      </c>
      <c r="AA86" s="112"/>
      <c r="AB86" s="112">
        <f t="shared" si="39"/>
        <v>0</v>
      </c>
      <c r="AC86" s="506">
        <f t="shared" si="30"/>
        <v>0.05</v>
      </c>
      <c r="AD86" s="507">
        <f t="shared" si="30"/>
        <v>1.1378076923076923</v>
      </c>
      <c r="AE86" s="111"/>
      <c r="AF86" s="112">
        <f t="shared" si="40"/>
        <v>0</v>
      </c>
      <c r="AG86" s="112"/>
      <c r="AH86" s="112">
        <f t="shared" si="41"/>
        <v>0</v>
      </c>
      <c r="AI86" s="112"/>
      <c r="AJ86" s="112">
        <f t="shared" si="42"/>
        <v>0</v>
      </c>
      <c r="AK86" s="112"/>
      <c r="AL86" s="112">
        <f t="shared" si="43"/>
        <v>0</v>
      </c>
      <c r="AM86" s="112"/>
      <c r="AN86" s="112">
        <f t="shared" si="44"/>
        <v>0</v>
      </c>
      <c r="AO86" s="99">
        <f t="shared" si="31"/>
        <v>0</v>
      </c>
      <c r="AP86" s="505">
        <f t="shared" si="31"/>
        <v>0</v>
      </c>
      <c r="AQ86" s="111"/>
      <c r="AR86" s="112"/>
      <c r="AS86" s="99">
        <f t="shared" si="45"/>
        <v>0</v>
      </c>
      <c r="AT86" s="102">
        <f t="shared" si="45"/>
        <v>0</v>
      </c>
      <c r="AU86" s="103">
        <f t="shared" si="32"/>
        <v>0.05</v>
      </c>
      <c r="AV86" s="104">
        <f t="shared" si="33"/>
        <v>1.1378076923076923</v>
      </c>
      <c r="AW86" s="56" t="s">
        <v>155</v>
      </c>
      <c r="AX86" s="56">
        <f t="shared" si="46"/>
        <v>0</v>
      </c>
    </row>
    <row r="87" spans="1:50" ht="15" customHeight="1" thickBot="1" x14ac:dyDescent="0.5">
      <c r="A87" s="73"/>
      <c r="B87" s="90"/>
      <c r="C87" s="107">
        <v>75</v>
      </c>
      <c r="D87" s="181" t="s">
        <v>322</v>
      </c>
      <c r="E87" s="182" t="s">
        <v>323</v>
      </c>
      <c r="F87" s="183" t="s">
        <v>165</v>
      </c>
      <c r="G87" s="118">
        <v>0.01</v>
      </c>
      <c r="H87" s="119">
        <f t="shared" si="34"/>
        <v>1.8075000000000001</v>
      </c>
      <c r="I87" s="119"/>
      <c r="J87" s="119"/>
      <c r="K87" s="120">
        <f t="shared" si="29"/>
        <v>0.01</v>
      </c>
      <c r="L87" s="121">
        <f t="shared" si="29"/>
        <v>1.8075000000000001</v>
      </c>
      <c r="M87" s="122">
        <v>0.05</v>
      </c>
      <c r="N87" s="123">
        <f t="shared" si="35"/>
        <v>1.1378076923076923</v>
      </c>
      <c r="O87" s="123"/>
      <c r="P87" s="123">
        <f t="shared" si="36"/>
        <v>0</v>
      </c>
      <c r="Q87" s="123"/>
      <c r="R87" s="123">
        <f t="shared" si="36"/>
        <v>0</v>
      </c>
      <c r="S87" s="123"/>
      <c r="T87" s="123">
        <f t="shared" si="37"/>
        <v>0</v>
      </c>
      <c r="U87" s="123"/>
      <c r="V87" s="123">
        <f t="shared" si="37"/>
        <v>0</v>
      </c>
      <c r="W87" s="123"/>
      <c r="X87" s="123">
        <f t="shared" si="38"/>
        <v>0</v>
      </c>
      <c r="Y87" s="123"/>
      <c r="Z87" s="123">
        <f t="shared" si="38"/>
        <v>0</v>
      </c>
      <c r="AA87" s="123"/>
      <c r="AB87" s="123">
        <f t="shared" si="39"/>
        <v>0</v>
      </c>
      <c r="AC87" s="508">
        <f t="shared" si="30"/>
        <v>0.05</v>
      </c>
      <c r="AD87" s="509">
        <f t="shared" si="30"/>
        <v>1.1378076923076923</v>
      </c>
      <c r="AE87" s="122"/>
      <c r="AF87" s="123">
        <f t="shared" si="40"/>
        <v>0</v>
      </c>
      <c r="AG87" s="123"/>
      <c r="AH87" s="123">
        <f t="shared" si="41"/>
        <v>0</v>
      </c>
      <c r="AI87" s="123"/>
      <c r="AJ87" s="123">
        <f t="shared" si="42"/>
        <v>0</v>
      </c>
      <c r="AK87" s="123"/>
      <c r="AL87" s="123">
        <f t="shared" si="43"/>
        <v>0</v>
      </c>
      <c r="AM87" s="123"/>
      <c r="AN87" s="123">
        <f t="shared" si="44"/>
        <v>0</v>
      </c>
      <c r="AO87" s="124">
        <f t="shared" si="31"/>
        <v>0</v>
      </c>
      <c r="AP87" s="510">
        <f t="shared" si="31"/>
        <v>0</v>
      </c>
      <c r="AQ87" s="122"/>
      <c r="AR87" s="123"/>
      <c r="AS87" s="124">
        <f t="shared" si="45"/>
        <v>0</v>
      </c>
      <c r="AT87" s="127">
        <f t="shared" si="45"/>
        <v>0</v>
      </c>
      <c r="AU87" s="128">
        <f t="shared" si="32"/>
        <v>6.0000000000000005E-2</v>
      </c>
      <c r="AV87" s="129">
        <f t="shared" si="33"/>
        <v>2.9453076923076926</v>
      </c>
      <c r="AW87" s="130" t="s">
        <v>155</v>
      </c>
      <c r="AX87" s="56">
        <f t="shared" si="46"/>
        <v>0</v>
      </c>
    </row>
    <row r="88" spans="1:50" ht="15" customHeight="1" thickTop="1" x14ac:dyDescent="0.45">
      <c r="A88" s="131" t="s">
        <v>324</v>
      </c>
      <c r="B88" s="132" t="s">
        <v>325</v>
      </c>
      <c r="C88" s="189">
        <v>76</v>
      </c>
      <c r="D88" s="190" t="s">
        <v>326</v>
      </c>
      <c r="E88" s="191" t="s">
        <v>327</v>
      </c>
      <c r="F88" s="192" t="s">
        <v>162</v>
      </c>
      <c r="G88" s="137"/>
      <c r="H88" s="138">
        <f t="shared" si="34"/>
        <v>0</v>
      </c>
      <c r="I88" s="138"/>
      <c r="J88" s="193"/>
      <c r="K88" s="139">
        <f t="shared" si="29"/>
        <v>0</v>
      </c>
      <c r="L88" s="140">
        <f t="shared" si="29"/>
        <v>0</v>
      </c>
      <c r="M88" s="194"/>
      <c r="N88" s="195">
        <f t="shared" si="35"/>
        <v>0</v>
      </c>
      <c r="O88" s="195"/>
      <c r="P88" s="195">
        <f t="shared" si="36"/>
        <v>0</v>
      </c>
      <c r="Q88" s="195"/>
      <c r="R88" s="195">
        <f t="shared" si="36"/>
        <v>0</v>
      </c>
      <c r="S88" s="142"/>
      <c r="T88" s="142">
        <f t="shared" si="37"/>
        <v>0</v>
      </c>
      <c r="U88" s="142"/>
      <c r="V88" s="142">
        <f t="shared" si="37"/>
        <v>0</v>
      </c>
      <c r="W88" s="142"/>
      <c r="X88" s="142">
        <f t="shared" si="38"/>
        <v>0</v>
      </c>
      <c r="Y88" s="142"/>
      <c r="Z88" s="142">
        <f t="shared" si="38"/>
        <v>0</v>
      </c>
      <c r="AA88" s="142"/>
      <c r="AB88" s="142">
        <f t="shared" si="39"/>
        <v>0</v>
      </c>
      <c r="AC88" s="511">
        <f t="shared" si="30"/>
        <v>0</v>
      </c>
      <c r="AD88" s="512">
        <f t="shared" si="30"/>
        <v>0</v>
      </c>
      <c r="AE88" s="141"/>
      <c r="AF88" s="142">
        <f t="shared" si="40"/>
        <v>0</v>
      </c>
      <c r="AG88" s="142"/>
      <c r="AH88" s="142">
        <f t="shared" si="41"/>
        <v>0</v>
      </c>
      <c r="AI88" s="142"/>
      <c r="AJ88" s="142">
        <f t="shared" si="42"/>
        <v>0</v>
      </c>
      <c r="AK88" s="195"/>
      <c r="AL88" s="195">
        <f t="shared" si="43"/>
        <v>0</v>
      </c>
      <c r="AM88" s="195"/>
      <c r="AN88" s="195">
        <f t="shared" si="44"/>
        <v>0</v>
      </c>
      <c r="AO88" s="143">
        <f t="shared" si="31"/>
        <v>0</v>
      </c>
      <c r="AP88" s="513">
        <f t="shared" si="31"/>
        <v>0</v>
      </c>
      <c r="AQ88" s="194"/>
      <c r="AR88" s="195"/>
      <c r="AS88" s="143">
        <f t="shared" si="45"/>
        <v>0</v>
      </c>
      <c r="AT88" s="146">
        <f t="shared" si="45"/>
        <v>0</v>
      </c>
      <c r="AU88" s="147">
        <f t="shared" si="32"/>
        <v>0</v>
      </c>
      <c r="AV88" s="148">
        <f t="shared" si="33"/>
        <v>0</v>
      </c>
      <c r="AW88" s="149" t="s">
        <v>155</v>
      </c>
      <c r="AX88" s="56">
        <f t="shared" si="46"/>
        <v>0</v>
      </c>
    </row>
    <row r="89" spans="1:50" ht="15" customHeight="1" thickBot="1" x14ac:dyDescent="0.5">
      <c r="A89" s="150"/>
      <c r="B89" s="196" t="s">
        <v>328</v>
      </c>
      <c r="C89" s="197">
        <v>77</v>
      </c>
      <c r="D89" s="196" t="s">
        <v>329</v>
      </c>
      <c r="E89" s="198" t="s">
        <v>159</v>
      </c>
      <c r="F89" s="199" t="s">
        <v>154</v>
      </c>
      <c r="G89" s="156"/>
      <c r="H89" s="157">
        <f t="shared" si="34"/>
        <v>0</v>
      </c>
      <c r="I89" s="157"/>
      <c r="J89" s="200"/>
      <c r="K89" s="158">
        <f t="shared" si="29"/>
        <v>0</v>
      </c>
      <c r="L89" s="159">
        <f t="shared" si="29"/>
        <v>0</v>
      </c>
      <c r="M89" s="201"/>
      <c r="N89" s="202">
        <f t="shared" si="35"/>
        <v>0</v>
      </c>
      <c r="O89" s="202"/>
      <c r="P89" s="202">
        <f t="shared" si="36"/>
        <v>0</v>
      </c>
      <c r="Q89" s="202"/>
      <c r="R89" s="202">
        <f t="shared" si="36"/>
        <v>0</v>
      </c>
      <c r="S89" s="161"/>
      <c r="T89" s="161">
        <f t="shared" si="37"/>
        <v>0</v>
      </c>
      <c r="U89" s="161"/>
      <c r="V89" s="161">
        <f t="shared" si="37"/>
        <v>0</v>
      </c>
      <c r="W89" s="161"/>
      <c r="X89" s="161">
        <f t="shared" si="38"/>
        <v>0</v>
      </c>
      <c r="Y89" s="161"/>
      <c r="Z89" s="161">
        <f t="shared" si="38"/>
        <v>0</v>
      </c>
      <c r="AA89" s="161"/>
      <c r="AB89" s="161">
        <f t="shared" si="39"/>
        <v>0</v>
      </c>
      <c r="AC89" s="514">
        <f t="shared" si="30"/>
        <v>0</v>
      </c>
      <c r="AD89" s="515">
        <f t="shared" si="30"/>
        <v>0</v>
      </c>
      <c r="AE89" s="160"/>
      <c r="AF89" s="161">
        <f t="shared" si="40"/>
        <v>0</v>
      </c>
      <c r="AG89" s="161"/>
      <c r="AH89" s="161">
        <f t="shared" si="41"/>
        <v>0</v>
      </c>
      <c r="AI89" s="161"/>
      <c r="AJ89" s="161">
        <f t="shared" si="42"/>
        <v>0</v>
      </c>
      <c r="AK89" s="202"/>
      <c r="AL89" s="202">
        <f t="shared" si="43"/>
        <v>0</v>
      </c>
      <c r="AM89" s="202"/>
      <c r="AN89" s="202">
        <f t="shared" si="44"/>
        <v>0</v>
      </c>
      <c r="AO89" s="162">
        <f t="shared" si="31"/>
        <v>0</v>
      </c>
      <c r="AP89" s="516">
        <f t="shared" si="31"/>
        <v>0</v>
      </c>
      <c r="AQ89" s="201"/>
      <c r="AR89" s="202"/>
      <c r="AS89" s="162">
        <f t="shared" si="45"/>
        <v>0</v>
      </c>
      <c r="AT89" s="165">
        <f t="shared" si="45"/>
        <v>0</v>
      </c>
      <c r="AU89" s="166">
        <f t="shared" si="32"/>
        <v>0</v>
      </c>
      <c r="AV89" s="167">
        <f t="shared" si="33"/>
        <v>0</v>
      </c>
      <c r="AW89" s="168" t="s">
        <v>155</v>
      </c>
      <c r="AX89" s="56">
        <f t="shared" si="46"/>
        <v>0</v>
      </c>
    </row>
    <row r="90" spans="1:50" ht="15" customHeight="1" thickTop="1" x14ac:dyDescent="0.45">
      <c r="A90" s="203" t="s">
        <v>330</v>
      </c>
      <c r="B90" s="185" t="s">
        <v>331</v>
      </c>
      <c r="C90" s="105">
        <v>78</v>
      </c>
      <c r="D90" s="24" t="s">
        <v>332</v>
      </c>
      <c r="E90" s="204" t="s">
        <v>333</v>
      </c>
      <c r="F90" s="77" t="s">
        <v>203</v>
      </c>
      <c r="G90" s="78">
        <v>0.05</v>
      </c>
      <c r="H90" s="79">
        <f t="shared" si="34"/>
        <v>9.0374999999999996</v>
      </c>
      <c r="I90" s="79"/>
      <c r="J90" s="205"/>
      <c r="K90" s="80">
        <f t="shared" si="29"/>
        <v>0.05</v>
      </c>
      <c r="L90" s="81">
        <f t="shared" si="29"/>
        <v>9.0374999999999996</v>
      </c>
      <c r="M90" s="82">
        <v>0.01</v>
      </c>
      <c r="N90" s="83">
        <f t="shared" si="35"/>
        <v>0.22756153846153843</v>
      </c>
      <c r="O90" s="83">
        <v>0.01</v>
      </c>
      <c r="P90" s="83">
        <f t="shared" si="36"/>
        <v>0.22756153846153843</v>
      </c>
      <c r="Q90" s="83">
        <v>0.01</v>
      </c>
      <c r="R90" s="83">
        <f t="shared" si="36"/>
        <v>0.22756153846153843</v>
      </c>
      <c r="S90" s="170">
        <v>0.01</v>
      </c>
      <c r="T90" s="170">
        <f t="shared" si="37"/>
        <v>0.22756153846153843</v>
      </c>
      <c r="U90" s="170">
        <v>0.01</v>
      </c>
      <c r="V90" s="170">
        <f t="shared" si="37"/>
        <v>0.22756153846153843</v>
      </c>
      <c r="W90" s="170">
        <v>0.01</v>
      </c>
      <c r="X90" s="170">
        <f t="shared" si="38"/>
        <v>0.22756153846153843</v>
      </c>
      <c r="Y90" s="170">
        <v>0.01</v>
      </c>
      <c r="Z90" s="170">
        <f t="shared" si="38"/>
        <v>0.22756153846153843</v>
      </c>
      <c r="AA90" s="170"/>
      <c r="AB90" s="170">
        <f t="shared" si="39"/>
        <v>0</v>
      </c>
      <c r="AC90" s="517">
        <f t="shared" si="30"/>
        <v>7.0000000000000007E-2</v>
      </c>
      <c r="AD90" s="518">
        <f t="shared" si="30"/>
        <v>1.5929307692307688</v>
      </c>
      <c r="AE90" s="169"/>
      <c r="AF90" s="170">
        <f t="shared" si="40"/>
        <v>0</v>
      </c>
      <c r="AG90" s="170"/>
      <c r="AH90" s="170">
        <f t="shared" si="41"/>
        <v>0</v>
      </c>
      <c r="AI90" s="170"/>
      <c r="AJ90" s="170">
        <f t="shared" si="42"/>
        <v>0</v>
      </c>
      <c r="AK90" s="83"/>
      <c r="AL90" s="83">
        <f t="shared" si="43"/>
        <v>0</v>
      </c>
      <c r="AM90" s="83"/>
      <c r="AN90" s="83">
        <f t="shared" si="44"/>
        <v>0</v>
      </c>
      <c r="AO90" s="84">
        <f t="shared" si="31"/>
        <v>0</v>
      </c>
      <c r="AP90" s="504">
        <f t="shared" si="31"/>
        <v>0</v>
      </c>
      <c r="AQ90" s="82"/>
      <c r="AR90" s="83"/>
      <c r="AS90" s="84">
        <f t="shared" si="45"/>
        <v>0</v>
      </c>
      <c r="AT90" s="87">
        <f t="shared" si="45"/>
        <v>0</v>
      </c>
      <c r="AU90" s="88">
        <f t="shared" si="32"/>
        <v>0.12000000000000001</v>
      </c>
      <c r="AV90" s="89">
        <f t="shared" si="33"/>
        <v>10.630430769230768</v>
      </c>
      <c r="AW90" s="171" t="s">
        <v>155</v>
      </c>
      <c r="AX90" s="56">
        <f t="shared" si="46"/>
        <v>0</v>
      </c>
    </row>
    <row r="91" spans="1:50" ht="15" customHeight="1" x14ac:dyDescent="0.45">
      <c r="A91" s="203"/>
      <c r="B91" s="185"/>
      <c r="C91" s="105">
        <v>79</v>
      </c>
      <c r="D91" s="206" t="s">
        <v>334</v>
      </c>
      <c r="E91" s="206" t="s">
        <v>335</v>
      </c>
      <c r="F91" s="92" t="s">
        <v>203</v>
      </c>
      <c r="G91" s="93">
        <v>0.02</v>
      </c>
      <c r="H91" s="94">
        <f t="shared" si="34"/>
        <v>3.6150000000000002</v>
      </c>
      <c r="I91" s="94"/>
      <c r="J91" s="207"/>
      <c r="K91" s="95">
        <f t="shared" si="29"/>
        <v>0.02</v>
      </c>
      <c r="L91" s="96">
        <f t="shared" si="29"/>
        <v>3.6150000000000002</v>
      </c>
      <c r="M91" s="97">
        <v>0.05</v>
      </c>
      <c r="N91" s="492">
        <f t="shared" si="35"/>
        <v>1.1378076923076923</v>
      </c>
      <c r="O91" s="492">
        <v>0.01</v>
      </c>
      <c r="P91" s="492">
        <f t="shared" si="36"/>
        <v>0.22756153846153843</v>
      </c>
      <c r="Q91" s="492">
        <v>0.01</v>
      </c>
      <c r="R91" s="492">
        <f t="shared" si="36"/>
        <v>0.22756153846153843</v>
      </c>
      <c r="S91" s="112">
        <v>0.01</v>
      </c>
      <c r="T91" s="112">
        <f t="shared" si="37"/>
        <v>0.22756153846153843</v>
      </c>
      <c r="U91" s="112">
        <v>0.01</v>
      </c>
      <c r="V91" s="112">
        <f t="shared" si="37"/>
        <v>0.22756153846153843</v>
      </c>
      <c r="W91" s="112">
        <v>0.01</v>
      </c>
      <c r="X91" s="112">
        <f t="shared" si="38"/>
        <v>0.22756153846153843</v>
      </c>
      <c r="Y91" s="112">
        <v>0.01</v>
      </c>
      <c r="Z91" s="112">
        <f t="shared" si="38"/>
        <v>0.22756153846153843</v>
      </c>
      <c r="AA91" s="112">
        <v>0.01</v>
      </c>
      <c r="AB91" s="112">
        <f t="shared" si="39"/>
        <v>0.22756153846153843</v>
      </c>
      <c r="AC91" s="506">
        <f t="shared" si="30"/>
        <v>0.11999999999999998</v>
      </c>
      <c r="AD91" s="507">
        <f t="shared" si="30"/>
        <v>2.7307384615384618</v>
      </c>
      <c r="AE91" s="111">
        <v>0.05</v>
      </c>
      <c r="AF91" s="112">
        <f t="shared" si="40"/>
        <v>1.1378076923076923</v>
      </c>
      <c r="AG91" s="112">
        <v>0.02</v>
      </c>
      <c r="AH91" s="112">
        <f t="shared" si="41"/>
        <v>0.45512307692307685</v>
      </c>
      <c r="AI91" s="112">
        <v>0.02</v>
      </c>
      <c r="AJ91" s="112">
        <f t="shared" si="42"/>
        <v>0.45512307692307685</v>
      </c>
      <c r="AK91" s="492">
        <v>0.06</v>
      </c>
      <c r="AL91" s="492">
        <f t="shared" si="43"/>
        <v>1.3653692307692304</v>
      </c>
      <c r="AM91" s="492">
        <v>0.05</v>
      </c>
      <c r="AN91" s="492">
        <f t="shared" si="44"/>
        <v>1.1378076923076923</v>
      </c>
      <c r="AO91" s="99">
        <f t="shared" si="31"/>
        <v>0.19999999999999998</v>
      </c>
      <c r="AP91" s="505">
        <f t="shared" si="31"/>
        <v>4.5512307692307692</v>
      </c>
      <c r="AQ91" s="97"/>
      <c r="AR91" s="492"/>
      <c r="AS91" s="99">
        <f t="shared" si="45"/>
        <v>0</v>
      </c>
      <c r="AT91" s="102">
        <f t="shared" si="45"/>
        <v>0</v>
      </c>
      <c r="AU91" s="103">
        <f t="shared" si="32"/>
        <v>0.33999999999999997</v>
      </c>
      <c r="AV91" s="104">
        <f t="shared" si="33"/>
        <v>10.89696923076923</v>
      </c>
      <c r="AW91" s="56" t="s">
        <v>155</v>
      </c>
      <c r="AX91" s="56">
        <f t="shared" si="46"/>
        <v>0</v>
      </c>
    </row>
    <row r="92" spans="1:50" ht="15" customHeight="1" x14ac:dyDescent="0.45">
      <c r="A92" s="203"/>
      <c r="B92" s="185"/>
      <c r="C92" s="105">
        <v>80</v>
      </c>
      <c r="D92" s="206" t="s">
        <v>336</v>
      </c>
      <c r="E92" s="206" t="s">
        <v>337</v>
      </c>
      <c r="F92" s="92" t="s">
        <v>203</v>
      </c>
      <c r="G92" s="93"/>
      <c r="H92" s="94">
        <f t="shared" si="34"/>
        <v>0</v>
      </c>
      <c r="I92" s="94"/>
      <c r="J92" s="207"/>
      <c r="K92" s="95">
        <f t="shared" si="29"/>
        <v>0</v>
      </c>
      <c r="L92" s="96">
        <f t="shared" si="29"/>
        <v>0</v>
      </c>
      <c r="M92" s="97"/>
      <c r="N92" s="492">
        <f t="shared" si="35"/>
        <v>0</v>
      </c>
      <c r="O92" s="492"/>
      <c r="P92" s="492">
        <f t="shared" si="36"/>
        <v>0</v>
      </c>
      <c r="Q92" s="492"/>
      <c r="R92" s="492">
        <f t="shared" si="36"/>
        <v>0</v>
      </c>
      <c r="S92" s="112"/>
      <c r="T92" s="112">
        <f t="shared" si="37"/>
        <v>0</v>
      </c>
      <c r="U92" s="112"/>
      <c r="V92" s="112">
        <f t="shared" si="37"/>
        <v>0</v>
      </c>
      <c r="W92" s="112"/>
      <c r="X92" s="112">
        <f t="shared" si="38"/>
        <v>0</v>
      </c>
      <c r="Y92" s="112"/>
      <c r="Z92" s="112">
        <f t="shared" si="38"/>
        <v>0</v>
      </c>
      <c r="AA92" s="112">
        <v>0.15</v>
      </c>
      <c r="AB92" s="112">
        <f t="shared" si="39"/>
        <v>3.4134230769230762</v>
      </c>
      <c r="AC92" s="506">
        <f t="shared" si="30"/>
        <v>0.15</v>
      </c>
      <c r="AD92" s="507">
        <f t="shared" si="30"/>
        <v>3.4134230769230762</v>
      </c>
      <c r="AE92" s="111">
        <v>0.05</v>
      </c>
      <c r="AF92" s="112">
        <f t="shared" si="40"/>
        <v>1.1378076923076923</v>
      </c>
      <c r="AG92" s="112">
        <v>0.02</v>
      </c>
      <c r="AH92" s="112">
        <f t="shared" si="41"/>
        <v>0.45512307692307685</v>
      </c>
      <c r="AI92" s="112">
        <v>0.02</v>
      </c>
      <c r="AJ92" s="112">
        <f t="shared" si="42"/>
        <v>0.45512307692307685</v>
      </c>
      <c r="AK92" s="492">
        <v>0.04</v>
      </c>
      <c r="AL92" s="492">
        <f t="shared" si="43"/>
        <v>0.9102461538461537</v>
      </c>
      <c r="AM92" s="492">
        <v>0.06</v>
      </c>
      <c r="AN92" s="492">
        <f t="shared" si="44"/>
        <v>1.3653692307692304</v>
      </c>
      <c r="AO92" s="99">
        <f t="shared" si="31"/>
        <v>0.19</v>
      </c>
      <c r="AP92" s="505">
        <f t="shared" si="31"/>
        <v>4.323669230769231</v>
      </c>
      <c r="AQ92" s="97"/>
      <c r="AR92" s="492"/>
      <c r="AS92" s="99">
        <f t="shared" si="45"/>
        <v>0</v>
      </c>
      <c r="AT92" s="102">
        <f t="shared" si="45"/>
        <v>0</v>
      </c>
      <c r="AU92" s="103">
        <f t="shared" si="32"/>
        <v>0.33999999999999997</v>
      </c>
      <c r="AV92" s="104">
        <f t="shared" si="33"/>
        <v>7.7370923076923077</v>
      </c>
      <c r="AW92" s="56" t="s">
        <v>155</v>
      </c>
      <c r="AX92" s="56">
        <f t="shared" si="46"/>
        <v>0</v>
      </c>
    </row>
    <row r="93" spans="1:50" ht="15" customHeight="1" x14ac:dyDescent="0.45">
      <c r="A93" s="203"/>
      <c r="B93" s="185"/>
      <c r="C93" s="91">
        <v>81</v>
      </c>
      <c r="D93" s="24" t="s">
        <v>338</v>
      </c>
      <c r="E93" s="204" t="s">
        <v>339</v>
      </c>
      <c r="F93" s="208" t="s">
        <v>203</v>
      </c>
      <c r="G93" s="93">
        <v>0.01</v>
      </c>
      <c r="H93" s="94">
        <f t="shared" si="34"/>
        <v>1.8075000000000001</v>
      </c>
      <c r="I93" s="94"/>
      <c r="J93" s="207"/>
      <c r="K93" s="95">
        <f t="shared" si="29"/>
        <v>0.01</v>
      </c>
      <c r="L93" s="96">
        <f t="shared" si="29"/>
        <v>1.8075000000000001</v>
      </c>
      <c r="M93" s="97">
        <v>0.01</v>
      </c>
      <c r="N93" s="492">
        <f t="shared" si="35"/>
        <v>0.22756153846153843</v>
      </c>
      <c r="O93" s="492"/>
      <c r="P93" s="492">
        <f t="shared" si="36"/>
        <v>0</v>
      </c>
      <c r="Q93" s="492"/>
      <c r="R93" s="492">
        <f t="shared" si="36"/>
        <v>0</v>
      </c>
      <c r="S93" s="112"/>
      <c r="T93" s="112">
        <f t="shared" si="37"/>
        <v>0</v>
      </c>
      <c r="U93" s="112"/>
      <c r="V93" s="112">
        <f t="shared" si="37"/>
        <v>0</v>
      </c>
      <c r="W93" s="112"/>
      <c r="X93" s="112">
        <f t="shared" si="38"/>
        <v>0</v>
      </c>
      <c r="Y93" s="112"/>
      <c r="Z93" s="112">
        <f t="shared" si="38"/>
        <v>0</v>
      </c>
      <c r="AA93" s="112">
        <v>0.3</v>
      </c>
      <c r="AB93" s="112">
        <f t="shared" si="39"/>
        <v>6.8268461538461525</v>
      </c>
      <c r="AC93" s="506">
        <f t="shared" si="30"/>
        <v>0.31</v>
      </c>
      <c r="AD93" s="507">
        <f t="shared" si="30"/>
        <v>7.0544076923076906</v>
      </c>
      <c r="AE93" s="111"/>
      <c r="AF93" s="112">
        <f t="shared" si="40"/>
        <v>0</v>
      </c>
      <c r="AG93" s="112"/>
      <c r="AH93" s="112">
        <f t="shared" si="41"/>
        <v>0</v>
      </c>
      <c r="AI93" s="112">
        <v>0.15</v>
      </c>
      <c r="AJ93" s="112">
        <f t="shared" si="42"/>
        <v>3.4134230769230762</v>
      </c>
      <c r="AK93" s="492"/>
      <c r="AL93" s="492">
        <f t="shared" si="43"/>
        <v>0</v>
      </c>
      <c r="AM93" s="492"/>
      <c r="AN93" s="492">
        <f t="shared" si="44"/>
        <v>0</v>
      </c>
      <c r="AO93" s="99">
        <f t="shared" si="31"/>
        <v>0.15</v>
      </c>
      <c r="AP93" s="505">
        <f t="shared" si="31"/>
        <v>3.4134230769230762</v>
      </c>
      <c r="AQ93" s="97"/>
      <c r="AR93" s="492"/>
      <c r="AS93" s="99">
        <f t="shared" si="45"/>
        <v>0</v>
      </c>
      <c r="AT93" s="102">
        <f t="shared" si="45"/>
        <v>0</v>
      </c>
      <c r="AU93" s="103">
        <f t="shared" si="32"/>
        <v>0.47</v>
      </c>
      <c r="AV93" s="104">
        <f t="shared" si="33"/>
        <v>12.275330769230766</v>
      </c>
      <c r="AW93" s="56" t="s">
        <v>155</v>
      </c>
      <c r="AX93" s="56">
        <f t="shared" si="46"/>
        <v>0</v>
      </c>
    </row>
    <row r="94" spans="1:50" ht="15" customHeight="1" x14ac:dyDescent="0.45">
      <c r="A94" s="203"/>
      <c r="B94" s="185"/>
      <c r="C94" s="75">
        <v>82</v>
      </c>
      <c r="D94" s="209" t="s">
        <v>340</v>
      </c>
      <c r="E94" s="206" t="s">
        <v>341</v>
      </c>
      <c r="F94" s="92" t="s">
        <v>342</v>
      </c>
      <c r="G94" s="93"/>
      <c r="H94" s="94">
        <f t="shared" si="34"/>
        <v>0</v>
      </c>
      <c r="I94" s="94"/>
      <c r="J94" s="207"/>
      <c r="K94" s="95">
        <f t="shared" si="29"/>
        <v>0</v>
      </c>
      <c r="L94" s="96">
        <f t="shared" si="29"/>
        <v>0</v>
      </c>
      <c r="M94" s="97"/>
      <c r="N94" s="492">
        <f t="shared" si="35"/>
        <v>0</v>
      </c>
      <c r="O94" s="492"/>
      <c r="P94" s="492">
        <f t="shared" ref="P94:R109" si="47">P$12/O$12*O94</f>
        <v>0</v>
      </c>
      <c r="Q94" s="492"/>
      <c r="R94" s="492">
        <f t="shared" si="47"/>
        <v>0</v>
      </c>
      <c r="S94" s="112"/>
      <c r="T94" s="112">
        <f t="shared" ref="T94:V109" si="48">T$12/S$12*S94</f>
        <v>0</v>
      </c>
      <c r="U94" s="112"/>
      <c r="V94" s="112">
        <f t="shared" si="48"/>
        <v>0</v>
      </c>
      <c r="W94" s="112"/>
      <c r="X94" s="112">
        <f t="shared" ref="X94:Z109" si="49">X$12/W$12*W94</f>
        <v>0</v>
      </c>
      <c r="Y94" s="112">
        <v>0.06</v>
      </c>
      <c r="Z94" s="112">
        <f t="shared" si="49"/>
        <v>1.3653692307692304</v>
      </c>
      <c r="AA94" s="112"/>
      <c r="AB94" s="112">
        <f t="shared" si="39"/>
        <v>0</v>
      </c>
      <c r="AC94" s="506">
        <f t="shared" si="30"/>
        <v>0.06</v>
      </c>
      <c r="AD94" s="507">
        <f t="shared" si="30"/>
        <v>1.3653692307692304</v>
      </c>
      <c r="AE94" s="111"/>
      <c r="AF94" s="112">
        <f t="shared" si="40"/>
        <v>0</v>
      </c>
      <c r="AG94" s="112"/>
      <c r="AH94" s="112">
        <f t="shared" si="41"/>
        <v>0</v>
      </c>
      <c r="AI94" s="112"/>
      <c r="AJ94" s="112">
        <f t="shared" si="42"/>
        <v>0</v>
      </c>
      <c r="AK94" s="492"/>
      <c r="AL94" s="492">
        <f t="shared" si="43"/>
        <v>0</v>
      </c>
      <c r="AM94" s="492"/>
      <c r="AN94" s="492">
        <f t="shared" si="44"/>
        <v>0</v>
      </c>
      <c r="AO94" s="99">
        <f t="shared" si="31"/>
        <v>0</v>
      </c>
      <c r="AP94" s="505">
        <f t="shared" si="31"/>
        <v>0</v>
      </c>
      <c r="AQ94" s="97"/>
      <c r="AR94" s="492"/>
      <c r="AS94" s="99">
        <f t="shared" si="45"/>
        <v>0</v>
      </c>
      <c r="AT94" s="102">
        <f t="shared" si="45"/>
        <v>0</v>
      </c>
      <c r="AU94" s="103">
        <f t="shared" si="32"/>
        <v>0.06</v>
      </c>
      <c r="AV94" s="104">
        <f t="shared" si="33"/>
        <v>1.3653692307692304</v>
      </c>
      <c r="AW94" s="56" t="s">
        <v>155</v>
      </c>
      <c r="AX94" s="56">
        <f t="shared" si="46"/>
        <v>0</v>
      </c>
    </row>
    <row r="95" spans="1:50" ht="15" customHeight="1" x14ac:dyDescent="0.45">
      <c r="A95" s="203"/>
      <c r="B95" s="113" t="s">
        <v>343</v>
      </c>
      <c r="C95" s="91">
        <v>83</v>
      </c>
      <c r="D95" s="24" t="s">
        <v>344</v>
      </c>
      <c r="E95" s="204" t="s">
        <v>345</v>
      </c>
      <c r="F95" s="92" t="s">
        <v>165</v>
      </c>
      <c r="G95" s="93">
        <v>0.15</v>
      </c>
      <c r="H95" s="94">
        <f t="shared" si="34"/>
        <v>27.112500000000001</v>
      </c>
      <c r="I95" s="94"/>
      <c r="J95" s="207"/>
      <c r="K95" s="95">
        <f t="shared" si="29"/>
        <v>0.15</v>
      </c>
      <c r="L95" s="96">
        <f t="shared" si="29"/>
        <v>27.112500000000001</v>
      </c>
      <c r="M95" s="97">
        <v>0.12</v>
      </c>
      <c r="N95" s="492">
        <f t="shared" si="35"/>
        <v>2.7307384615384609</v>
      </c>
      <c r="O95" s="492">
        <v>0.01</v>
      </c>
      <c r="P95" s="492">
        <f t="shared" si="47"/>
        <v>0.22756153846153843</v>
      </c>
      <c r="Q95" s="492">
        <v>0.01</v>
      </c>
      <c r="R95" s="492">
        <f t="shared" si="47"/>
        <v>0.22756153846153843</v>
      </c>
      <c r="S95" s="112">
        <v>0.01</v>
      </c>
      <c r="T95" s="112">
        <f t="shared" si="48"/>
        <v>0.22756153846153843</v>
      </c>
      <c r="U95" s="112">
        <v>0.01</v>
      </c>
      <c r="V95" s="112">
        <f t="shared" si="48"/>
        <v>0.22756153846153843</v>
      </c>
      <c r="W95" s="112">
        <v>0.01</v>
      </c>
      <c r="X95" s="112">
        <f t="shared" si="49"/>
        <v>0.22756153846153843</v>
      </c>
      <c r="Y95" s="112">
        <v>0.01</v>
      </c>
      <c r="Z95" s="112">
        <f t="shared" si="49"/>
        <v>0.22756153846153843</v>
      </c>
      <c r="AA95" s="112"/>
      <c r="AB95" s="112">
        <f t="shared" si="39"/>
        <v>0</v>
      </c>
      <c r="AC95" s="506">
        <f t="shared" si="30"/>
        <v>0.18000000000000005</v>
      </c>
      <c r="AD95" s="507">
        <f t="shared" si="30"/>
        <v>4.096107692307692</v>
      </c>
      <c r="AE95" s="111"/>
      <c r="AF95" s="112">
        <f t="shared" si="40"/>
        <v>0</v>
      </c>
      <c r="AG95" s="112"/>
      <c r="AH95" s="112">
        <f t="shared" si="41"/>
        <v>0</v>
      </c>
      <c r="AI95" s="112"/>
      <c r="AJ95" s="112">
        <f t="shared" si="42"/>
        <v>0</v>
      </c>
      <c r="AK95" s="492"/>
      <c r="AL95" s="492">
        <f t="shared" si="43"/>
        <v>0</v>
      </c>
      <c r="AM95" s="492"/>
      <c r="AN95" s="492">
        <f t="shared" si="44"/>
        <v>0</v>
      </c>
      <c r="AO95" s="99">
        <f t="shared" si="31"/>
        <v>0</v>
      </c>
      <c r="AP95" s="505">
        <f t="shared" si="31"/>
        <v>0</v>
      </c>
      <c r="AQ95" s="97"/>
      <c r="AR95" s="492"/>
      <c r="AS95" s="99">
        <f t="shared" si="45"/>
        <v>0</v>
      </c>
      <c r="AT95" s="102">
        <f t="shared" si="45"/>
        <v>0</v>
      </c>
      <c r="AU95" s="103">
        <f t="shared" si="32"/>
        <v>0.33000000000000007</v>
      </c>
      <c r="AV95" s="104">
        <f t="shared" si="33"/>
        <v>31.208607692307694</v>
      </c>
      <c r="AW95" s="56" t="s">
        <v>155</v>
      </c>
      <c r="AX95" s="56">
        <f t="shared" si="46"/>
        <v>0</v>
      </c>
    </row>
    <row r="96" spans="1:50" ht="15" customHeight="1" x14ac:dyDescent="0.45">
      <c r="A96" s="203"/>
      <c r="B96" s="185"/>
      <c r="C96" s="91">
        <v>84</v>
      </c>
      <c r="D96" s="206" t="s">
        <v>346</v>
      </c>
      <c r="E96" s="206" t="s">
        <v>347</v>
      </c>
      <c r="F96" s="92" t="s">
        <v>165</v>
      </c>
      <c r="G96" s="93"/>
      <c r="H96" s="94">
        <f t="shared" si="34"/>
        <v>0</v>
      </c>
      <c r="I96" s="94"/>
      <c r="J96" s="207"/>
      <c r="K96" s="95">
        <f t="shared" si="29"/>
        <v>0</v>
      </c>
      <c r="L96" s="96">
        <f t="shared" si="29"/>
        <v>0</v>
      </c>
      <c r="M96" s="97"/>
      <c r="N96" s="492">
        <f t="shared" si="35"/>
        <v>0</v>
      </c>
      <c r="O96" s="492">
        <v>0.01</v>
      </c>
      <c r="P96" s="492">
        <f t="shared" si="47"/>
        <v>0.22756153846153843</v>
      </c>
      <c r="Q96" s="492">
        <v>0.01</v>
      </c>
      <c r="R96" s="492">
        <f t="shared" si="47"/>
        <v>0.22756153846153843</v>
      </c>
      <c r="S96" s="112">
        <v>0.01</v>
      </c>
      <c r="T96" s="112">
        <f t="shared" si="48"/>
        <v>0.22756153846153843</v>
      </c>
      <c r="U96" s="112">
        <v>0.01</v>
      </c>
      <c r="V96" s="112">
        <f t="shared" si="48"/>
        <v>0.22756153846153843</v>
      </c>
      <c r="W96" s="112">
        <v>0.01</v>
      </c>
      <c r="X96" s="112">
        <f t="shared" si="49"/>
        <v>0.22756153846153843</v>
      </c>
      <c r="Y96" s="112">
        <v>0.01</v>
      </c>
      <c r="Z96" s="112">
        <f t="shared" si="49"/>
        <v>0.22756153846153843</v>
      </c>
      <c r="AA96" s="112"/>
      <c r="AB96" s="112">
        <f t="shared" si="39"/>
        <v>0</v>
      </c>
      <c r="AC96" s="506">
        <f t="shared" si="30"/>
        <v>6.0000000000000005E-2</v>
      </c>
      <c r="AD96" s="507">
        <f t="shared" si="30"/>
        <v>1.3653692307692304</v>
      </c>
      <c r="AE96" s="111">
        <v>0.05</v>
      </c>
      <c r="AF96" s="112">
        <f t="shared" si="40"/>
        <v>1.1378076923076923</v>
      </c>
      <c r="AG96" s="112"/>
      <c r="AH96" s="112">
        <f t="shared" si="41"/>
        <v>0</v>
      </c>
      <c r="AI96" s="112"/>
      <c r="AJ96" s="112">
        <f t="shared" si="42"/>
        <v>0</v>
      </c>
      <c r="AK96" s="492"/>
      <c r="AL96" s="492">
        <f t="shared" si="43"/>
        <v>0</v>
      </c>
      <c r="AM96" s="492"/>
      <c r="AN96" s="492">
        <f t="shared" si="44"/>
        <v>0</v>
      </c>
      <c r="AO96" s="99">
        <f t="shared" si="31"/>
        <v>0.05</v>
      </c>
      <c r="AP96" s="505">
        <f t="shared" si="31"/>
        <v>1.1378076923076923</v>
      </c>
      <c r="AQ96" s="97"/>
      <c r="AR96" s="492"/>
      <c r="AS96" s="99">
        <f t="shared" si="45"/>
        <v>0</v>
      </c>
      <c r="AT96" s="102">
        <f t="shared" si="45"/>
        <v>0</v>
      </c>
      <c r="AU96" s="103">
        <f t="shared" si="32"/>
        <v>0.11000000000000001</v>
      </c>
      <c r="AV96" s="104">
        <f t="shared" si="33"/>
        <v>2.5031769230769227</v>
      </c>
      <c r="AW96" s="56" t="s">
        <v>155</v>
      </c>
      <c r="AX96" s="56">
        <f t="shared" si="46"/>
        <v>0</v>
      </c>
    </row>
    <row r="97" spans="1:50" ht="15" customHeight="1" x14ac:dyDescent="0.45">
      <c r="A97" s="203"/>
      <c r="B97" s="185"/>
      <c r="C97" s="105">
        <v>85</v>
      </c>
      <c r="D97" s="206" t="s">
        <v>348</v>
      </c>
      <c r="E97" s="206" t="s">
        <v>349</v>
      </c>
      <c r="F97" s="92"/>
      <c r="G97" s="93"/>
      <c r="H97" s="94">
        <f t="shared" si="34"/>
        <v>0</v>
      </c>
      <c r="I97" s="94"/>
      <c r="J97" s="207"/>
      <c r="K97" s="95">
        <f t="shared" si="29"/>
        <v>0</v>
      </c>
      <c r="L97" s="96">
        <f t="shared" si="29"/>
        <v>0</v>
      </c>
      <c r="M97" s="97">
        <v>0.01</v>
      </c>
      <c r="N97" s="492">
        <f t="shared" si="35"/>
        <v>0.22756153846153843</v>
      </c>
      <c r="O97" s="492">
        <v>0.01</v>
      </c>
      <c r="P97" s="492">
        <f t="shared" si="47"/>
        <v>0.22756153846153843</v>
      </c>
      <c r="Q97" s="492">
        <v>0.01</v>
      </c>
      <c r="R97" s="492">
        <f t="shared" si="47"/>
        <v>0.22756153846153843</v>
      </c>
      <c r="S97" s="112">
        <v>0.01</v>
      </c>
      <c r="T97" s="112">
        <f t="shared" si="48"/>
        <v>0.22756153846153843</v>
      </c>
      <c r="U97" s="112">
        <v>0.01</v>
      </c>
      <c r="V97" s="112">
        <f t="shared" si="48"/>
        <v>0.22756153846153843</v>
      </c>
      <c r="W97" s="112">
        <v>0.01</v>
      </c>
      <c r="X97" s="112">
        <f t="shared" si="49"/>
        <v>0.22756153846153843</v>
      </c>
      <c r="Y97" s="112">
        <v>0.01</v>
      </c>
      <c r="Z97" s="112">
        <f t="shared" si="49"/>
        <v>0.22756153846153843</v>
      </c>
      <c r="AA97" s="112"/>
      <c r="AB97" s="112">
        <f t="shared" si="39"/>
        <v>0</v>
      </c>
      <c r="AC97" s="506">
        <f t="shared" si="30"/>
        <v>7.0000000000000007E-2</v>
      </c>
      <c r="AD97" s="507">
        <f t="shared" si="30"/>
        <v>1.5929307692307688</v>
      </c>
      <c r="AE97" s="111"/>
      <c r="AF97" s="112">
        <f t="shared" si="40"/>
        <v>0</v>
      </c>
      <c r="AG97" s="112"/>
      <c r="AH97" s="112">
        <f t="shared" si="41"/>
        <v>0</v>
      </c>
      <c r="AI97" s="112"/>
      <c r="AJ97" s="112">
        <f t="shared" si="42"/>
        <v>0</v>
      </c>
      <c r="AK97" s="492"/>
      <c r="AL97" s="492">
        <f t="shared" si="43"/>
        <v>0</v>
      </c>
      <c r="AM97" s="492"/>
      <c r="AN97" s="492">
        <f t="shared" si="44"/>
        <v>0</v>
      </c>
      <c r="AO97" s="99">
        <f t="shared" si="31"/>
        <v>0</v>
      </c>
      <c r="AP97" s="505">
        <f t="shared" si="31"/>
        <v>0</v>
      </c>
      <c r="AQ97" s="97"/>
      <c r="AR97" s="492"/>
      <c r="AS97" s="99">
        <f t="shared" si="45"/>
        <v>0</v>
      </c>
      <c r="AT97" s="102">
        <f t="shared" si="45"/>
        <v>0</v>
      </c>
      <c r="AU97" s="103">
        <f t="shared" si="32"/>
        <v>7.0000000000000007E-2</v>
      </c>
      <c r="AV97" s="104">
        <f t="shared" si="33"/>
        <v>1.5929307692307688</v>
      </c>
      <c r="AW97" s="56" t="s">
        <v>155</v>
      </c>
      <c r="AX97" s="56">
        <f t="shared" si="46"/>
        <v>0</v>
      </c>
    </row>
    <row r="98" spans="1:50" ht="15" customHeight="1" x14ac:dyDescent="0.45">
      <c r="A98" s="203"/>
      <c r="B98" s="185"/>
      <c r="C98" s="105">
        <v>86</v>
      </c>
      <c r="D98" s="24" t="s">
        <v>350</v>
      </c>
      <c r="E98" s="204" t="s">
        <v>351</v>
      </c>
      <c r="F98" s="77" t="s">
        <v>165</v>
      </c>
      <c r="G98" s="93">
        <v>0.05</v>
      </c>
      <c r="H98" s="94">
        <f t="shared" si="34"/>
        <v>9.0374999999999996</v>
      </c>
      <c r="I98" s="94"/>
      <c r="J98" s="207"/>
      <c r="K98" s="95">
        <f t="shared" si="29"/>
        <v>0.05</v>
      </c>
      <c r="L98" s="96">
        <f t="shared" si="29"/>
        <v>9.0374999999999996</v>
      </c>
      <c r="M98" s="97">
        <v>0.05</v>
      </c>
      <c r="N98" s="492">
        <f t="shared" si="35"/>
        <v>1.1378076923076923</v>
      </c>
      <c r="O98" s="492"/>
      <c r="P98" s="492">
        <f t="shared" si="47"/>
        <v>0</v>
      </c>
      <c r="Q98" s="492"/>
      <c r="R98" s="492">
        <f t="shared" si="47"/>
        <v>0</v>
      </c>
      <c r="S98" s="112"/>
      <c r="T98" s="112">
        <f t="shared" si="48"/>
        <v>0</v>
      </c>
      <c r="U98" s="112"/>
      <c r="V98" s="112">
        <f t="shared" si="48"/>
        <v>0</v>
      </c>
      <c r="W98" s="112"/>
      <c r="X98" s="112">
        <f t="shared" si="49"/>
        <v>0</v>
      </c>
      <c r="Y98" s="112"/>
      <c r="Z98" s="112">
        <f t="shared" si="49"/>
        <v>0</v>
      </c>
      <c r="AA98" s="112"/>
      <c r="AB98" s="112">
        <f t="shared" si="39"/>
        <v>0</v>
      </c>
      <c r="AC98" s="506">
        <f t="shared" si="30"/>
        <v>0.05</v>
      </c>
      <c r="AD98" s="507">
        <f t="shared" si="30"/>
        <v>1.1378076923076923</v>
      </c>
      <c r="AE98" s="111"/>
      <c r="AF98" s="112">
        <f t="shared" si="40"/>
        <v>0</v>
      </c>
      <c r="AG98" s="112"/>
      <c r="AH98" s="112">
        <f t="shared" si="41"/>
        <v>0</v>
      </c>
      <c r="AI98" s="112"/>
      <c r="AJ98" s="112">
        <f t="shared" si="42"/>
        <v>0</v>
      </c>
      <c r="AK98" s="492"/>
      <c r="AL98" s="492">
        <f t="shared" si="43"/>
        <v>0</v>
      </c>
      <c r="AM98" s="492"/>
      <c r="AN98" s="492">
        <f t="shared" si="44"/>
        <v>0</v>
      </c>
      <c r="AO98" s="99">
        <f t="shared" si="31"/>
        <v>0</v>
      </c>
      <c r="AP98" s="505">
        <f t="shared" si="31"/>
        <v>0</v>
      </c>
      <c r="AQ98" s="97"/>
      <c r="AR98" s="492"/>
      <c r="AS98" s="99">
        <f t="shared" si="45"/>
        <v>0</v>
      </c>
      <c r="AT98" s="102">
        <f t="shared" si="45"/>
        <v>0</v>
      </c>
      <c r="AU98" s="103">
        <f t="shared" si="32"/>
        <v>0.1</v>
      </c>
      <c r="AV98" s="104">
        <f t="shared" si="33"/>
        <v>10.175307692307692</v>
      </c>
      <c r="AW98" s="56" t="s">
        <v>155</v>
      </c>
      <c r="AX98" s="56">
        <f t="shared" si="46"/>
        <v>0</v>
      </c>
    </row>
    <row r="99" spans="1:50" ht="15" customHeight="1" x14ac:dyDescent="0.45">
      <c r="A99" s="203"/>
      <c r="B99" s="185"/>
      <c r="C99" s="91">
        <v>87</v>
      </c>
      <c r="D99" s="206" t="s">
        <v>352</v>
      </c>
      <c r="E99" s="206" t="s">
        <v>353</v>
      </c>
      <c r="F99" s="92" t="s">
        <v>165</v>
      </c>
      <c r="G99" s="93">
        <v>0.05</v>
      </c>
      <c r="H99" s="94">
        <f t="shared" si="34"/>
        <v>9.0374999999999996</v>
      </c>
      <c r="I99" s="94"/>
      <c r="J99" s="207"/>
      <c r="K99" s="95">
        <f t="shared" si="29"/>
        <v>0.05</v>
      </c>
      <c r="L99" s="96">
        <f t="shared" si="29"/>
        <v>9.0374999999999996</v>
      </c>
      <c r="M99" s="97">
        <v>0.05</v>
      </c>
      <c r="N99" s="492">
        <f t="shared" si="35"/>
        <v>1.1378076923076923</v>
      </c>
      <c r="O99" s="492"/>
      <c r="P99" s="492">
        <f t="shared" si="47"/>
        <v>0</v>
      </c>
      <c r="Q99" s="492"/>
      <c r="R99" s="492">
        <f t="shared" si="47"/>
        <v>0</v>
      </c>
      <c r="S99" s="112"/>
      <c r="T99" s="112">
        <f t="shared" si="48"/>
        <v>0</v>
      </c>
      <c r="U99" s="112"/>
      <c r="V99" s="112">
        <f t="shared" si="48"/>
        <v>0</v>
      </c>
      <c r="W99" s="112"/>
      <c r="X99" s="112">
        <f t="shared" si="49"/>
        <v>0</v>
      </c>
      <c r="Y99" s="112"/>
      <c r="Z99" s="112">
        <f t="shared" si="49"/>
        <v>0</v>
      </c>
      <c r="AA99" s="112"/>
      <c r="AB99" s="112">
        <f t="shared" si="39"/>
        <v>0</v>
      </c>
      <c r="AC99" s="506">
        <f t="shared" si="30"/>
        <v>0.05</v>
      </c>
      <c r="AD99" s="507">
        <f t="shared" si="30"/>
        <v>1.1378076923076923</v>
      </c>
      <c r="AE99" s="111"/>
      <c r="AF99" s="112">
        <f t="shared" si="40"/>
        <v>0</v>
      </c>
      <c r="AG99" s="112"/>
      <c r="AH99" s="112">
        <f t="shared" si="41"/>
        <v>0</v>
      </c>
      <c r="AI99" s="112"/>
      <c r="AJ99" s="112">
        <f t="shared" si="42"/>
        <v>0</v>
      </c>
      <c r="AK99" s="492"/>
      <c r="AL99" s="492">
        <f t="shared" si="43"/>
        <v>0</v>
      </c>
      <c r="AM99" s="492"/>
      <c r="AN99" s="492">
        <f t="shared" si="44"/>
        <v>0</v>
      </c>
      <c r="AO99" s="99">
        <f t="shared" si="31"/>
        <v>0</v>
      </c>
      <c r="AP99" s="505">
        <f t="shared" si="31"/>
        <v>0</v>
      </c>
      <c r="AQ99" s="97"/>
      <c r="AR99" s="492"/>
      <c r="AS99" s="99">
        <f t="shared" si="45"/>
        <v>0</v>
      </c>
      <c r="AT99" s="102">
        <f t="shared" si="45"/>
        <v>0</v>
      </c>
      <c r="AU99" s="103">
        <f t="shared" si="32"/>
        <v>0.1</v>
      </c>
      <c r="AV99" s="104">
        <f t="shared" si="33"/>
        <v>10.175307692307692</v>
      </c>
      <c r="AW99" s="56" t="s">
        <v>155</v>
      </c>
      <c r="AX99" s="56">
        <f t="shared" si="46"/>
        <v>0</v>
      </c>
    </row>
    <row r="100" spans="1:50" ht="15" customHeight="1" x14ac:dyDescent="0.45">
      <c r="A100" s="203"/>
      <c r="B100" s="185"/>
      <c r="C100" s="105">
        <v>88</v>
      </c>
      <c r="D100" s="24" t="s">
        <v>354</v>
      </c>
      <c r="E100" s="204" t="s">
        <v>355</v>
      </c>
      <c r="F100" s="92" t="s">
        <v>165</v>
      </c>
      <c r="G100" s="93">
        <v>0.05</v>
      </c>
      <c r="H100" s="94">
        <f t="shared" si="34"/>
        <v>9.0374999999999996</v>
      </c>
      <c r="I100" s="94"/>
      <c r="J100" s="207"/>
      <c r="K100" s="95">
        <f t="shared" si="29"/>
        <v>0.05</v>
      </c>
      <c r="L100" s="96">
        <f t="shared" si="29"/>
        <v>9.0374999999999996</v>
      </c>
      <c r="M100" s="97">
        <v>0.04</v>
      </c>
      <c r="N100" s="492">
        <f t="shared" si="35"/>
        <v>0.9102461538461537</v>
      </c>
      <c r="O100" s="492"/>
      <c r="P100" s="492">
        <f t="shared" si="47"/>
        <v>0</v>
      </c>
      <c r="Q100" s="492"/>
      <c r="R100" s="492">
        <f t="shared" si="47"/>
        <v>0</v>
      </c>
      <c r="S100" s="112"/>
      <c r="T100" s="112">
        <f t="shared" si="48"/>
        <v>0</v>
      </c>
      <c r="U100" s="112"/>
      <c r="V100" s="112">
        <f t="shared" si="48"/>
        <v>0</v>
      </c>
      <c r="W100" s="112"/>
      <c r="X100" s="112">
        <f t="shared" si="49"/>
        <v>0</v>
      </c>
      <c r="Y100" s="112"/>
      <c r="Z100" s="112">
        <f t="shared" si="49"/>
        <v>0</v>
      </c>
      <c r="AA100" s="112"/>
      <c r="AB100" s="112">
        <f t="shared" si="39"/>
        <v>0</v>
      </c>
      <c r="AC100" s="506">
        <f t="shared" si="30"/>
        <v>0.04</v>
      </c>
      <c r="AD100" s="507">
        <f t="shared" si="30"/>
        <v>0.9102461538461537</v>
      </c>
      <c r="AE100" s="111"/>
      <c r="AF100" s="112">
        <f t="shared" si="40"/>
        <v>0</v>
      </c>
      <c r="AG100" s="112"/>
      <c r="AH100" s="112">
        <f t="shared" si="41"/>
        <v>0</v>
      </c>
      <c r="AI100" s="112"/>
      <c r="AJ100" s="112">
        <f t="shared" si="42"/>
        <v>0</v>
      </c>
      <c r="AK100" s="492"/>
      <c r="AL100" s="492">
        <f t="shared" si="43"/>
        <v>0</v>
      </c>
      <c r="AM100" s="492"/>
      <c r="AN100" s="492">
        <f t="shared" si="44"/>
        <v>0</v>
      </c>
      <c r="AO100" s="99">
        <f t="shared" si="31"/>
        <v>0</v>
      </c>
      <c r="AP100" s="505">
        <f t="shared" si="31"/>
        <v>0</v>
      </c>
      <c r="AQ100" s="97"/>
      <c r="AR100" s="492"/>
      <c r="AS100" s="99">
        <f t="shared" si="45"/>
        <v>0</v>
      </c>
      <c r="AT100" s="102">
        <f t="shared" si="45"/>
        <v>0</v>
      </c>
      <c r="AU100" s="103">
        <f t="shared" si="32"/>
        <v>0.09</v>
      </c>
      <c r="AV100" s="104">
        <f t="shared" si="33"/>
        <v>9.947746153846154</v>
      </c>
      <c r="AW100" s="56" t="s">
        <v>155</v>
      </c>
      <c r="AX100" s="56">
        <f t="shared" si="46"/>
        <v>0</v>
      </c>
    </row>
    <row r="101" spans="1:50" ht="15" customHeight="1" x14ac:dyDescent="0.45">
      <c r="A101" s="203"/>
      <c r="B101" s="185"/>
      <c r="C101" s="75">
        <v>89</v>
      </c>
      <c r="D101" s="206" t="s">
        <v>356</v>
      </c>
      <c r="E101" s="206" t="s">
        <v>357</v>
      </c>
      <c r="F101" s="92" t="s">
        <v>165</v>
      </c>
      <c r="G101" s="93"/>
      <c r="H101" s="94">
        <f t="shared" si="34"/>
        <v>0</v>
      </c>
      <c r="I101" s="94"/>
      <c r="J101" s="207"/>
      <c r="K101" s="95">
        <f t="shared" si="29"/>
        <v>0</v>
      </c>
      <c r="L101" s="96">
        <f t="shared" si="29"/>
        <v>0</v>
      </c>
      <c r="M101" s="97"/>
      <c r="N101" s="492">
        <f t="shared" si="35"/>
        <v>0</v>
      </c>
      <c r="O101" s="492"/>
      <c r="P101" s="492">
        <f t="shared" si="47"/>
        <v>0</v>
      </c>
      <c r="Q101" s="492"/>
      <c r="R101" s="492">
        <f t="shared" si="47"/>
        <v>0</v>
      </c>
      <c r="S101" s="112"/>
      <c r="T101" s="112">
        <f t="shared" si="48"/>
        <v>0</v>
      </c>
      <c r="U101" s="112"/>
      <c r="V101" s="112">
        <f t="shared" si="48"/>
        <v>0</v>
      </c>
      <c r="W101" s="112"/>
      <c r="X101" s="112">
        <f t="shared" si="49"/>
        <v>0</v>
      </c>
      <c r="Y101" s="112">
        <v>0.1</v>
      </c>
      <c r="Z101" s="112">
        <f t="shared" si="49"/>
        <v>2.2756153846153846</v>
      </c>
      <c r="AA101" s="112"/>
      <c r="AB101" s="112">
        <f t="shared" si="39"/>
        <v>0</v>
      </c>
      <c r="AC101" s="506">
        <f t="shared" si="30"/>
        <v>0.1</v>
      </c>
      <c r="AD101" s="507">
        <f t="shared" si="30"/>
        <v>2.2756153846153846</v>
      </c>
      <c r="AE101" s="111"/>
      <c r="AF101" s="112">
        <f t="shared" si="40"/>
        <v>0</v>
      </c>
      <c r="AG101" s="112"/>
      <c r="AH101" s="112">
        <f t="shared" si="41"/>
        <v>0</v>
      </c>
      <c r="AI101" s="112"/>
      <c r="AJ101" s="112">
        <f t="shared" si="42"/>
        <v>0</v>
      </c>
      <c r="AK101" s="492"/>
      <c r="AL101" s="492">
        <f t="shared" si="43"/>
        <v>0</v>
      </c>
      <c r="AM101" s="492"/>
      <c r="AN101" s="492">
        <f t="shared" si="44"/>
        <v>0</v>
      </c>
      <c r="AO101" s="99">
        <f t="shared" si="31"/>
        <v>0</v>
      </c>
      <c r="AP101" s="505">
        <f t="shared" si="31"/>
        <v>0</v>
      </c>
      <c r="AQ101" s="97"/>
      <c r="AR101" s="492"/>
      <c r="AS101" s="99">
        <f t="shared" si="45"/>
        <v>0</v>
      </c>
      <c r="AT101" s="102">
        <f t="shared" si="45"/>
        <v>0</v>
      </c>
      <c r="AU101" s="103">
        <f t="shared" si="32"/>
        <v>0.1</v>
      </c>
      <c r="AV101" s="104">
        <f t="shared" si="33"/>
        <v>2.2756153846153846</v>
      </c>
      <c r="AW101" s="56" t="s">
        <v>155</v>
      </c>
      <c r="AX101" s="56">
        <f t="shared" si="46"/>
        <v>0</v>
      </c>
    </row>
    <row r="102" spans="1:50" ht="15" customHeight="1" x14ac:dyDescent="0.45">
      <c r="A102" s="203"/>
      <c r="B102" s="113" t="s">
        <v>358</v>
      </c>
      <c r="C102" s="91">
        <v>90</v>
      </c>
      <c r="D102" s="206" t="s">
        <v>359</v>
      </c>
      <c r="E102" s="206" t="s">
        <v>360</v>
      </c>
      <c r="F102" s="92" t="s">
        <v>154</v>
      </c>
      <c r="G102" s="93">
        <v>0.02</v>
      </c>
      <c r="H102" s="94">
        <f t="shared" si="34"/>
        <v>3.6150000000000002</v>
      </c>
      <c r="I102" s="94"/>
      <c r="J102" s="207"/>
      <c r="K102" s="95">
        <f t="shared" si="29"/>
        <v>0.02</v>
      </c>
      <c r="L102" s="96">
        <f t="shared" si="29"/>
        <v>3.6150000000000002</v>
      </c>
      <c r="M102" s="97">
        <v>0.01</v>
      </c>
      <c r="N102" s="492">
        <f t="shared" si="35"/>
        <v>0.22756153846153843</v>
      </c>
      <c r="O102" s="492"/>
      <c r="P102" s="492">
        <f t="shared" si="47"/>
        <v>0</v>
      </c>
      <c r="Q102" s="492"/>
      <c r="R102" s="492">
        <f t="shared" si="47"/>
        <v>0</v>
      </c>
      <c r="S102" s="112"/>
      <c r="T102" s="112">
        <f t="shared" si="48"/>
        <v>0</v>
      </c>
      <c r="U102" s="112"/>
      <c r="V102" s="112">
        <f t="shared" si="48"/>
        <v>0</v>
      </c>
      <c r="W102" s="112"/>
      <c r="X102" s="112">
        <f t="shared" si="49"/>
        <v>0</v>
      </c>
      <c r="Y102" s="112"/>
      <c r="Z102" s="112">
        <f t="shared" si="49"/>
        <v>0</v>
      </c>
      <c r="AA102" s="112"/>
      <c r="AB102" s="112">
        <f t="shared" si="39"/>
        <v>0</v>
      </c>
      <c r="AC102" s="506">
        <f t="shared" si="30"/>
        <v>0.01</v>
      </c>
      <c r="AD102" s="507">
        <f t="shared" si="30"/>
        <v>0.22756153846153843</v>
      </c>
      <c r="AE102" s="111"/>
      <c r="AF102" s="112">
        <f t="shared" si="40"/>
        <v>0</v>
      </c>
      <c r="AG102" s="112"/>
      <c r="AH102" s="112">
        <f t="shared" si="41"/>
        <v>0</v>
      </c>
      <c r="AI102" s="112"/>
      <c r="AJ102" s="112">
        <f t="shared" si="42"/>
        <v>0</v>
      </c>
      <c r="AK102" s="492"/>
      <c r="AL102" s="492">
        <f t="shared" si="43"/>
        <v>0</v>
      </c>
      <c r="AM102" s="492"/>
      <c r="AN102" s="492">
        <f t="shared" si="44"/>
        <v>0</v>
      </c>
      <c r="AO102" s="99">
        <f t="shared" si="31"/>
        <v>0</v>
      </c>
      <c r="AP102" s="505">
        <f t="shared" si="31"/>
        <v>0</v>
      </c>
      <c r="AQ102" s="97"/>
      <c r="AR102" s="492"/>
      <c r="AS102" s="99">
        <f t="shared" si="45"/>
        <v>0</v>
      </c>
      <c r="AT102" s="102">
        <f t="shared" si="45"/>
        <v>0</v>
      </c>
      <c r="AU102" s="103">
        <f t="shared" si="32"/>
        <v>0.03</v>
      </c>
      <c r="AV102" s="104">
        <f t="shared" si="33"/>
        <v>3.8425615384615388</v>
      </c>
      <c r="AW102" s="56" t="s">
        <v>155</v>
      </c>
      <c r="AX102" s="56">
        <f t="shared" si="46"/>
        <v>0</v>
      </c>
    </row>
    <row r="103" spans="1:50" ht="15" customHeight="1" x14ac:dyDescent="0.45">
      <c r="A103" s="203"/>
      <c r="B103" s="185"/>
      <c r="C103" s="105">
        <v>91</v>
      </c>
      <c r="D103" s="24" t="s">
        <v>361</v>
      </c>
      <c r="E103" s="206" t="s">
        <v>362</v>
      </c>
      <c r="F103" s="92" t="s">
        <v>154</v>
      </c>
      <c r="G103" s="93">
        <v>0.01</v>
      </c>
      <c r="H103" s="94">
        <f t="shared" si="34"/>
        <v>1.8075000000000001</v>
      </c>
      <c r="I103" s="94"/>
      <c r="J103" s="207"/>
      <c r="K103" s="95">
        <f t="shared" si="29"/>
        <v>0.01</v>
      </c>
      <c r="L103" s="96">
        <f t="shared" si="29"/>
        <v>1.8075000000000001</v>
      </c>
      <c r="M103" s="97">
        <v>0.01</v>
      </c>
      <c r="N103" s="492">
        <f t="shared" si="35"/>
        <v>0.22756153846153843</v>
      </c>
      <c r="O103" s="492"/>
      <c r="P103" s="492">
        <f t="shared" si="47"/>
        <v>0</v>
      </c>
      <c r="Q103" s="492"/>
      <c r="R103" s="492">
        <f t="shared" si="47"/>
        <v>0</v>
      </c>
      <c r="S103" s="112"/>
      <c r="T103" s="112">
        <f t="shared" si="48"/>
        <v>0</v>
      </c>
      <c r="U103" s="112"/>
      <c r="V103" s="112">
        <f t="shared" si="48"/>
        <v>0</v>
      </c>
      <c r="W103" s="112"/>
      <c r="X103" s="112">
        <f t="shared" si="49"/>
        <v>0</v>
      </c>
      <c r="Y103" s="112"/>
      <c r="Z103" s="112">
        <f t="shared" si="49"/>
        <v>0</v>
      </c>
      <c r="AA103" s="112"/>
      <c r="AB103" s="112">
        <f t="shared" si="39"/>
        <v>0</v>
      </c>
      <c r="AC103" s="506">
        <f t="shared" si="30"/>
        <v>0.01</v>
      </c>
      <c r="AD103" s="507">
        <f t="shared" si="30"/>
        <v>0.22756153846153843</v>
      </c>
      <c r="AE103" s="111"/>
      <c r="AF103" s="112">
        <f t="shared" si="40"/>
        <v>0</v>
      </c>
      <c r="AG103" s="112"/>
      <c r="AH103" s="112">
        <f t="shared" si="41"/>
        <v>0</v>
      </c>
      <c r="AI103" s="112"/>
      <c r="AJ103" s="112">
        <f t="shared" si="42"/>
        <v>0</v>
      </c>
      <c r="AK103" s="492"/>
      <c r="AL103" s="492">
        <f t="shared" si="43"/>
        <v>0</v>
      </c>
      <c r="AM103" s="492"/>
      <c r="AN103" s="492">
        <f t="shared" si="44"/>
        <v>0</v>
      </c>
      <c r="AO103" s="99">
        <f t="shared" si="31"/>
        <v>0</v>
      </c>
      <c r="AP103" s="505">
        <f t="shared" si="31"/>
        <v>0</v>
      </c>
      <c r="AQ103" s="97"/>
      <c r="AR103" s="492"/>
      <c r="AS103" s="99">
        <f t="shared" si="45"/>
        <v>0</v>
      </c>
      <c r="AT103" s="102">
        <f t="shared" si="45"/>
        <v>0</v>
      </c>
      <c r="AU103" s="103">
        <f t="shared" si="32"/>
        <v>0.02</v>
      </c>
      <c r="AV103" s="104">
        <f t="shared" si="33"/>
        <v>2.0350615384615387</v>
      </c>
      <c r="AW103" s="56" t="s">
        <v>155</v>
      </c>
      <c r="AX103" s="56">
        <f t="shared" si="46"/>
        <v>0</v>
      </c>
    </row>
    <row r="104" spans="1:50" ht="15" customHeight="1" x14ac:dyDescent="0.45">
      <c r="A104" s="203"/>
      <c r="B104" s="185"/>
      <c r="C104" s="105">
        <v>92</v>
      </c>
      <c r="D104" s="206" t="s">
        <v>363</v>
      </c>
      <c r="E104" s="76" t="s">
        <v>364</v>
      </c>
      <c r="F104" s="92" t="s">
        <v>154</v>
      </c>
      <c r="G104" s="93">
        <v>0.01</v>
      </c>
      <c r="H104" s="94">
        <f t="shared" si="34"/>
        <v>1.8075000000000001</v>
      </c>
      <c r="I104" s="94"/>
      <c r="J104" s="207"/>
      <c r="K104" s="95">
        <f t="shared" si="29"/>
        <v>0.01</v>
      </c>
      <c r="L104" s="96">
        <f t="shared" si="29"/>
        <v>1.8075000000000001</v>
      </c>
      <c r="M104" s="97">
        <v>0.01</v>
      </c>
      <c r="N104" s="492">
        <f t="shared" si="35"/>
        <v>0.22756153846153843</v>
      </c>
      <c r="O104" s="492"/>
      <c r="P104" s="492">
        <f t="shared" si="47"/>
        <v>0</v>
      </c>
      <c r="Q104" s="492"/>
      <c r="R104" s="492">
        <f t="shared" si="47"/>
        <v>0</v>
      </c>
      <c r="S104" s="112"/>
      <c r="T104" s="112">
        <f t="shared" si="48"/>
        <v>0</v>
      </c>
      <c r="U104" s="112"/>
      <c r="V104" s="112">
        <f t="shared" si="48"/>
        <v>0</v>
      </c>
      <c r="W104" s="112"/>
      <c r="X104" s="112">
        <f t="shared" si="49"/>
        <v>0</v>
      </c>
      <c r="Y104" s="112"/>
      <c r="Z104" s="112">
        <f t="shared" si="49"/>
        <v>0</v>
      </c>
      <c r="AA104" s="112"/>
      <c r="AB104" s="112">
        <f t="shared" si="39"/>
        <v>0</v>
      </c>
      <c r="AC104" s="506">
        <f t="shared" si="30"/>
        <v>0.01</v>
      </c>
      <c r="AD104" s="507">
        <f t="shared" si="30"/>
        <v>0.22756153846153843</v>
      </c>
      <c r="AE104" s="111"/>
      <c r="AF104" s="112">
        <f t="shared" si="40"/>
        <v>0</v>
      </c>
      <c r="AG104" s="112"/>
      <c r="AH104" s="112">
        <f t="shared" si="41"/>
        <v>0</v>
      </c>
      <c r="AI104" s="112"/>
      <c r="AJ104" s="112">
        <f t="shared" si="42"/>
        <v>0</v>
      </c>
      <c r="AK104" s="492"/>
      <c r="AL104" s="492">
        <f t="shared" si="43"/>
        <v>0</v>
      </c>
      <c r="AM104" s="492"/>
      <c r="AN104" s="492">
        <f t="shared" si="44"/>
        <v>0</v>
      </c>
      <c r="AO104" s="99">
        <f t="shared" si="31"/>
        <v>0</v>
      </c>
      <c r="AP104" s="505">
        <f t="shared" si="31"/>
        <v>0</v>
      </c>
      <c r="AQ104" s="97"/>
      <c r="AR104" s="492"/>
      <c r="AS104" s="99">
        <f t="shared" si="45"/>
        <v>0</v>
      </c>
      <c r="AT104" s="102">
        <f t="shared" si="45"/>
        <v>0</v>
      </c>
      <c r="AU104" s="103">
        <f t="shared" si="32"/>
        <v>0.02</v>
      </c>
      <c r="AV104" s="104">
        <f t="shared" si="33"/>
        <v>2.0350615384615387</v>
      </c>
      <c r="AW104" s="56" t="s">
        <v>155</v>
      </c>
      <c r="AX104" s="56">
        <f t="shared" si="46"/>
        <v>0</v>
      </c>
    </row>
    <row r="105" spans="1:50" ht="15" customHeight="1" x14ac:dyDescent="0.45">
      <c r="A105" s="203"/>
      <c r="B105" s="185"/>
      <c r="C105" s="91">
        <v>93</v>
      </c>
      <c r="D105" s="211" t="s">
        <v>365</v>
      </c>
      <c r="E105" s="204" t="s">
        <v>366</v>
      </c>
      <c r="F105" s="92" t="s">
        <v>154</v>
      </c>
      <c r="G105" s="93">
        <v>0.01</v>
      </c>
      <c r="H105" s="94">
        <f t="shared" si="34"/>
        <v>1.8075000000000001</v>
      </c>
      <c r="I105" s="94"/>
      <c r="J105" s="207"/>
      <c r="K105" s="95">
        <f t="shared" si="29"/>
        <v>0.01</v>
      </c>
      <c r="L105" s="96">
        <f t="shared" si="29"/>
        <v>1.8075000000000001</v>
      </c>
      <c r="M105" s="97">
        <v>0.01</v>
      </c>
      <c r="N105" s="492">
        <f t="shared" si="35"/>
        <v>0.22756153846153843</v>
      </c>
      <c r="O105" s="492"/>
      <c r="P105" s="492">
        <f t="shared" si="47"/>
        <v>0</v>
      </c>
      <c r="Q105" s="492"/>
      <c r="R105" s="492">
        <f t="shared" si="47"/>
        <v>0</v>
      </c>
      <c r="S105" s="112"/>
      <c r="T105" s="112">
        <f t="shared" si="48"/>
        <v>0</v>
      </c>
      <c r="U105" s="112"/>
      <c r="V105" s="112">
        <f t="shared" si="48"/>
        <v>0</v>
      </c>
      <c r="W105" s="112"/>
      <c r="X105" s="112">
        <f t="shared" si="49"/>
        <v>0</v>
      </c>
      <c r="Y105" s="112"/>
      <c r="Z105" s="112">
        <f t="shared" si="49"/>
        <v>0</v>
      </c>
      <c r="AA105" s="112"/>
      <c r="AB105" s="112">
        <f t="shared" si="39"/>
        <v>0</v>
      </c>
      <c r="AC105" s="506">
        <f t="shared" si="30"/>
        <v>0.01</v>
      </c>
      <c r="AD105" s="507">
        <f t="shared" si="30"/>
        <v>0.22756153846153843</v>
      </c>
      <c r="AE105" s="111"/>
      <c r="AF105" s="112">
        <f t="shared" si="40"/>
        <v>0</v>
      </c>
      <c r="AG105" s="112"/>
      <c r="AH105" s="112">
        <f t="shared" si="41"/>
        <v>0</v>
      </c>
      <c r="AI105" s="112"/>
      <c r="AJ105" s="112">
        <f t="shared" si="42"/>
        <v>0</v>
      </c>
      <c r="AK105" s="492"/>
      <c r="AL105" s="492">
        <f t="shared" si="43"/>
        <v>0</v>
      </c>
      <c r="AM105" s="492"/>
      <c r="AN105" s="492">
        <f t="shared" si="44"/>
        <v>0</v>
      </c>
      <c r="AO105" s="99">
        <f t="shared" si="31"/>
        <v>0</v>
      </c>
      <c r="AP105" s="505">
        <f t="shared" si="31"/>
        <v>0</v>
      </c>
      <c r="AQ105" s="97"/>
      <c r="AR105" s="492"/>
      <c r="AS105" s="99">
        <f t="shared" si="45"/>
        <v>0</v>
      </c>
      <c r="AT105" s="102">
        <f t="shared" si="45"/>
        <v>0</v>
      </c>
      <c r="AU105" s="103">
        <f t="shared" si="32"/>
        <v>0.02</v>
      </c>
      <c r="AV105" s="104">
        <f t="shared" si="33"/>
        <v>2.0350615384615387</v>
      </c>
      <c r="AW105" s="56" t="s">
        <v>155</v>
      </c>
      <c r="AX105" s="56">
        <f t="shared" si="46"/>
        <v>0</v>
      </c>
    </row>
    <row r="106" spans="1:50" ht="15" customHeight="1" x14ac:dyDescent="0.45">
      <c r="A106" s="203"/>
      <c r="B106" s="185"/>
      <c r="C106" s="105">
        <v>94</v>
      </c>
      <c r="D106" s="24" t="s">
        <v>367</v>
      </c>
      <c r="E106" s="206" t="s">
        <v>368</v>
      </c>
      <c r="F106" s="92" t="s">
        <v>154</v>
      </c>
      <c r="G106" s="93">
        <v>0.01</v>
      </c>
      <c r="H106" s="94">
        <f t="shared" si="34"/>
        <v>1.8075000000000001</v>
      </c>
      <c r="I106" s="94"/>
      <c r="J106" s="207"/>
      <c r="K106" s="95">
        <f t="shared" si="29"/>
        <v>0.01</v>
      </c>
      <c r="L106" s="96">
        <f t="shared" si="29"/>
        <v>1.8075000000000001</v>
      </c>
      <c r="M106" s="97">
        <v>0.01</v>
      </c>
      <c r="N106" s="492">
        <f t="shared" si="35"/>
        <v>0.22756153846153843</v>
      </c>
      <c r="O106" s="492"/>
      <c r="P106" s="492">
        <f t="shared" si="47"/>
        <v>0</v>
      </c>
      <c r="Q106" s="492"/>
      <c r="R106" s="492">
        <f t="shared" si="47"/>
        <v>0</v>
      </c>
      <c r="S106" s="112"/>
      <c r="T106" s="112">
        <f t="shared" si="48"/>
        <v>0</v>
      </c>
      <c r="U106" s="112"/>
      <c r="V106" s="112">
        <f t="shared" si="48"/>
        <v>0</v>
      </c>
      <c r="W106" s="112"/>
      <c r="X106" s="112">
        <f t="shared" si="49"/>
        <v>0</v>
      </c>
      <c r="Y106" s="112"/>
      <c r="Z106" s="112">
        <f t="shared" si="49"/>
        <v>0</v>
      </c>
      <c r="AA106" s="112"/>
      <c r="AB106" s="112">
        <f t="shared" si="39"/>
        <v>0</v>
      </c>
      <c r="AC106" s="506">
        <f t="shared" si="30"/>
        <v>0.01</v>
      </c>
      <c r="AD106" s="507">
        <f t="shared" si="30"/>
        <v>0.22756153846153843</v>
      </c>
      <c r="AE106" s="111"/>
      <c r="AF106" s="112">
        <f t="shared" si="40"/>
        <v>0</v>
      </c>
      <c r="AG106" s="112"/>
      <c r="AH106" s="112">
        <f t="shared" si="41"/>
        <v>0</v>
      </c>
      <c r="AI106" s="112"/>
      <c r="AJ106" s="112">
        <f t="shared" si="42"/>
        <v>0</v>
      </c>
      <c r="AK106" s="492"/>
      <c r="AL106" s="492">
        <f t="shared" si="43"/>
        <v>0</v>
      </c>
      <c r="AM106" s="492"/>
      <c r="AN106" s="492">
        <f t="shared" si="44"/>
        <v>0</v>
      </c>
      <c r="AO106" s="99">
        <f t="shared" si="31"/>
        <v>0</v>
      </c>
      <c r="AP106" s="505">
        <f t="shared" si="31"/>
        <v>0</v>
      </c>
      <c r="AQ106" s="97"/>
      <c r="AR106" s="492"/>
      <c r="AS106" s="99">
        <f t="shared" si="45"/>
        <v>0</v>
      </c>
      <c r="AT106" s="102">
        <f t="shared" si="45"/>
        <v>0</v>
      </c>
      <c r="AU106" s="103">
        <f t="shared" si="32"/>
        <v>0.02</v>
      </c>
      <c r="AV106" s="104">
        <f t="shared" si="33"/>
        <v>2.0350615384615387</v>
      </c>
      <c r="AW106" s="56" t="s">
        <v>155</v>
      </c>
      <c r="AX106" s="56">
        <f t="shared" si="46"/>
        <v>0</v>
      </c>
    </row>
    <row r="107" spans="1:50" ht="15" customHeight="1" x14ac:dyDescent="0.45">
      <c r="A107" s="203"/>
      <c r="B107" s="185"/>
      <c r="C107" s="105">
        <v>95</v>
      </c>
      <c r="D107" s="206" t="s">
        <v>369</v>
      </c>
      <c r="E107" s="204" t="s">
        <v>370</v>
      </c>
      <c r="F107" s="92" t="s">
        <v>154</v>
      </c>
      <c r="G107" s="93">
        <v>0.01</v>
      </c>
      <c r="H107" s="94">
        <f t="shared" si="34"/>
        <v>1.8075000000000001</v>
      </c>
      <c r="I107" s="94"/>
      <c r="J107" s="207"/>
      <c r="K107" s="95">
        <f t="shared" si="29"/>
        <v>0.01</v>
      </c>
      <c r="L107" s="96">
        <f t="shared" si="29"/>
        <v>1.8075000000000001</v>
      </c>
      <c r="M107" s="97"/>
      <c r="N107" s="492">
        <f t="shared" si="35"/>
        <v>0</v>
      </c>
      <c r="O107" s="492">
        <v>0.01</v>
      </c>
      <c r="P107" s="492">
        <f t="shared" si="47"/>
        <v>0.22756153846153843</v>
      </c>
      <c r="Q107" s="492">
        <v>0.01</v>
      </c>
      <c r="R107" s="492">
        <f t="shared" si="47"/>
        <v>0.22756153846153843</v>
      </c>
      <c r="S107" s="112">
        <v>0.01</v>
      </c>
      <c r="T107" s="112">
        <f t="shared" si="48"/>
        <v>0.22756153846153843</v>
      </c>
      <c r="U107" s="112">
        <v>0.01</v>
      </c>
      <c r="V107" s="112">
        <f t="shared" si="48"/>
        <v>0.22756153846153843</v>
      </c>
      <c r="W107" s="112">
        <v>0.01</v>
      </c>
      <c r="X107" s="112">
        <f t="shared" si="49"/>
        <v>0.22756153846153843</v>
      </c>
      <c r="Y107" s="112">
        <v>0.01</v>
      </c>
      <c r="Z107" s="112">
        <f t="shared" si="49"/>
        <v>0.22756153846153843</v>
      </c>
      <c r="AA107" s="112"/>
      <c r="AB107" s="112">
        <f t="shared" si="39"/>
        <v>0</v>
      </c>
      <c r="AC107" s="506">
        <f t="shared" si="30"/>
        <v>6.0000000000000005E-2</v>
      </c>
      <c r="AD107" s="507">
        <f t="shared" si="30"/>
        <v>1.3653692307692304</v>
      </c>
      <c r="AE107" s="111"/>
      <c r="AF107" s="112">
        <f t="shared" si="40"/>
        <v>0</v>
      </c>
      <c r="AG107" s="112"/>
      <c r="AH107" s="112">
        <f t="shared" si="41"/>
        <v>0</v>
      </c>
      <c r="AI107" s="112"/>
      <c r="AJ107" s="112">
        <f t="shared" si="42"/>
        <v>0</v>
      </c>
      <c r="AK107" s="492"/>
      <c r="AL107" s="492">
        <f t="shared" si="43"/>
        <v>0</v>
      </c>
      <c r="AM107" s="492"/>
      <c r="AN107" s="492">
        <f t="shared" si="44"/>
        <v>0</v>
      </c>
      <c r="AO107" s="99">
        <f t="shared" si="31"/>
        <v>0</v>
      </c>
      <c r="AP107" s="505">
        <f t="shared" si="31"/>
        <v>0</v>
      </c>
      <c r="AQ107" s="97"/>
      <c r="AR107" s="492"/>
      <c r="AS107" s="99">
        <f t="shared" si="45"/>
        <v>0</v>
      </c>
      <c r="AT107" s="102">
        <f t="shared" si="45"/>
        <v>0</v>
      </c>
      <c r="AU107" s="103">
        <f t="shared" si="32"/>
        <v>7.0000000000000007E-2</v>
      </c>
      <c r="AV107" s="104">
        <f t="shared" si="33"/>
        <v>3.1728692307692308</v>
      </c>
      <c r="AW107" s="56" t="s">
        <v>155</v>
      </c>
      <c r="AX107" s="56">
        <f t="shared" si="46"/>
        <v>0</v>
      </c>
    </row>
    <row r="108" spans="1:50" ht="15" customHeight="1" x14ac:dyDescent="0.45">
      <c r="A108" s="203"/>
      <c r="B108" s="185"/>
      <c r="C108" s="91">
        <v>96</v>
      </c>
      <c r="D108" s="211" t="s">
        <v>371</v>
      </c>
      <c r="E108" s="206" t="s">
        <v>372</v>
      </c>
      <c r="F108" s="92" t="s">
        <v>154</v>
      </c>
      <c r="G108" s="93">
        <v>0.01</v>
      </c>
      <c r="H108" s="94">
        <f t="shared" si="34"/>
        <v>1.8075000000000001</v>
      </c>
      <c r="I108" s="94"/>
      <c r="J108" s="207"/>
      <c r="K108" s="95">
        <f t="shared" si="29"/>
        <v>0.01</v>
      </c>
      <c r="L108" s="96">
        <f t="shared" si="29"/>
        <v>1.8075000000000001</v>
      </c>
      <c r="M108" s="97">
        <v>0.01</v>
      </c>
      <c r="N108" s="492">
        <f t="shared" si="35"/>
        <v>0.22756153846153843</v>
      </c>
      <c r="O108" s="492">
        <v>0.01</v>
      </c>
      <c r="P108" s="492">
        <f t="shared" si="47"/>
        <v>0.22756153846153843</v>
      </c>
      <c r="Q108" s="492">
        <v>0.01</v>
      </c>
      <c r="R108" s="492">
        <f t="shared" si="47"/>
        <v>0.22756153846153843</v>
      </c>
      <c r="S108" s="112">
        <v>0.01</v>
      </c>
      <c r="T108" s="112">
        <f t="shared" si="48"/>
        <v>0.22756153846153843</v>
      </c>
      <c r="U108" s="112">
        <v>0.01</v>
      </c>
      <c r="V108" s="112">
        <f t="shared" si="48"/>
        <v>0.22756153846153843</v>
      </c>
      <c r="W108" s="112">
        <v>0.1</v>
      </c>
      <c r="X108" s="112">
        <f t="shared" si="49"/>
        <v>2.2756153846153846</v>
      </c>
      <c r="Y108" s="112">
        <v>0.01</v>
      </c>
      <c r="Z108" s="112">
        <f t="shared" si="49"/>
        <v>0.22756153846153843</v>
      </c>
      <c r="AA108" s="112"/>
      <c r="AB108" s="112">
        <f t="shared" si="39"/>
        <v>0</v>
      </c>
      <c r="AC108" s="506">
        <f t="shared" si="30"/>
        <v>0.16000000000000003</v>
      </c>
      <c r="AD108" s="507">
        <f t="shared" si="30"/>
        <v>3.6409846153846153</v>
      </c>
      <c r="AE108" s="111"/>
      <c r="AF108" s="112">
        <f t="shared" si="40"/>
        <v>0</v>
      </c>
      <c r="AG108" s="112"/>
      <c r="AH108" s="112">
        <f t="shared" si="41"/>
        <v>0</v>
      </c>
      <c r="AI108" s="112"/>
      <c r="AJ108" s="112">
        <f t="shared" si="42"/>
        <v>0</v>
      </c>
      <c r="AK108" s="492"/>
      <c r="AL108" s="492">
        <f t="shared" si="43"/>
        <v>0</v>
      </c>
      <c r="AM108" s="492"/>
      <c r="AN108" s="492">
        <f t="shared" si="44"/>
        <v>0</v>
      </c>
      <c r="AO108" s="99">
        <f t="shared" si="31"/>
        <v>0</v>
      </c>
      <c r="AP108" s="505">
        <f t="shared" si="31"/>
        <v>0</v>
      </c>
      <c r="AQ108" s="97"/>
      <c r="AR108" s="492"/>
      <c r="AS108" s="99">
        <f t="shared" si="45"/>
        <v>0</v>
      </c>
      <c r="AT108" s="102">
        <f t="shared" si="45"/>
        <v>0</v>
      </c>
      <c r="AU108" s="103">
        <f t="shared" si="32"/>
        <v>0.17000000000000004</v>
      </c>
      <c r="AV108" s="104">
        <f t="shared" si="33"/>
        <v>5.4484846153846149</v>
      </c>
      <c r="AW108" s="56" t="s">
        <v>155</v>
      </c>
      <c r="AX108" s="56">
        <f t="shared" si="46"/>
        <v>0</v>
      </c>
    </row>
    <row r="109" spans="1:50" ht="15" customHeight="1" x14ac:dyDescent="0.45">
      <c r="A109" s="203"/>
      <c r="B109" s="185"/>
      <c r="C109" s="105">
        <v>97</v>
      </c>
      <c r="D109" s="76" t="s">
        <v>373</v>
      </c>
      <c r="E109" s="76" t="s">
        <v>374</v>
      </c>
      <c r="F109" s="92" t="s">
        <v>154</v>
      </c>
      <c r="G109" s="93"/>
      <c r="H109" s="94">
        <f t="shared" si="34"/>
        <v>0</v>
      </c>
      <c r="I109" s="94"/>
      <c r="J109" s="207"/>
      <c r="K109" s="95">
        <f t="shared" si="29"/>
        <v>0</v>
      </c>
      <c r="L109" s="96">
        <f t="shared" si="29"/>
        <v>0</v>
      </c>
      <c r="M109" s="97"/>
      <c r="N109" s="492">
        <f t="shared" si="35"/>
        <v>0</v>
      </c>
      <c r="O109" s="492"/>
      <c r="P109" s="492">
        <f t="shared" si="47"/>
        <v>0</v>
      </c>
      <c r="Q109" s="492"/>
      <c r="R109" s="492">
        <f t="shared" si="47"/>
        <v>0</v>
      </c>
      <c r="S109" s="112">
        <v>0.01</v>
      </c>
      <c r="T109" s="112">
        <f t="shared" si="48"/>
        <v>0.22756153846153843</v>
      </c>
      <c r="U109" s="112"/>
      <c r="V109" s="112">
        <f t="shared" si="48"/>
        <v>0</v>
      </c>
      <c r="W109" s="112"/>
      <c r="X109" s="112">
        <f t="shared" si="49"/>
        <v>0</v>
      </c>
      <c r="Y109" s="112"/>
      <c r="Z109" s="112">
        <f t="shared" si="49"/>
        <v>0</v>
      </c>
      <c r="AA109" s="112">
        <v>0.05</v>
      </c>
      <c r="AB109" s="112">
        <f t="shared" si="39"/>
        <v>1.1378076923076923</v>
      </c>
      <c r="AC109" s="506">
        <f t="shared" si="30"/>
        <v>6.0000000000000005E-2</v>
      </c>
      <c r="AD109" s="507">
        <f t="shared" si="30"/>
        <v>1.3653692307692307</v>
      </c>
      <c r="AE109" s="111"/>
      <c r="AF109" s="112">
        <f t="shared" si="40"/>
        <v>0</v>
      </c>
      <c r="AG109" s="112"/>
      <c r="AH109" s="112">
        <f t="shared" si="41"/>
        <v>0</v>
      </c>
      <c r="AI109" s="112"/>
      <c r="AJ109" s="112">
        <f t="shared" si="42"/>
        <v>0</v>
      </c>
      <c r="AK109" s="492"/>
      <c r="AL109" s="492">
        <f t="shared" si="43"/>
        <v>0</v>
      </c>
      <c r="AM109" s="492"/>
      <c r="AN109" s="492">
        <f t="shared" si="44"/>
        <v>0</v>
      </c>
      <c r="AO109" s="99">
        <f t="shared" si="31"/>
        <v>0</v>
      </c>
      <c r="AP109" s="505">
        <f t="shared" si="31"/>
        <v>0</v>
      </c>
      <c r="AQ109" s="97"/>
      <c r="AR109" s="492"/>
      <c r="AS109" s="99">
        <f t="shared" si="45"/>
        <v>0</v>
      </c>
      <c r="AT109" s="102">
        <f t="shared" si="45"/>
        <v>0</v>
      </c>
      <c r="AU109" s="103">
        <f t="shared" si="32"/>
        <v>6.0000000000000005E-2</v>
      </c>
      <c r="AV109" s="104">
        <f t="shared" si="33"/>
        <v>1.3653692307692307</v>
      </c>
      <c r="AW109" s="56" t="s">
        <v>155</v>
      </c>
      <c r="AX109" s="56">
        <f t="shared" si="46"/>
        <v>0</v>
      </c>
    </row>
    <row r="110" spans="1:50" ht="15" customHeight="1" x14ac:dyDescent="0.45">
      <c r="A110" s="203"/>
      <c r="B110" s="185"/>
      <c r="C110" s="91">
        <v>98</v>
      </c>
      <c r="D110" s="76" t="s">
        <v>373</v>
      </c>
      <c r="E110" s="206" t="s">
        <v>375</v>
      </c>
      <c r="F110" s="92" t="s">
        <v>154</v>
      </c>
      <c r="G110" s="93">
        <v>0.01</v>
      </c>
      <c r="H110" s="94">
        <f t="shared" si="34"/>
        <v>1.8075000000000001</v>
      </c>
      <c r="I110" s="94"/>
      <c r="J110" s="207"/>
      <c r="K110" s="95">
        <f t="shared" si="29"/>
        <v>0.01</v>
      </c>
      <c r="L110" s="96">
        <f t="shared" si="29"/>
        <v>1.8075000000000001</v>
      </c>
      <c r="M110" s="97">
        <v>0.01</v>
      </c>
      <c r="N110" s="492">
        <f t="shared" si="35"/>
        <v>0.22756153846153843</v>
      </c>
      <c r="O110" s="492"/>
      <c r="P110" s="492">
        <f t="shared" ref="P110:R112" si="50">P$12/O$12*O110</f>
        <v>0</v>
      </c>
      <c r="Q110" s="492"/>
      <c r="R110" s="492">
        <f t="shared" si="50"/>
        <v>0</v>
      </c>
      <c r="S110" s="112">
        <v>0.01</v>
      </c>
      <c r="T110" s="112">
        <f t="shared" ref="T110:V112" si="51">T$12/S$12*S110</f>
        <v>0.22756153846153843</v>
      </c>
      <c r="U110" s="112"/>
      <c r="V110" s="112">
        <f t="shared" si="51"/>
        <v>0</v>
      </c>
      <c r="W110" s="112"/>
      <c r="X110" s="112">
        <f t="shared" ref="X110:Z112" si="52">X$12/W$12*W110</f>
        <v>0</v>
      </c>
      <c r="Y110" s="112"/>
      <c r="Z110" s="112">
        <f t="shared" si="52"/>
        <v>0</v>
      </c>
      <c r="AA110" s="112">
        <v>0.02</v>
      </c>
      <c r="AB110" s="112">
        <f t="shared" si="39"/>
        <v>0.45512307692307685</v>
      </c>
      <c r="AC110" s="506">
        <f t="shared" si="30"/>
        <v>0.04</v>
      </c>
      <c r="AD110" s="507">
        <f t="shared" si="30"/>
        <v>0.9102461538461537</v>
      </c>
      <c r="AE110" s="111"/>
      <c r="AF110" s="112">
        <f t="shared" si="40"/>
        <v>0</v>
      </c>
      <c r="AG110" s="112">
        <v>0.01</v>
      </c>
      <c r="AH110" s="112">
        <f t="shared" si="41"/>
        <v>0.22756153846153843</v>
      </c>
      <c r="AI110" s="112">
        <v>0.01</v>
      </c>
      <c r="AJ110" s="112">
        <f t="shared" si="42"/>
        <v>0.22756153846153843</v>
      </c>
      <c r="AK110" s="492">
        <v>0.01</v>
      </c>
      <c r="AL110" s="492">
        <f t="shared" si="43"/>
        <v>0.22756153846153843</v>
      </c>
      <c r="AM110" s="492">
        <v>0.01</v>
      </c>
      <c r="AN110" s="492">
        <f t="shared" si="44"/>
        <v>0.22756153846153843</v>
      </c>
      <c r="AO110" s="99">
        <f t="shared" si="31"/>
        <v>0.04</v>
      </c>
      <c r="AP110" s="505">
        <f t="shared" si="31"/>
        <v>0.9102461538461537</v>
      </c>
      <c r="AQ110" s="97"/>
      <c r="AR110" s="492"/>
      <c r="AS110" s="99">
        <f t="shared" si="45"/>
        <v>0</v>
      </c>
      <c r="AT110" s="102">
        <f t="shared" si="45"/>
        <v>0</v>
      </c>
      <c r="AU110" s="103">
        <f t="shared" si="32"/>
        <v>0.09</v>
      </c>
      <c r="AV110" s="104">
        <f t="shared" si="33"/>
        <v>3.6279923076923071</v>
      </c>
      <c r="AW110" s="56" t="s">
        <v>155</v>
      </c>
      <c r="AX110" s="56">
        <f t="shared" si="46"/>
        <v>0</v>
      </c>
    </row>
    <row r="111" spans="1:50" ht="15" customHeight="1" x14ac:dyDescent="0.45">
      <c r="A111" s="203"/>
      <c r="B111" s="185"/>
      <c r="C111" s="91">
        <v>99</v>
      </c>
      <c r="D111" s="76" t="s">
        <v>376</v>
      </c>
      <c r="E111" s="204" t="s">
        <v>377</v>
      </c>
      <c r="F111" s="77" t="s">
        <v>154</v>
      </c>
      <c r="G111" s="210">
        <v>0.01</v>
      </c>
      <c r="H111" s="207">
        <f t="shared" si="34"/>
        <v>1.8075000000000001</v>
      </c>
      <c r="I111" s="207"/>
      <c r="J111" s="207"/>
      <c r="K111" s="95">
        <f t="shared" si="29"/>
        <v>0.01</v>
      </c>
      <c r="L111" s="96">
        <f t="shared" si="29"/>
        <v>1.8075000000000001</v>
      </c>
      <c r="M111" s="97">
        <v>0.01</v>
      </c>
      <c r="N111" s="492">
        <f t="shared" si="35"/>
        <v>0.22756153846153843</v>
      </c>
      <c r="O111" s="492"/>
      <c r="P111" s="492">
        <f t="shared" si="50"/>
        <v>0</v>
      </c>
      <c r="Q111" s="492"/>
      <c r="R111" s="492">
        <f t="shared" si="50"/>
        <v>0</v>
      </c>
      <c r="S111" s="112"/>
      <c r="T111" s="112">
        <f t="shared" si="51"/>
        <v>0</v>
      </c>
      <c r="U111" s="112"/>
      <c r="V111" s="112">
        <f t="shared" si="51"/>
        <v>0</v>
      </c>
      <c r="W111" s="112"/>
      <c r="X111" s="112">
        <f t="shared" si="52"/>
        <v>0</v>
      </c>
      <c r="Y111" s="112"/>
      <c r="Z111" s="112">
        <f t="shared" si="52"/>
        <v>0</v>
      </c>
      <c r="AA111" s="112"/>
      <c r="AB111" s="112">
        <f t="shared" si="39"/>
        <v>0</v>
      </c>
      <c r="AC111" s="506">
        <f t="shared" si="30"/>
        <v>0.01</v>
      </c>
      <c r="AD111" s="507">
        <f t="shared" si="30"/>
        <v>0.22756153846153843</v>
      </c>
      <c r="AE111" s="111"/>
      <c r="AF111" s="112">
        <f t="shared" si="40"/>
        <v>0</v>
      </c>
      <c r="AG111" s="112"/>
      <c r="AH111" s="112">
        <f t="shared" si="41"/>
        <v>0</v>
      </c>
      <c r="AI111" s="112"/>
      <c r="AJ111" s="112">
        <f t="shared" si="42"/>
        <v>0</v>
      </c>
      <c r="AK111" s="492"/>
      <c r="AL111" s="492">
        <f t="shared" si="43"/>
        <v>0</v>
      </c>
      <c r="AM111" s="492"/>
      <c r="AN111" s="492">
        <f t="shared" si="44"/>
        <v>0</v>
      </c>
      <c r="AO111" s="99">
        <f t="shared" si="31"/>
        <v>0</v>
      </c>
      <c r="AP111" s="505">
        <f t="shared" si="31"/>
        <v>0</v>
      </c>
      <c r="AQ111" s="97"/>
      <c r="AR111" s="492"/>
      <c r="AS111" s="99">
        <f t="shared" si="45"/>
        <v>0</v>
      </c>
      <c r="AT111" s="102">
        <f t="shared" si="45"/>
        <v>0</v>
      </c>
      <c r="AU111" s="103">
        <f t="shared" si="32"/>
        <v>0.02</v>
      </c>
      <c r="AV111" s="104">
        <f t="shared" si="33"/>
        <v>2.0350615384615387</v>
      </c>
      <c r="AW111" s="56" t="s">
        <v>155</v>
      </c>
      <c r="AX111" s="56">
        <f t="shared" si="46"/>
        <v>0</v>
      </c>
    </row>
    <row r="112" spans="1:50" ht="15" customHeight="1" thickBot="1" x14ac:dyDescent="0.5">
      <c r="A112" s="203"/>
      <c r="B112" s="185"/>
      <c r="C112" s="105">
        <v>100</v>
      </c>
      <c r="D112" s="113" t="s">
        <v>378</v>
      </c>
      <c r="E112" s="212" t="s">
        <v>379</v>
      </c>
      <c r="F112" s="208" t="s">
        <v>154</v>
      </c>
      <c r="G112" s="213">
        <v>0.01</v>
      </c>
      <c r="H112" s="214">
        <f t="shared" si="34"/>
        <v>1.8075000000000001</v>
      </c>
      <c r="I112" s="214"/>
      <c r="J112" s="214"/>
      <c r="K112" s="120">
        <f t="shared" si="29"/>
        <v>0.01</v>
      </c>
      <c r="L112" s="121">
        <f t="shared" si="29"/>
        <v>1.8075000000000001</v>
      </c>
      <c r="M112" s="215">
        <v>0.01</v>
      </c>
      <c r="N112" s="216">
        <f t="shared" si="35"/>
        <v>0.22756153846153843</v>
      </c>
      <c r="O112" s="216"/>
      <c r="P112" s="216">
        <f t="shared" si="50"/>
        <v>0</v>
      </c>
      <c r="Q112" s="216"/>
      <c r="R112" s="216">
        <f t="shared" si="50"/>
        <v>0</v>
      </c>
      <c r="S112" s="123"/>
      <c r="T112" s="123">
        <f t="shared" si="51"/>
        <v>0</v>
      </c>
      <c r="U112" s="123"/>
      <c r="V112" s="123">
        <f t="shared" si="51"/>
        <v>0</v>
      </c>
      <c r="W112" s="123"/>
      <c r="X112" s="123">
        <f t="shared" si="52"/>
        <v>0</v>
      </c>
      <c r="Y112" s="123"/>
      <c r="Z112" s="123">
        <f t="shared" si="52"/>
        <v>0</v>
      </c>
      <c r="AA112" s="123"/>
      <c r="AB112" s="123">
        <f t="shared" si="39"/>
        <v>0</v>
      </c>
      <c r="AC112" s="508">
        <f t="shared" si="30"/>
        <v>0.01</v>
      </c>
      <c r="AD112" s="509">
        <f t="shared" si="30"/>
        <v>0.22756153846153843</v>
      </c>
      <c r="AE112" s="122"/>
      <c r="AF112" s="123">
        <f t="shared" si="40"/>
        <v>0</v>
      </c>
      <c r="AG112" s="123"/>
      <c r="AH112" s="123">
        <f t="shared" si="41"/>
        <v>0</v>
      </c>
      <c r="AI112" s="123"/>
      <c r="AJ112" s="123">
        <f t="shared" si="42"/>
        <v>0</v>
      </c>
      <c r="AK112" s="216"/>
      <c r="AL112" s="216">
        <f t="shared" si="43"/>
        <v>0</v>
      </c>
      <c r="AM112" s="216"/>
      <c r="AN112" s="216">
        <f t="shared" si="44"/>
        <v>0</v>
      </c>
      <c r="AO112" s="124">
        <f t="shared" si="31"/>
        <v>0</v>
      </c>
      <c r="AP112" s="510">
        <f t="shared" si="31"/>
        <v>0</v>
      </c>
      <c r="AQ112" s="215"/>
      <c r="AR112" s="216"/>
      <c r="AS112" s="124">
        <f t="shared" si="45"/>
        <v>0</v>
      </c>
      <c r="AT112" s="127">
        <f t="shared" si="45"/>
        <v>0</v>
      </c>
      <c r="AU112" s="128">
        <f t="shared" si="32"/>
        <v>0.02</v>
      </c>
      <c r="AV112" s="129">
        <f t="shared" si="33"/>
        <v>2.0350615384615387</v>
      </c>
      <c r="AW112" s="130" t="s">
        <v>155</v>
      </c>
      <c r="AX112" s="56">
        <f t="shared" si="46"/>
        <v>0</v>
      </c>
    </row>
    <row r="113" spans="1:51" ht="15" customHeight="1" thickBot="1" x14ac:dyDescent="0.5">
      <c r="A113" s="217" t="s">
        <v>380</v>
      </c>
      <c r="B113" s="218"/>
      <c r="C113" s="219"/>
      <c r="D113" s="218"/>
      <c r="E113" s="220"/>
      <c r="F113" s="221"/>
      <c r="G113" s="222">
        <f t="shared" ref="G113:AT113" si="53">SUM(G13:G112)</f>
        <v>1.0000000000000004</v>
      </c>
      <c r="H113" s="223">
        <f t="shared" si="53"/>
        <v>180.75000000000006</v>
      </c>
      <c r="I113" s="223">
        <f t="shared" si="53"/>
        <v>0</v>
      </c>
      <c r="J113" s="223">
        <f t="shared" si="53"/>
        <v>0</v>
      </c>
      <c r="K113" s="224">
        <f t="shared" si="53"/>
        <v>1.0000000000000004</v>
      </c>
      <c r="L113" s="225">
        <f t="shared" si="53"/>
        <v>180.75000000000006</v>
      </c>
      <c r="M113" s="226">
        <f t="shared" si="53"/>
        <v>1.0000000000000004</v>
      </c>
      <c r="N113" s="227">
        <f>SUM(N13:N112)</f>
        <v>22.756153846153858</v>
      </c>
      <c r="O113" s="227">
        <f>SUM(O13:O112)</f>
        <v>1.0000000000000002</v>
      </c>
      <c r="P113" s="227">
        <f>SUM(P13:P112)</f>
        <v>22.756153846153861</v>
      </c>
      <c r="Q113" s="227">
        <f t="shared" si="53"/>
        <v>1.0000000000000002</v>
      </c>
      <c r="R113" s="227">
        <f>SUM(R13:R112)</f>
        <v>22.756153846153861</v>
      </c>
      <c r="S113" s="227">
        <f t="shared" si="53"/>
        <v>1.0000000000000002</v>
      </c>
      <c r="T113" s="227">
        <f>SUM(T13:T112)</f>
        <v>22.756153846153865</v>
      </c>
      <c r="U113" s="227">
        <f t="shared" si="53"/>
        <v>1.0000000000000002</v>
      </c>
      <c r="V113" s="227">
        <f>SUM(V13:V112)</f>
        <v>22.756153846153868</v>
      </c>
      <c r="W113" s="227">
        <f t="shared" si="53"/>
        <v>1.0000000000000002</v>
      </c>
      <c r="X113" s="227">
        <f>SUM(X13:X112)</f>
        <v>22.75615384615385</v>
      </c>
      <c r="Y113" s="227">
        <f>SUM(Y13:Y112)</f>
        <v>1.0000000000000002</v>
      </c>
      <c r="Z113" s="227">
        <f>SUM(Z13:Z112)</f>
        <v>22.75615384615385</v>
      </c>
      <c r="AA113" s="227">
        <f t="shared" si="53"/>
        <v>1.0000000000000002</v>
      </c>
      <c r="AB113" s="227">
        <f t="shared" si="53"/>
        <v>22.756153846153843</v>
      </c>
      <c r="AC113" s="228">
        <f t="shared" si="53"/>
        <v>7.999999999999992</v>
      </c>
      <c r="AD113" s="229">
        <f t="shared" si="53"/>
        <v>182.04923076923083</v>
      </c>
      <c r="AE113" s="226">
        <f t="shared" si="53"/>
        <v>1.0000000000000002</v>
      </c>
      <c r="AF113" s="227">
        <f t="shared" si="53"/>
        <v>22.756153846153847</v>
      </c>
      <c r="AG113" s="227">
        <f t="shared" si="53"/>
        <v>1.0000000000000004</v>
      </c>
      <c r="AH113" s="227">
        <f t="shared" si="53"/>
        <v>22.756153846153843</v>
      </c>
      <c r="AI113" s="227">
        <f t="shared" si="53"/>
        <v>1.0000000000000002</v>
      </c>
      <c r="AJ113" s="227">
        <f t="shared" si="53"/>
        <v>22.756153846153847</v>
      </c>
      <c r="AK113" s="227">
        <f t="shared" si="53"/>
        <v>1.0000000000000002</v>
      </c>
      <c r="AL113" s="227">
        <f t="shared" si="53"/>
        <v>22.756153846153843</v>
      </c>
      <c r="AM113" s="227">
        <f t="shared" si="53"/>
        <v>1.0000000000000002</v>
      </c>
      <c r="AN113" s="227">
        <f t="shared" si="53"/>
        <v>22.756153846153843</v>
      </c>
      <c r="AO113" s="228">
        <f>SUM(AO13:AO112)</f>
        <v>5.0000000000000009</v>
      </c>
      <c r="AP113" s="230">
        <f>SUM(AP13:AP112)</f>
        <v>113.78076923076922</v>
      </c>
      <c r="AQ113" s="226">
        <f t="shared" si="53"/>
        <v>1</v>
      </c>
      <c r="AR113" s="227">
        <f t="shared" si="53"/>
        <v>91.5</v>
      </c>
      <c r="AS113" s="228">
        <f t="shared" si="53"/>
        <v>1</v>
      </c>
      <c r="AT113" s="231">
        <f t="shared" si="53"/>
        <v>91.5</v>
      </c>
      <c r="AU113" s="232">
        <f>K113+AS113+AC113+AO113</f>
        <v>14.999999999999993</v>
      </c>
      <c r="AV113" s="233">
        <f>SUM(AV13:AV112)</f>
        <v>568.07999999999959</v>
      </c>
      <c r="AW113" s="234">
        <f>COUNTIF(AW13:AW112,"●")</f>
        <v>6</v>
      </c>
      <c r="AX113" s="658">
        <f>SUM(AX13:AX112)</f>
        <v>15.92930769230769</v>
      </c>
    </row>
    <row r="114" spans="1:51" x14ac:dyDescent="0.45">
      <c r="D114" s="236" t="s">
        <v>381</v>
      </c>
      <c r="AX114" s="659">
        <f>AX113*1000</f>
        <v>15929.30769230769</v>
      </c>
      <c r="AY114" s="237">
        <f>AX113/AV113</f>
        <v>2.8040606415131147E-2</v>
      </c>
    </row>
    <row r="115" spans="1:51" x14ac:dyDescent="0.45">
      <c r="D115" s="238" t="s">
        <v>382</v>
      </c>
    </row>
    <row r="116" spans="1:51" x14ac:dyDescent="0.45">
      <c r="D116" s="238" t="s">
        <v>383</v>
      </c>
    </row>
  </sheetData>
  <mergeCells count="52">
    <mergeCell ref="AA10:AB10"/>
    <mergeCell ref="AC10:AD10"/>
    <mergeCell ref="AS10:AT10"/>
    <mergeCell ref="AG10:AH10"/>
    <mergeCell ref="AI10:AJ10"/>
    <mergeCell ref="AK10:AL10"/>
    <mergeCell ref="AM10:AN10"/>
    <mergeCell ref="AO10:AP10"/>
    <mergeCell ref="AQ10:AR10"/>
    <mergeCell ref="AE10:AF10"/>
    <mergeCell ref="AE9:AP9"/>
    <mergeCell ref="AQ9:AT9"/>
    <mergeCell ref="AU9:AV10"/>
    <mergeCell ref="G10:H10"/>
    <mergeCell ref="I10:J10"/>
    <mergeCell ref="K10:L10"/>
    <mergeCell ref="M10:N10"/>
    <mergeCell ref="O10:P10"/>
    <mergeCell ref="Q10:R10"/>
    <mergeCell ref="S10:T10"/>
    <mergeCell ref="G9:L9"/>
    <mergeCell ref="M9:AD9"/>
    <mergeCell ref="U10:V10"/>
    <mergeCell ref="W10:X10"/>
    <mergeCell ref="Y10:Z10"/>
    <mergeCell ref="I7:L7"/>
    <mergeCell ref="M7:N7"/>
    <mergeCell ref="O7:Q7"/>
    <mergeCell ref="R7:T7"/>
    <mergeCell ref="Y7:Z7"/>
    <mergeCell ref="I5:L5"/>
    <mergeCell ref="M5:N5"/>
    <mergeCell ref="O5:Q5"/>
    <mergeCell ref="R5:T5"/>
    <mergeCell ref="I6:L6"/>
    <mergeCell ref="M6:N6"/>
    <mergeCell ref="O6:Q6"/>
    <mergeCell ref="R6:T6"/>
    <mergeCell ref="I3:L3"/>
    <mergeCell ref="M3:N3"/>
    <mergeCell ref="O3:Q3"/>
    <mergeCell ref="R3:T3"/>
    <mergeCell ref="I4:L4"/>
    <mergeCell ref="M4:N4"/>
    <mergeCell ref="O4:Q4"/>
    <mergeCell ref="R4:T4"/>
    <mergeCell ref="I1:L2"/>
    <mergeCell ref="M1:N2"/>
    <mergeCell ref="O1:T1"/>
    <mergeCell ref="AW1:AX1"/>
    <mergeCell ref="O2:Q2"/>
    <mergeCell ref="R2:T2"/>
  </mergeCells>
  <phoneticPr fontId="5"/>
  <dataValidations count="1">
    <dataValidation type="list" allowBlank="1" showInputMessage="1" showErrorMessage="1" sqref="AW13:AW112" xr:uid="{BC7EB72B-5AED-4464-BB7A-93D918E441F6}">
      <formula1>$BB$14:$BB$15</formula1>
    </dataValidation>
  </dataValidations>
  <printOptions horizontalCentered="1"/>
  <pageMargins left="0" right="0" top="0.39370078740157483" bottom="0" header="0" footer="0"/>
  <pageSetup paperSize="8" scale="44" orientation="landscape" r:id="rId1"/>
  <headerFooter>
    <oddHeader>&amp;L&amp;F&amp;”/”&amp;A</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7CFA5-7945-4937-842B-6F8E7F7729DE}">
  <sheetPr>
    <pageSetUpPr fitToPage="1"/>
  </sheetPr>
  <dimension ref="A1:BC117"/>
  <sheetViews>
    <sheetView showGridLines="0" zoomScale="80" zoomScaleNormal="80" zoomScaleSheetLayoutView="100" workbookViewId="0">
      <pane xSplit="6" ySplit="13" topLeftCell="G14" activePane="bottomRight" state="frozen"/>
      <selection pane="topRight" activeCell="M13" sqref="M13"/>
      <selection pane="bottomLeft" activeCell="M13" sqref="M13"/>
      <selection pane="bottomRight" activeCell="M11" sqref="M11:N11"/>
    </sheetView>
  </sheetViews>
  <sheetFormatPr defaultColWidth="8" defaultRowHeight="18" x14ac:dyDescent="0.45"/>
  <cols>
    <col min="1" max="1" width="7.19921875" style="29" customWidth="1"/>
    <col min="2" max="2" width="8" style="29"/>
    <col min="3" max="3" width="3.296875" style="29" customWidth="1"/>
    <col min="4" max="4" width="15.796875" style="29" customWidth="1"/>
    <col min="5" max="5" width="43.09765625" style="29" customWidth="1"/>
    <col min="6" max="6" width="12.8984375" style="29" customWidth="1"/>
    <col min="7" max="7" width="4.8984375" style="29" bestFit="1" customWidth="1"/>
    <col min="8" max="8" width="6.796875" style="29" bestFit="1" customWidth="1"/>
    <col min="9" max="9" width="4.8984375" style="29" bestFit="1" customWidth="1"/>
    <col min="10" max="10" width="6.796875" style="29" bestFit="1" customWidth="1"/>
    <col min="11" max="11" width="5.796875" style="29" bestFit="1" customWidth="1"/>
    <col min="12" max="12" width="7" style="29" customWidth="1"/>
    <col min="13" max="13" width="4.8984375" style="29" bestFit="1" customWidth="1"/>
    <col min="14" max="14" width="6.796875" style="29" bestFit="1" customWidth="1"/>
    <col min="15" max="15" width="4.8984375" style="29" bestFit="1" customWidth="1"/>
    <col min="16" max="16" width="6.796875" style="29" bestFit="1" customWidth="1"/>
    <col min="17" max="17" width="4.8984375" style="29" bestFit="1" customWidth="1"/>
    <col min="18" max="18" width="6.796875" style="29" bestFit="1" customWidth="1"/>
    <col min="19" max="19" width="4.8984375" style="29" bestFit="1" customWidth="1"/>
    <col min="20" max="20" width="5.796875" style="29" bestFit="1" customWidth="1"/>
    <col min="21" max="21" width="5.69921875" style="29" customWidth="1"/>
    <col min="22" max="22" width="6.09765625" style="29" bestFit="1" customWidth="1"/>
    <col min="23" max="23" width="11.09765625" style="29" bestFit="1" customWidth="1"/>
    <col min="24" max="24" width="5.796875" style="29" bestFit="1" customWidth="1"/>
    <col min="25" max="25" width="6.8984375" style="29" bestFit="1" customWidth="1"/>
    <col min="26" max="26" width="6.796875" style="29" bestFit="1" customWidth="1"/>
    <col min="27" max="27" width="5.8984375" style="29" customWidth="1"/>
    <col min="28" max="28" width="5.796875" style="29" bestFit="1" customWidth="1"/>
    <col min="29" max="29" width="4.8984375" style="29" bestFit="1" customWidth="1"/>
    <col min="30" max="30" width="5.796875" style="29" bestFit="1" customWidth="1"/>
    <col min="31" max="31" width="4.8984375" style="29" bestFit="1" customWidth="1"/>
    <col min="32" max="32" width="5.796875" style="29" bestFit="1" customWidth="1"/>
    <col min="33" max="33" width="4.8984375" style="29" bestFit="1" customWidth="1"/>
    <col min="34" max="34" width="6.8984375" style="29" bestFit="1" customWidth="1"/>
    <col min="35" max="35" width="4.8984375" style="29" bestFit="1" customWidth="1"/>
    <col min="36" max="36" width="5.796875" style="29" customWidth="1"/>
    <col min="37" max="37" width="4.8984375" style="29" bestFit="1" customWidth="1"/>
    <col min="38" max="38" width="5.796875" style="29" customWidth="1"/>
    <col min="39" max="39" width="4.8984375" style="29" bestFit="1" customWidth="1"/>
    <col min="40" max="40" width="6.796875" style="29" bestFit="1" customWidth="1"/>
    <col min="41" max="41" width="4.8984375" style="29" bestFit="1" customWidth="1"/>
    <col min="42" max="42" width="5.796875" style="29" bestFit="1" customWidth="1"/>
    <col min="43" max="43" width="4.8984375" style="29" bestFit="1" customWidth="1"/>
    <col min="44" max="44" width="5.796875" style="29" bestFit="1" customWidth="1"/>
    <col min="45" max="45" width="6.09765625" style="29" bestFit="1" customWidth="1"/>
    <col min="46" max="46" width="7" style="29" bestFit="1" customWidth="1"/>
    <col min="47" max="47" width="4.8984375" style="29" bestFit="1" customWidth="1"/>
    <col min="48" max="48" width="16.19921875" style="29" bestFit="1" customWidth="1"/>
    <col min="49" max="49" width="6" style="29" customWidth="1"/>
    <col min="50" max="50" width="7.796875" style="29" customWidth="1"/>
    <col min="51" max="51" width="6.296875" style="29" customWidth="1"/>
    <col min="52" max="52" width="7.19921875" style="29" customWidth="1"/>
    <col min="53" max="55" width="8" style="29"/>
    <col min="56" max="56" width="23.296875" style="29" bestFit="1" customWidth="1"/>
    <col min="57" max="16384" width="8" style="29"/>
  </cols>
  <sheetData>
    <row r="1" spans="1:50" ht="13.35" customHeight="1" x14ac:dyDescent="0.45">
      <c r="A1" s="23"/>
      <c r="B1" s="24"/>
      <c r="C1" s="25"/>
      <c r="D1" s="24"/>
      <c r="G1" s="571"/>
      <c r="H1" s="572"/>
      <c r="I1" s="572"/>
      <c r="J1" s="572"/>
      <c r="K1" s="572"/>
      <c r="L1" s="573"/>
      <c r="M1" s="577" t="s">
        <v>100</v>
      </c>
      <c r="N1" s="578"/>
      <c r="O1" s="529" t="s">
        <v>101</v>
      </c>
      <c r="P1" s="530"/>
      <c r="Q1" s="530"/>
      <c r="R1" s="530"/>
      <c r="S1" s="530"/>
      <c r="T1" s="531"/>
      <c r="U1"/>
      <c r="V1"/>
      <c r="W1"/>
      <c r="X1"/>
      <c r="Y1"/>
      <c r="Z1"/>
      <c r="AA1"/>
      <c r="AB1"/>
      <c r="AC1"/>
      <c r="AD1" s="239"/>
      <c r="AE1"/>
      <c r="AF1" s="239"/>
      <c r="AG1" s="239"/>
      <c r="AH1" s="239"/>
      <c r="AI1" s="239"/>
      <c r="AJ1" s="239"/>
      <c r="AK1" s="239"/>
      <c r="AL1" s="239"/>
      <c r="AN1" s="28"/>
      <c r="AU1" s="532">
        <v>45320</v>
      </c>
      <c r="AV1" s="532"/>
    </row>
    <row r="2" spans="1:50" ht="13.35" customHeight="1" x14ac:dyDescent="0.45">
      <c r="A2" s="23" t="s">
        <v>102</v>
      </c>
      <c r="B2" s="24"/>
      <c r="C2" s="25"/>
      <c r="D2" s="24"/>
      <c r="G2" s="574"/>
      <c r="H2" s="575"/>
      <c r="I2" s="575"/>
      <c r="J2" s="575"/>
      <c r="K2" s="575"/>
      <c r="L2" s="576"/>
      <c r="M2" s="579"/>
      <c r="N2" s="580"/>
      <c r="O2" s="581" t="s">
        <v>103</v>
      </c>
      <c r="P2" s="582"/>
      <c r="Q2" s="583"/>
      <c r="R2" s="529" t="s">
        <v>104</v>
      </c>
      <c r="S2" s="530"/>
      <c r="T2" s="531"/>
      <c r="U2"/>
      <c r="V2"/>
      <c r="W2">
        <f>W3/11</f>
        <v>30.533636363636365</v>
      </c>
      <c r="X2"/>
      <c r="Y2" s="240"/>
      <c r="Z2"/>
      <c r="AA2"/>
      <c r="AB2"/>
      <c r="AC2"/>
      <c r="AD2" s="239"/>
      <c r="AE2"/>
      <c r="AF2" s="239"/>
      <c r="AG2" s="239"/>
      <c r="AH2" s="239"/>
      <c r="AI2" s="239"/>
      <c r="AJ2" s="239"/>
      <c r="AK2" s="239"/>
      <c r="AL2" s="239"/>
      <c r="AM2" s="28"/>
      <c r="AN2" s="28"/>
      <c r="AV2" s="28" t="s">
        <v>542</v>
      </c>
    </row>
    <row r="3" spans="1:50" ht="13.35" customHeight="1" x14ac:dyDescent="0.45">
      <c r="A3" s="23"/>
      <c r="B3" s="24"/>
      <c r="C3" s="25"/>
      <c r="D3" s="24"/>
      <c r="G3" s="538" t="s">
        <v>106</v>
      </c>
      <c r="H3" s="539"/>
      <c r="I3" s="539"/>
      <c r="J3" s="539"/>
      <c r="K3" s="539"/>
      <c r="L3" s="540"/>
      <c r="M3" s="584">
        <f>K13</f>
        <v>1</v>
      </c>
      <c r="N3" s="585"/>
      <c r="O3" s="584">
        <v>180.75</v>
      </c>
      <c r="P3" s="586"/>
      <c r="Q3" s="585"/>
      <c r="R3" s="587">
        <f>M3*O3</f>
        <v>180.75</v>
      </c>
      <c r="S3" s="588"/>
      <c r="T3" s="589"/>
      <c r="U3"/>
      <c r="V3"/>
      <c r="W3" s="663">
        <v>335.87</v>
      </c>
      <c r="X3"/>
      <c r="Y3"/>
      <c r="Z3"/>
      <c r="AA3"/>
      <c r="AB3"/>
      <c r="AC3"/>
      <c r="AD3" s="239"/>
      <c r="AE3"/>
      <c r="AF3" s="239"/>
      <c r="AG3" s="239"/>
      <c r="AH3" s="239"/>
      <c r="AI3" s="239"/>
      <c r="AJ3" s="239"/>
      <c r="AK3" s="239"/>
      <c r="AL3" s="239"/>
      <c r="AM3" s="28"/>
      <c r="AN3" s="28"/>
    </row>
    <row r="4" spans="1:50" ht="13.35" customHeight="1" x14ac:dyDescent="0.45">
      <c r="A4" s="23"/>
      <c r="B4" s="24"/>
      <c r="C4" s="25"/>
      <c r="D4" s="24"/>
      <c r="G4" s="538" t="s">
        <v>107</v>
      </c>
      <c r="H4" s="539"/>
      <c r="I4" s="539"/>
      <c r="J4" s="539"/>
      <c r="K4" s="539"/>
      <c r="L4" s="540"/>
      <c r="M4" s="584">
        <f>Y13</f>
        <v>6</v>
      </c>
      <c r="N4" s="585"/>
      <c r="O4" s="584">
        <f>W2</f>
        <v>30.533636363636365</v>
      </c>
      <c r="P4" s="586"/>
      <c r="Q4" s="585"/>
      <c r="R4" s="587">
        <f>M4*O4</f>
        <v>183.2018181818182</v>
      </c>
      <c r="S4" s="588"/>
      <c r="T4" s="589"/>
      <c r="U4"/>
      <c r="V4"/>
      <c r="W4"/>
      <c r="X4"/>
      <c r="Y4"/>
      <c r="Z4"/>
      <c r="AA4"/>
      <c r="AB4"/>
      <c r="AC4"/>
      <c r="AD4" s="239"/>
      <c r="AE4"/>
      <c r="AF4" s="239"/>
      <c r="AG4" s="239"/>
      <c r="AH4" s="239"/>
      <c r="AI4" s="239"/>
      <c r="AJ4" s="239"/>
      <c r="AK4" s="239"/>
      <c r="AL4" s="239"/>
      <c r="AM4" s="28"/>
      <c r="AN4" s="28"/>
    </row>
    <row r="5" spans="1:50" ht="13.35" customHeight="1" x14ac:dyDescent="0.45">
      <c r="A5" s="590" t="s">
        <v>544</v>
      </c>
      <c r="B5" s="590"/>
      <c r="C5" s="590"/>
      <c r="D5" s="590"/>
      <c r="E5" s="590"/>
      <c r="G5" s="538" t="s">
        <v>109</v>
      </c>
      <c r="H5" s="539"/>
      <c r="I5" s="539"/>
      <c r="J5" s="539"/>
      <c r="K5" s="539"/>
      <c r="L5" s="540"/>
      <c r="M5" s="541">
        <f>AM13</f>
        <v>5</v>
      </c>
      <c r="N5" s="542"/>
      <c r="O5" s="541">
        <f>W2</f>
        <v>30.533636363636365</v>
      </c>
      <c r="P5" s="591"/>
      <c r="Q5" s="542"/>
      <c r="R5" s="587">
        <f>M5*O5</f>
        <v>152.66818181818184</v>
      </c>
      <c r="S5" s="588"/>
      <c r="T5" s="589"/>
      <c r="U5" t="s">
        <v>110</v>
      </c>
      <c r="V5"/>
      <c r="W5"/>
      <c r="X5"/>
      <c r="Y5"/>
      <c r="Z5"/>
      <c r="AA5"/>
      <c r="AB5"/>
      <c r="AC5"/>
      <c r="AD5" s="239"/>
      <c r="AE5"/>
      <c r="AF5" s="239"/>
      <c r="AG5" s="239"/>
      <c r="AH5" s="239"/>
      <c r="AI5" s="239"/>
      <c r="AJ5" s="239"/>
      <c r="AK5" s="239"/>
      <c r="AL5" s="239"/>
      <c r="AM5" s="28"/>
      <c r="AN5" s="28"/>
      <c r="AX5" s="241"/>
    </row>
    <row r="6" spans="1:50" ht="13.35" customHeight="1" x14ac:dyDescent="0.45">
      <c r="A6" s="590"/>
      <c r="B6" s="590"/>
      <c r="C6" s="590"/>
      <c r="D6" s="590"/>
      <c r="E6" s="590"/>
      <c r="G6" s="538" t="s">
        <v>545</v>
      </c>
      <c r="H6" s="539"/>
      <c r="I6" s="539"/>
      <c r="J6" s="539"/>
      <c r="K6" s="539"/>
      <c r="L6" s="540"/>
      <c r="M6" s="541">
        <v>1</v>
      </c>
      <c r="N6" s="542"/>
      <c r="O6" s="541">
        <f>R6</f>
        <v>91.5</v>
      </c>
      <c r="P6" s="591"/>
      <c r="Q6" s="542"/>
      <c r="R6" s="543">
        <v>91.5</v>
      </c>
      <c r="S6" s="544"/>
      <c r="T6" s="545"/>
      <c r="U6" t="s">
        <v>112</v>
      </c>
      <c r="V6"/>
      <c r="W6"/>
      <c r="X6"/>
      <c r="Y6"/>
      <c r="Z6"/>
      <c r="AA6"/>
      <c r="AB6"/>
      <c r="AC6">
        <v>91.5</v>
      </c>
      <c r="AD6" s="239"/>
      <c r="AE6"/>
      <c r="AF6" s="239"/>
      <c r="AG6" s="239"/>
      <c r="AH6" s="239"/>
      <c r="AI6" s="239"/>
      <c r="AJ6" s="239"/>
      <c r="AK6" s="239"/>
      <c r="AL6" s="239"/>
      <c r="AM6" s="28"/>
      <c r="AN6" s="28"/>
      <c r="AX6" s="241"/>
    </row>
    <row r="7" spans="1:50" ht="13.35" customHeight="1" x14ac:dyDescent="0.45">
      <c r="A7" s="23"/>
      <c r="B7" s="24"/>
      <c r="C7" s="25"/>
      <c r="D7" s="24"/>
      <c r="G7" s="538" t="s">
        <v>113</v>
      </c>
      <c r="H7" s="539"/>
      <c r="I7" s="539"/>
      <c r="J7" s="539"/>
      <c r="K7" s="539"/>
      <c r="L7" s="540"/>
      <c r="M7" s="543">
        <f>SUM(M3:N6)</f>
        <v>13</v>
      </c>
      <c r="N7" s="545"/>
      <c r="O7" s="543" t="s">
        <v>114</v>
      </c>
      <c r="P7" s="544"/>
      <c r="Q7" s="545"/>
      <c r="R7" s="592">
        <f>SUM(R3:T6)</f>
        <v>608.12000000000012</v>
      </c>
      <c r="S7" s="593"/>
      <c r="T7" s="594"/>
      <c r="U7" t="s">
        <v>115</v>
      </c>
      <c r="V7" s="35">
        <f>R7/12</f>
        <v>50.676666666666677</v>
      </c>
      <c r="W7" s="35" t="s">
        <v>116</v>
      </c>
      <c r="X7" t="s">
        <v>117</v>
      </c>
      <c r="Y7" s="595">
        <f>V7*1000*135</f>
        <v>6841350.0000000019</v>
      </c>
      <c r="Z7" s="595"/>
      <c r="AA7" t="s">
        <v>118</v>
      </c>
      <c r="AB7"/>
      <c r="AC7"/>
      <c r="AD7" s="239"/>
      <c r="AE7"/>
      <c r="AF7" s="239"/>
      <c r="AG7" s="239"/>
      <c r="AH7" s="239"/>
      <c r="AI7" s="239"/>
      <c r="AJ7" s="239"/>
      <c r="AK7" s="239"/>
      <c r="AL7" s="239"/>
      <c r="AM7" s="28"/>
      <c r="AN7" s="28"/>
    </row>
    <row r="8" spans="1:50" ht="13.35" customHeight="1" x14ac:dyDescent="0.15">
      <c r="A8" s="23"/>
      <c r="B8" s="24"/>
      <c r="C8" s="25"/>
      <c r="D8" s="24"/>
      <c r="G8" s="242"/>
      <c r="H8" s="242"/>
      <c r="I8" s="242"/>
      <c r="J8" s="242"/>
      <c r="K8" s="242"/>
      <c r="L8" s="242"/>
      <c r="M8" s="242"/>
      <c r="N8" s="242"/>
      <c r="O8" s="242"/>
      <c r="P8" s="242"/>
      <c r="Q8" s="242"/>
      <c r="R8" s="242"/>
      <c r="S8" s="242"/>
      <c r="T8" s="242"/>
      <c r="U8" s="242"/>
      <c r="V8" s="242"/>
      <c r="W8" s="242"/>
      <c r="X8" s="242"/>
      <c r="Y8" s="242"/>
      <c r="Z8" s="243"/>
      <c r="AA8" s="239"/>
      <c r="AB8" s="239"/>
      <c r="AC8" s="239"/>
      <c r="AD8" s="239"/>
      <c r="AE8" s="239"/>
      <c r="AF8" s="239"/>
      <c r="AG8" s="239"/>
      <c r="AH8" s="239"/>
      <c r="AI8" s="239"/>
      <c r="AJ8" s="239"/>
      <c r="AK8" s="239"/>
      <c r="AL8" s="239"/>
      <c r="AM8" s="28"/>
      <c r="AN8" s="28"/>
      <c r="AV8" t="s">
        <v>119</v>
      </c>
    </row>
    <row r="9" spans="1:50" ht="18.600000000000001" thickBot="1" x14ac:dyDescent="0.2">
      <c r="B9" s="32"/>
      <c r="C9" s="33"/>
      <c r="D9" s="34"/>
      <c r="E9" s="244"/>
      <c r="F9" s="244"/>
      <c r="G9" s="244"/>
      <c r="H9" s="244"/>
      <c r="I9" s="244"/>
      <c r="J9" s="244"/>
      <c r="K9" s="244"/>
      <c r="L9" s="245" t="s">
        <v>385</v>
      </c>
      <c r="M9" s="244"/>
      <c r="N9" s="244"/>
      <c r="O9" s="244"/>
      <c r="P9" s="244"/>
      <c r="Q9" s="244"/>
      <c r="R9" s="244"/>
      <c r="S9" s="244"/>
      <c r="T9" s="244"/>
      <c r="U9" s="244"/>
      <c r="V9" s="244"/>
      <c r="W9" s="244"/>
      <c r="X9" s="244"/>
      <c r="Y9" s="244"/>
      <c r="Z9" s="246"/>
      <c r="AA9" s="247"/>
      <c r="AB9" s="247"/>
      <c r="AC9" s="247"/>
      <c r="AD9" s="247"/>
      <c r="AE9" s="247"/>
      <c r="AF9" s="247"/>
      <c r="AG9" s="247"/>
      <c r="AH9" s="247"/>
      <c r="AI9" s="247"/>
      <c r="AJ9" s="247"/>
      <c r="AK9" s="247"/>
      <c r="AL9" s="247"/>
      <c r="AN9" s="28"/>
    </row>
    <row r="10" spans="1:50" x14ac:dyDescent="0.45">
      <c r="A10" s="38"/>
      <c r="B10" s="39"/>
      <c r="C10" s="40"/>
      <c r="D10" s="39"/>
      <c r="E10" s="39"/>
      <c r="F10" s="41"/>
      <c r="G10" s="606" t="s">
        <v>120</v>
      </c>
      <c r="H10" s="607"/>
      <c r="I10" s="607"/>
      <c r="J10" s="607"/>
      <c r="K10" s="607"/>
      <c r="L10" s="608"/>
      <c r="M10" s="596" t="s">
        <v>121</v>
      </c>
      <c r="N10" s="597"/>
      <c r="O10" s="597"/>
      <c r="P10" s="597"/>
      <c r="Q10" s="597"/>
      <c r="R10" s="597"/>
      <c r="S10" s="597"/>
      <c r="T10" s="597"/>
      <c r="U10" s="597"/>
      <c r="V10" s="597"/>
      <c r="W10" s="597"/>
      <c r="X10" s="597"/>
      <c r="Y10" s="597"/>
      <c r="Z10" s="598"/>
      <c r="AA10" s="596" t="s">
        <v>122</v>
      </c>
      <c r="AB10" s="597"/>
      <c r="AC10" s="597"/>
      <c r="AD10" s="597"/>
      <c r="AE10" s="597"/>
      <c r="AF10" s="597"/>
      <c r="AG10" s="597"/>
      <c r="AH10" s="597"/>
      <c r="AI10" s="597"/>
      <c r="AJ10" s="597"/>
      <c r="AK10" s="597"/>
      <c r="AL10" s="597"/>
      <c r="AM10" s="597"/>
      <c r="AN10" s="598"/>
      <c r="AO10" s="553" t="s">
        <v>123</v>
      </c>
      <c r="AP10" s="554"/>
      <c r="AQ10" s="554"/>
      <c r="AR10" s="555"/>
      <c r="AS10" s="556" t="s">
        <v>124</v>
      </c>
      <c r="AT10" s="557"/>
    </row>
    <row r="11" spans="1:50" x14ac:dyDescent="0.45">
      <c r="A11" s="42"/>
      <c r="B11" s="24"/>
      <c r="C11" s="25"/>
      <c r="D11" s="24"/>
      <c r="E11" s="24"/>
      <c r="F11" s="43"/>
      <c r="G11" s="599" t="s">
        <v>559</v>
      </c>
      <c r="H11" s="600"/>
      <c r="I11" s="601"/>
      <c r="J11" s="602"/>
      <c r="K11" s="563" t="s">
        <v>127</v>
      </c>
      <c r="L11" s="603"/>
      <c r="M11" s="604" t="s">
        <v>388</v>
      </c>
      <c r="N11" s="605"/>
      <c r="O11" s="604" t="s">
        <v>389</v>
      </c>
      <c r="P11" s="605"/>
      <c r="Q11" s="604" t="s">
        <v>390</v>
      </c>
      <c r="R11" s="605"/>
      <c r="S11" s="604" t="s">
        <v>391</v>
      </c>
      <c r="T11" s="605"/>
      <c r="U11" s="604" t="s">
        <v>392</v>
      </c>
      <c r="V11" s="605"/>
      <c r="W11" s="604" t="s">
        <v>393</v>
      </c>
      <c r="X11" s="605"/>
      <c r="Y11" s="570" t="s">
        <v>136</v>
      </c>
      <c r="Z11" s="609"/>
      <c r="AA11" s="610" t="s">
        <v>394</v>
      </c>
      <c r="AB11" s="605"/>
      <c r="AC11" s="604" t="s">
        <v>395</v>
      </c>
      <c r="AD11" s="605"/>
      <c r="AE11" s="604" t="s">
        <v>396</v>
      </c>
      <c r="AF11" s="605"/>
      <c r="AG11" s="604" t="s">
        <v>397</v>
      </c>
      <c r="AH11" s="605"/>
      <c r="AI11" s="604" t="s">
        <v>398</v>
      </c>
      <c r="AJ11" s="605"/>
      <c r="AK11" s="611" t="s">
        <v>546</v>
      </c>
      <c r="AL11" s="612"/>
      <c r="AM11" s="570" t="s">
        <v>136</v>
      </c>
      <c r="AN11" s="609"/>
      <c r="AO11" s="610" t="s">
        <v>141</v>
      </c>
      <c r="AP11" s="605"/>
      <c r="AQ11" s="570" t="s">
        <v>136</v>
      </c>
      <c r="AR11" s="609"/>
      <c r="AS11" s="558"/>
      <c r="AT11" s="559"/>
    </row>
    <row r="12" spans="1:50" x14ac:dyDescent="0.45">
      <c r="A12" s="42"/>
      <c r="B12" s="24"/>
      <c r="C12" s="25"/>
      <c r="D12" s="24"/>
      <c r="E12" s="24"/>
      <c r="F12" s="43"/>
      <c r="G12" s="248" t="s">
        <v>100</v>
      </c>
      <c r="H12" s="249" t="s">
        <v>142</v>
      </c>
      <c r="I12" s="250" t="s">
        <v>100</v>
      </c>
      <c r="J12" s="250" t="s">
        <v>142</v>
      </c>
      <c r="K12" s="496" t="s">
        <v>100</v>
      </c>
      <c r="L12" s="252" t="s">
        <v>142</v>
      </c>
      <c r="M12" s="498" t="s">
        <v>100</v>
      </c>
      <c r="N12" s="498" t="s">
        <v>142</v>
      </c>
      <c r="O12" s="498" t="s">
        <v>100</v>
      </c>
      <c r="P12" s="498" t="s">
        <v>142</v>
      </c>
      <c r="Q12" s="498" t="s">
        <v>100</v>
      </c>
      <c r="R12" s="498" t="s">
        <v>142</v>
      </c>
      <c r="S12" s="498" t="s">
        <v>100</v>
      </c>
      <c r="T12" s="498" t="s">
        <v>142</v>
      </c>
      <c r="U12" s="498" t="s">
        <v>100</v>
      </c>
      <c r="V12" s="498" t="s">
        <v>142</v>
      </c>
      <c r="W12" s="498" t="s">
        <v>100</v>
      </c>
      <c r="X12" s="498" t="s">
        <v>142</v>
      </c>
      <c r="Y12" s="499" t="s">
        <v>100</v>
      </c>
      <c r="Z12" s="501" t="s">
        <v>142</v>
      </c>
      <c r="AA12" s="497" t="s">
        <v>100</v>
      </c>
      <c r="AB12" s="498" t="s">
        <v>142</v>
      </c>
      <c r="AC12" s="498" t="s">
        <v>100</v>
      </c>
      <c r="AD12" s="498" t="s">
        <v>142</v>
      </c>
      <c r="AE12" s="498" t="s">
        <v>100</v>
      </c>
      <c r="AF12" s="498" t="s">
        <v>142</v>
      </c>
      <c r="AG12" s="498" t="s">
        <v>100</v>
      </c>
      <c r="AH12" s="498" t="s">
        <v>142</v>
      </c>
      <c r="AI12" s="498" t="s">
        <v>100</v>
      </c>
      <c r="AJ12" s="498" t="s">
        <v>142</v>
      </c>
      <c r="AK12" s="498" t="s">
        <v>100</v>
      </c>
      <c r="AL12" s="498" t="s">
        <v>142</v>
      </c>
      <c r="AM12" s="499" t="s">
        <v>100</v>
      </c>
      <c r="AN12" s="500" t="s">
        <v>142</v>
      </c>
      <c r="AO12" s="502" t="s">
        <v>100</v>
      </c>
      <c r="AP12" s="498" t="s">
        <v>142</v>
      </c>
      <c r="AQ12" s="499" t="s">
        <v>100</v>
      </c>
      <c r="AR12" s="501" t="s">
        <v>142</v>
      </c>
      <c r="AS12" s="259" t="s">
        <v>100</v>
      </c>
      <c r="AT12" s="260" t="s">
        <v>142</v>
      </c>
      <c r="AU12" s="261" t="s">
        <v>143</v>
      </c>
      <c r="AV12" s="262" t="s">
        <v>144</v>
      </c>
    </row>
    <row r="13" spans="1:50" ht="18.600000000000001" thickBot="1" x14ac:dyDescent="0.5">
      <c r="A13" s="57" t="s">
        <v>145</v>
      </c>
      <c r="B13" s="58" t="s">
        <v>146</v>
      </c>
      <c r="C13" s="59"/>
      <c r="D13" s="58" t="s">
        <v>147</v>
      </c>
      <c r="E13" s="58" t="s">
        <v>148</v>
      </c>
      <c r="F13" s="60" t="s">
        <v>149</v>
      </c>
      <c r="G13" s="263">
        <v>1</v>
      </c>
      <c r="H13" s="264">
        <f>O3</f>
        <v>180.75</v>
      </c>
      <c r="I13" s="264"/>
      <c r="J13" s="264"/>
      <c r="K13" s="63">
        <f>G13+I13</f>
        <v>1</v>
      </c>
      <c r="L13" s="265">
        <f>H13+J13</f>
        <v>180.75</v>
      </c>
      <c r="M13" s="66">
        <v>1</v>
      </c>
      <c r="N13" s="66">
        <f>O4</f>
        <v>30.533636363636365</v>
      </c>
      <c r="O13" s="66">
        <v>1</v>
      </c>
      <c r="P13" s="66">
        <f>O4</f>
        <v>30.533636363636365</v>
      </c>
      <c r="Q13" s="66">
        <v>1</v>
      </c>
      <c r="R13" s="66">
        <f>O4</f>
        <v>30.533636363636365</v>
      </c>
      <c r="S13" s="66">
        <v>1</v>
      </c>
      <c r="T13" s="66">
        <f>O4</f>
        <v>30.533636363636365</v>
      </c>
      <c r="U13" s="66">
        <v>1</v>
      </c>
      <c r="V13" s="66">
        <f>O4</f>
        <v>30.533636363636365</v>
      </c>
      <c r="W13" s="66">
        <v>1</v>
      </c>
      <c r="X13" s="66">
        <f>O4</f>
        <v>30.533636363636365</v>
      </c>
      <c r="Y13" s="67">
        <f>M13+O13+Q13+S13+U13+W13</f>
        <v>6</v>
      </c>
      <c r="Z13" s="266">
        <f>N13+P13+R13+T13+V13+X13</f>
        <v>183.2018181818182</v>
      </c>
      <c r="AA13" s="65">
        <v>1</v>
      </c>
      <c r="AB13" s="66">
        <f>O5</f>
        <v>30.533636363636365</v>
      </c>
      <c r="AC13" s="66">
        <v>1</v>
      </c>
      <c r="AD13" s="66">
        <f>O5</f>
        <v>30.533636363636365</v>
      </c>
      <c r="AE13" s="66">
        <v>1</v>
      </c>
      <c r="AF13" s="66">
        <f>O5</f>
        <v>30.533636363636365</v>
      </c>
      <c r="AG13" s="66">
        <v>1</v>
      </c>
      <c r="AH13" s="66">
        <f>O5</f>
        <v>30.533636363636365</v>
      </c>
      <c r="AI13" s="66">
        <v>1</v>
      </c>
      <c r="AJ13" s="66">
        <f>O5</f>
        <v>30.533636363636365</v>
      </c>
      <c r="AK13" s="66">
        <v>1</v>
      </c>
      <c r="AL13" s="66">
        <f>O5</f>
        <v>30.533636363636365</v>
      </c>
      <c r="AM13" s="67">
        <f t="shared" ref="AM13:AN43" si="0">AA13+AC13+AE13+AG13+AK13</f>
        <v>5</v>
      </c>
      <c r="AN13" s="68">
        <f t="shared" si="0"/>
        <v>152.66818181818184</v>
      </c>
      <c r="AO13" s="267">
        <v>1</v>
      </c>
      <c r="AP13" s="66">
        <f>O6</f>
        <v>91.5</v>
      </c>
      <c r="AQ13" s="67">
        <f>AO13</f>
        <v>1</v>
      </c>
      <c r="AR13" s="268">
        <f>AP13</f>
        <v>91.5</v>
      </c>
      <c r="AS13" s="71">
        <f t="shared" ref="AS13:AT43" si="1">K13+Y13+AM13+AQ13</f>
        <v>13</v>
      </c>
      <c r="AT13" s="72">
        <f t="shared" si="1"/>
        <v>608.12000000000012</v>
      </c>
      <c r="AU13" s="56"/>
      <c r="AV13" s="56"/>
    </row>
    <row r="14" spans="1:50" ht="15" customHeight="1" x14ac:dyDescent="0.45">
      <c r="A14" s="73" t="s">
        <v>547</v>
      </c>
      <c r="B14" s="74" t="s">
        <v>151</v>
      </c>
      <c r="C14" s="75">
        <v>1</v>
      </c>
      <c r="D14" s="74" t="s">
        <v>152</v>
      </c>
      <c r="E14" s="76" t="s">
        <v>153</v>
      </c>
      <c r="F14" s="77" t="s">
        <v>154</v>
      </c>
      <c r="G14" s="269">
        <v>0.01</v>
      </c>
      <c r="H14" s="205">
        <f>H$13/G$13*G14</f>
        <v>1.8075000000000001</v>
      </c>
      <c r="I14" s="205"/>
      <c r="J14" s="205"/>
      <c r="K14" s="80">
        <f>G14+I14</f>
        <v>0.01</v>
      </c>
      <c r="L14" s="270">
        <f>H14+J14</f>
        <v>1.8075000000000001</v>
      </c>
      <c r="M14" s="271">
        <v>0.02</v>
      </c>
      <c r="N14" s="83">
        <f t="shared" ref="N14:N77" si="2">N$13/M$13*M14</f>
        <v>0.61067272727272737</v>
      </c>
      <c r="O14" s="83"/>
      <c r="P14" s="83">
        <f t="shared" ref="P14:P77" si="3">P$13/O$13*O14</f>
        <v>0</v>
      </c>
      <c r="Q14" s="83"/>
      <c r="R14" s="83">
        <f t="shared" ref="R14:R77" si="4">R$13/Q$13*Q14</f>
        <v>0</v>
      </c>
      <c r="S14" s="83"/>
      <c r="T14" s="83">
        <f t="shared" ref="T14:T77" si="5">T$13/S$13*S14</f>
        <v>0</v>
      </c>
      <c r="U14" s="83"/>
      <c r="V14" s="83">
        <f t="shared" ref="V14:V77" si="6">V$13/U$13*U14</f>
        <v>0</v>
      </c>
      <c r="W14" s="83"/>
      <c r="X14" s="83">
        <f t="shared" ref="X14:X77" si="7">X$13/W$13*W14</f>
        <v>0</v>
      </c>
      <c r="Y14" s="84">
        <f t="shared" ref="Y14:Z76" si="8">M14+O14+Q14+S14+U14+W14</f>
        <v>0.02</v>
      </c>
      <c r="Z14" s="272">
        <f t="shared" si="8"/>
        <v>0.61067272727272737</v>
      </c>
      <c r="AA14" s="82"/>
      <c r="AB14" s="83">
        <f t="shared" ref="AB14:AB77" si="9">AB$13/AA$13*AA14</f>
        <v>0</v>
      </c>
      <c r="AC14" s="82"/>
      <c r="AD14" s="83">
        <f t="shared" ref="AD14:AD77" si="10">AD$13/AC$13*AC14</f>
        <v>0</v>
      </c>
      <c r="AE14" s="82"/>
      <c r="AF14" s="83">
        <f t="shared" ref="AF14:AF77" si="11">AF$13/AE$13*AE14</f>
        <v>0</v>
      </c>
      <c r="AG14" s="82"/>
      <c r="AH14" s="83">
        <f t="shared" ref="AH14:AH77" si="12">AH$13/AG$13*AG14</f>
        <v>0</v>
      </c>
      <c r="AI14" s="82"/>
      <c r="AJ14" s="83">
        <f t="shared" ref="AJ14:AJ77" si="13">AJ$13/AI$13*AI14</f>
        <v>0</v>
      </c>
      <c r="AK14" s="205"/>
      <c r="AL14" s="83">
        <f t="shared" ref="AL14:AL77" si="14">AL$13/AK$13*AK14</f>
        <v>0</v>
      </c>
      <c r="AM14" s="84">
        <f t="shared" si="0"/>
        <v>0</v>
      </c>
      <c r="AN14" s="85">
        <f t="shared" si="0"/>
        <v>0</v>
      </c>
      <c r="AO14" s="271"/>
      <c r="AP14" s="83">
        <f t="shared" ref="AP14:AP77" si="15">AP$13/AO$13*AO14</f>
        <v>0</v>
      </c>
      <c r="AQ14" s="84">
        <f>AO14</f>
        <v>0</v>
      </c>
      <c r="AR14" s="273">
        <f t="shared" ref="AR14:AR76" si="16">AP14</f>
        <v>0</v>
      </c>
      <c r="AS14" s="88">
        <f t="shared" si="1"/>
        <v>0.03</v>
      </c>
      <c r="AT14" s="89">
        <f t="shared" si="1"/>
        <v>2.4181727272727276</v>
      </c>
      <c r="AU14" s="56" t="s">
        <v>155</v>
      </c>
      <c r="AV14" s="56">
        <f>IF(AU14="●",AT14,0)</f>
        <v>0</v>
      </c>
      <c r="AX14" s="56" t="s">
        <v>156</v>
      </c>
    </row>
    <row r="15" spans="1:50" ht="15" customHeight="1" x14ac:dyDescent="0.45">
      <c r="A15" s="73"/>
      <c r="B15" s="90" t="s">
        <v>157</v>
      </c>
      <c r="C15" s="91">
        <v>2</v>
      </c>
      <c r="D15" s="74" t="s">
        <v>158</v>
      </c>
      <c r="E15" s="76" t="s">
        <v>159</v>
      </c>
      <c r="F15" s="92" t="s">
        <v>154</v>
      </c>
      <c r="G15" s="210">
        <v>0.01</v>
      </c>
      <c r="H15" s="207">
        <f t="shared" ref="H15:H78" si="17">H$13/G$13*G15</f>
        <v>1.8075000000000001</v>
      </c>
      <c r="I15" s="207"/>
      <c r="J15" s="207"/>
      <c r="K15" s="80">
        <f t="shared" ref="K15:L77" si="18">G15+I15</f>
        <v>0.01</v>
      </c>
      <c r="L15" s="270">
        <f t="shared" si="18"/>
        <v>1.8075000000000001</v>
      </c>
      <c r="M15" s="494">
        <v>0.02</v>
      </c>
      <c r="N15" s="492">
        <f t="shared" si="2"/>
        <v>0.61067272727272737</v>
      </c>
      <c r="O15" s="492"/>
      <c r="P15" s="492">
        <f t="shared" si="3"/>
        <v>0</v>
      </c>
      <c r="Q15" s="492"/>
      <c r="R15" s="492">
        <f t="shared" si="4"/>
        <v>0</v>
      </c>
      <c r="S15" s="492"/>
      <c r="T15" s="492">
        <f t="shared" si="5"/>
        <v>0</v>
      </c>
      <c r="U15" s="492"/>
      <c r="V15" s="492">
        <f t="shared" si="6"/>
        <v>0</v>
      </c>
      <c r="W15" s="492"/>
      <c r="X15" s="492">
        <f t="shared" si="7"/>
        <v>0</v>
      </c>
      <c r="Y15" s="99">
        <f t="shared" si="8"/>
        <v>0.02</v>
      </c>
      <c r="Z15" s="275">
        <f t="shared" si="8"/>
        <v>0.61067272727272737</v>
      </c>
      <c r="AA15" s="97"/>
      <c r="AB15" s="492">
        <f t="shared" si="9"/>
        <v>0</v>
      </c>
      <c r="AC15" s="97"/>
      <c r="AD15" s="492">
        <f t="shared" si="10"/>
        <v>0</v>
      </c>
      <c r="AE15" s="97"/>
      <c r="AF15" s="492">
        <f t="shared" si="11"/>
        <v>0</v>
      </c>
      <c r="AG15" s="97"/>
      <c r="AH15" s="492">
        <f t="shared" si="12"/>
        <v>0</v>
      </c>
      <c r="AI15" s="97"/>
      <c r="AJ15" s="492">
        <f t="shared" si="13"/>
        <v>0</v>
      </c>
      <c r="AK15" s="207"/>
      <c r="AL15" s="492">
        <f t="shared" si="14"/>
        <v>0</v>
      </c>
      <c r="AM15" s="99">
        <f t="shared" si="0"/>
        <v>0</v>
      </c>
      <c r="AN15" s="100">
        <f t="shared" si="0"/>
        <v>0</v>
      </c>
      <c r="AO15" s="494"/>
      <c r="AP15" s="492">
        <f t="shared" si="15"/>
        <v>0</v>
      </c>
      <c r="AQ15" s="99">
        <f t="shared" ref="AQ15:AR77" si="19">AO15</f>
        <v>0</v>
      </c>
      <c r="AR15" s="276">
        <f t="shared" si="16"/>
        <v>0</v>
      </c>
      <c r="AS15" s="103">
        <f t="shared" si="1"/>
        <v>0.03</v>
      </c>
      <c r="AT15" s="104">
        <f t="shared" si="1"/>
        <v>2.4181727272727276</v>
      </c>
      <c r="AU15" s="56" t="s">
        <v>155</v>
      </c>
      <c r="AV15" s="56">
        <f t="shared" ref="AV15:AV78" si="20">IF(AU15="●",AT15,0)</f>
        <v>0</v>
      </c>
      <c r="AX15" t="s">
        <v>114</v>
      </c>
    </row>
    <row r="16" spans="1:50" ht="15" customHeight="1" x14ac:dyDescent="0.45">
      <c r="A16" s="73"/>
      <c r="B16" s="90"/>
      <c r="C16" s="91">
        <v>3</v>
      </c>
      <c r="D16" s="74" t="s">
        <v>160</v>
      </c>
      <c r="E16" s="76" t="s">
        <v>161</v>
      </c>
      <c r="F16" s="77" t="s">
        <v>162</v>
      </c>
      <c r="G16" s="210">
        <v>0.01</v>
      </c>
      <c r="H16" s="207">
        <f t="shared" si="17"/>
        <v>1.8075000000000001</v>
      </c>
      <c r="I16" s="207"/>
      <c r="J16" s="207"/>
      <c r="K16" s="80">
        <f t="shared" si="18"/>
        <v>0.01</v>
      </c>
      <c r="L16" s="270">
        <f t="shared" si="18"/>
        <v>1.8075000000000001</v>
      </c>
      <c r="M16" s="492">
        <v>0.02</v>
      </c>
      <c r="N16" s="492">
        <f t="shared" si="2"/>
        <v>0.61067272727272737</v>
      </c>
      <c r="O16" s="492">
        <v>0.01</v>
      </c>
      <c r="P16" s="492">
        <f t="shared" si="3"/>
        <v>0.30533636363636368</v>
      </c>
      <c r="Q16" s="492">
        <v>0.01</v>
      </c>
      <c r="R16" s="492">
        <f t="shared" si="4"/>
        <v>0.30533636363636368</v>
      </c>
      <c r="S16" s="492">
        <v>0.01</v>
      </c>
      <c r="T16" s="492">
        <f t="shared" si="5"/>
        <v>0.30533636363636368</v>
      </c>
      <c r="U16" s="492">
        <v>0.01</v>
      </c>
      <c r="V16" s="492">
        <f t="shared" si="6"/>
        <v>0.30533636363636368</v>
      </c>
      <c r="W16" s="492">
        <v>0.01</v>
      </c>
      <c r="X16" s="492">
        <f t="shared" si="7"/>
        <v>0.30533636363636368</v>
      </c>
      <c r="Y16" s="99">
        <f t="shared" si="8"/>
        <v>7.0000000000000007E-2</v>
      </c>
      <c r="Z16" s="275">
        <f t="shared" si="8"/>
        <v>2.1373545454545457</v>
      </c>
      <c r="AA16" s="97"/>
      <c r="AB16" s="492">
        <f t="shared" si="9"/>
        <v>0</v>
      </c>
      <c r="AC16" s="97"/>
      <c r="AD16" s="492">
        <f t="shared" si="10"/>
        <v>0</v>
      </c>
      <c r="AE16" s="97"/>
      <c r="AF16" s="492">
        <f t="shared" si="11"/>
        <v>0</v>
      </c>
      <c r="AG16" s="97"/>
      <c r="AH16" s="492">
        <f t="shared" si="12"/>
        <v>0</v>
      </c>
      <c r="AI16" s="97"/>
      <c r="AJ16" s="492">
        <f t="shared" si="13"/>
        <v>0</v>
      </c>
      <c r="AK16" s="207"/>
      <c r="AL16" s="492">
        <f t="shared" si="14"/>
        <v>0</v>
      </c>
      <c r="AM16" s="99">
        <f t="shared" si="0"/>
        <v>0</v>
      </c>
      <c r="AN16" s="100">
        <f t="shared" si="0"/>
        <v>0</v>
      </c>
      <c r="AO16" s="494"/>
      <c r="AP16" s="492">
        <f t="shared" si="15"/>
        <v>0</v>
      </c>
      <c r="AQ16" s="99">
        <f t="shared" si="19"/>
        <v>0</v>
      </c>
      <c r="AR16" s="276">
        <f t="shared" si="16"/>
        <v>0</v>
      </c>
      <c r="AS16" s="103">
        <f t="shared" si="1"/>
        <v>0.08</v>
      </c>
      <c r="AT16" s="104">
        <f t="shared" si="1"/>
        <v>3.9448545454545458</v>
      </c>
      <c r="AU16" s="56" t="s">
        <v>155</v>
      </c>
      <c r="AV16" s="56">
        <f t="shared" si="20"/>
        <v>0</v>
      </c>
    </row>
    <row r="17" spans="1:48" ht="15" customHeight="1" x14ac:dyDescent="0.45">
      <c r="A17" s="73"/>
      <c r="B17" s="90"/>
      <c r="C17" s="105">
        <v>4</v>
      </c>
      <c r="D17" s="74" t="s">
        <v>163</v>
      </c>
      <c r="E17" s="76" t="s">
        <v>164</v>
      </c>
      <c r="F17" s="77" t="s">
        <v>165</v>
      </c>
      <c r="G17" s="93">
        <v>0.4</v>
      </c>
      <c r="H17" s="94">
        <f t="shared" si="17"/>
        <v>72.3</v>
      </c>
      <c r="I17" s="94"/>
      <c r="J17" s="94"/>
      <c r="K17" s="80">
        <f t="shared" si="18"/>
        <v>0.4</v>
      </c>
      <c r="L17" s="270">
        <f t="shared" si="18"/>
        <v>72.3</v>
      </c>
      <c r="M17" s="492">
        <v>0.02</v>
      </c>
      <c r="N17" s="492">
        <f t="shared" si="2"/>
        <v>0.61067272727272737</v>
      </c>
      <c r="O17" s="492"/>
      <c r="P17" s="492">
        <f t="shared" si="3"/>
        <v>0</v>
      </c>
      <c r="Q17" s="492"/>
      <c r="R17" s="492">
        <f t="shared" si="4"/>
        <v>0</v>
      </c>
      <c r="S17" s="492"/>
      <c r="T17" s="492">
        <f t="shared" si="5"/>
        <v>0</v>
      </c>
      <c r="U17" s="492"/>
      <c r="V17" s="492">
        <f t="shared" si="6"/>
        <v>0</v>
      </c>
      <c r="W17" s="492"/>
      <c r="X17" s="492">
        <f t="shared" si="7"/>
        <v>0</v>
      </c>
      <c r="Y17" s="99">
        <f t="shared" si="8"/>
        <v>0.02</v>
      </c>
      <c r="Z17" s="275">
        <f t="shared" si="8"/>
        <v>0.61067272727272737</v>
      </c>
      <c r="AA17" s="97"/>
      <c r="AB17" s="492">
        <f t="shared" si="9"/>
        <v>0</v>
      </c>
      <c r="AC17" s="97"/>
      <c r="AD17" s="492">
        <f t="shared" si="10"/>
        <v>0</v>
      </c>
      <c r="AE17" s="97"/>
      <c r="AF17" s="492">
        <f t="shared" si="11"/>
        <v>0</v>
      </c>
      <c r="AG17" s="97"/>
      <c r="AH17" s="492">
        <f t="shared" si="12"/>
        <v>0</v>
      </c>
      <c r="AI17" s="97"/>
      <c r="AJ17" s="492">
        <f t="shared" si="13"/>
        <v>0</v>
      </c>
      <c r="AK17" s="94"/>
      <c r="AL17" s="492">
        <f t="shared" si="14"/>
        <v>0</v>
      </c>
      <c r="AM17" s="99">
        <f t="shared" si="0"/>
        <v>0</v>
      </c>
      <c r="AN17" s="100">
        <f t="shared" si="0"/>
        <v>0</v>
      </c>
      <c r="AO17" s="494"/>
      <c r="AP17" s="492">
        <f t="shared" si="15"/>
        <v>0</v>
      </c>
      <c r="AQ17" s="99">
        <f t="shared" si="19"/>
        <v>0</v>
      </c>
      <c r="AR17" s="276">
        <f t="shared" si="16"/>
        <v>0</v>
      </c>
      <c r="AS17" s="103">
        <f t="shared" si="1"/>
        <v>0.42000000000000004</v>
      </c>
      <c r="AT17" s="104">
        <f t="shared" si="1"/>
        <v>72.910672727272726</v>
      </c>
      <c r="AU17" s="56" t="s">
        <v>155</v>
      </c>
      <c r="AV17" s="56">
        <f t="shared" si="20"/>
        <v>0</v>
      </c>
    </row>
    <row r="18" spans="1:48" ht="15" customHeight="1" x14ac:dyDescent="0.45">
      <c r="A18" s="73"/>
      <c r="B18" s="90"/>
      <c r="C18" s="105">
        <v>5</v>
      </c>
      <c r="D18" s="74" t="s">
        <v>167</v>
      </c>
      <c r="E18" s="76"/>
      <c r="F18" s="77" t="s">
        <v>162</v>
      </c>
      <c r="G18" s="210"/>
      <c r="H18" s="207">
        <f t="shared" si="17"/>
        <v>0</v>
      </c>
      <c r="I18" s="207"/>
      <c r="J18" s="207"/>
      <c r="K18" s="80">
        <f t="shared" si="18"/>
        <v>0</v>
      </c>
      <c r="L18" s="270">
        <f t="shared" si="18"/>
        <v>0</v>
      </c>
      <c r="M18" s="492">
        <v>0.01</v>
      </c>
      <c r="N18" s="492">
        <f t="shared" si="2"/>
        <v>0.30533636363636368</v>
      </c>
      <c r="O18" s="492">
        <v>0.01</v>
      </c>
      <c r="P18" s="492">
        <f t="shared" si="3"/>
        <v>0.30533636363636368</v>
      </c>
      <c r="Q18" s="492">
        <v>0.01</v>
      </c>
      <c r="R18" s="492">
        <f t="shared" si="4"/>
        <v>0.30533636363636368</v>
      </c>
      <c r="S18" s="492">
        <v>0.01</v>
      </c>
      <c r="T18" s="492">
        <f t="shared" si="5"/>
        <v>0.30533636363636368</v>
      </c>
      <c r="U18" s="492">
        <v>0.01</v>
      </c>
      <c r="V18" s="492">
        <f t="shared" si="6"/>
        <v>0.30533636363636368</v>
      </c>
      <c r="W18" s="492">
        <v>0</v>
      </c>
      <c r="X18" s="492">
        <f t="shared" si="7"/>
        <v>0</v>
      </c>
      <c r="Y18" s="99">
        <f t="shared" si="8"/>
        <v>0.05</v>
      </c>
      <c r="Z18" s="275">
        <f t="shared" si="8"/>
        <v>1.5266818181818185</v>
      </c>
      <c r="AA18" s="97"/>
      <c r="AB18" s="492">
        <f t="shared" si="9"/>
        <v>0</v>
      </c>
      <c r="AC18" s="97"/>
      <c r="AD18" s="492">
        <f t="shared" si="10"/>
        <v>0</v>
      </c>
      <c r="AE18" s="97"/>
      <c r="AF18" s="492">
        <f t="shared" si="11"/>
        <v>0</v>
      </c>
      <c r="AG18" s="97"/>
      <c r="AH18" s="492">
        <f t="shared" si="12"/>
        <v>0</v>
      </c>
      <c r="AI18" s="97"/>
      <c r="AJ18" s="492">
        <f t="shared" si="13"/>
        <v>0</v>
      </c>
      <c r="AK18" s="207"/>
      <c r="AL18" s="492">
        <f t="shared" si="14"/>
        <v>0</v>
      </c>
      <c r="AM18" s="99">
        <f t="shared" si="0"/>
        <v>0</v>
      </c>
      <c r="AN18" s="100">
        <f t="shared" si="0"/>
        <v>0</v>
      </c>
      <c r="AO18" s="494"/>
      <c r="AP18" s="492">
        <f t="shared" si="15"/>
        <v>0</v>
      </c>
      <c r="AQ18" s="99">
        <f t="shared" si="19"/>
        <v>0</v>
      </c>
      <c r="AR18" s="276">
        <f t="shared" si="16"/>
        <v>0</v>
      </c>
      <c r="AS18" s="103">
        <f t="shared" si="1"/>
        <v>0.05</v>
      </c>
      <c r="AT18" s="104">
        <f t="shared" si="1"/>
        <v>1.5266818181818185</v>
      </c>
      <c r="AU18" s="56" t="s">
        <v>155</v>
      </c>
      <c r="AV18" s="56">
        <f t="shared" si="20"/>
        <v>0</v>
      </c>
    </row>
    <row r="19" spans="1:48" ht="15" customHeight="1" x14ac:dyDescent="0.45">
      <c r="A19" s="73"/>
      <c r="B19" s="90"/>
      <c r="C19" s="75">
        <v>6</v>
      </c>
      <c r="D19" s="74" t="s">
        <v>168</v>
      </c>
      <c r="E19" s="76"/>
      <c r="F19" s="77" t="s">
        <v>162</v>
      </c>
      <c r="G19" s="210"/>
      <c r="H19" s="207">
        <f t="shared" si="17"/>
        <v>0</v>
      </c>
      <c r="I19" s="207"/>
      <c r="J19" s="207"/>
      <c r="K19" s="80">
        <f t="shared" si="18"/>
        <v>0</v>
      </c>
      <c r="L19" s="270">
        <f t="shared" si="18"/>
        <v>0</v>
      </c>
      <c r="M19" s="492">
        <v>0.01</v>
      </c>
      <c r="N19" s="492">
        <f t="shared" si="2"/>
        <v>0.30533636363636368</v>
      </c>
      <c r="O19" s="492">
        <v>0.01</v>
      </c>
      <c r="P19" s="492">
        <f t="shared" si="3"/>
        <v>0.30533636363636368</v>
      </c>
      <c r="Q19" s="492">
        <v>0.01</v>
      </c>
      <c r="R19" s="492">
        <f t="shared" si="4"/>
        <v>0.30533636363636368</v>
      </c>
      <c r="S19" s="492">
        <v>0.01</v>
      </c>
      <c r="T19" s="492">
        <f t="shared" si="5"/>
        <v>0.30533636363636368</v>
      </c>
      <c r="U19" s="492">
        <v>0.01</v>
      </c>
      <c r="V19" s="492">
        <f t="shared" si="6"/>
        <v>0.30533636363636368</v>
      </c>
      <c r="W19" s="492">
        <v>0</v>
      </c>
      <c r="X19" s="492">
        <f t="shared" si="7"/>
        <v>0</v>
      </c>
      <c r="Y19" s="99">
        <f t="shared" si="8"/>
        <v>0.05</v>
      </c>
      <c r="Z19" s="275">
        <f t="shared" si="8"/>
        <v>1.5266818181818185</v>
      </c>
      <c r="AA19" s="97"/>
      <c r="AB19" s="492">
        <f t="shared" si="9"/>
        <v>0</v>
      </c>
      <c r="AC19" s="97"/>
      <c r="AD19" s="492">
        <f t="shared" si="10"/>
        <v>0</v>
      </c>
      <c r="AE19" s="97"/>
      <c r="AF19" s="492">
        <f t="shared" si="11"/>
        <v>0</v>
      </c>
      <c r="AG19" s="97"/>
      <c r="AH19" s="492">
        <f t="shared" si="12"/>
        <v>0</v>
      </c>
      <c r="AI19" s="97"/>
      <c r="AJ19" s="492">
        <f t="shared" si="13"/>
        <v>0</v>
      </c>
      <c r="AK19" s="207"/>
      <c r="AL19" s="492">
        <f t="shared" si="14"/>
        <v>0</v>
      </c>
      <c r="AM19" s="99">
        <f t="shared" si="0"/>
        <v>0</v>
      </c>
      <c r="AN19" s="100">
        <f t="shared" si="0"/>
        <v>0</v>
      </c>
      <c r="AO19" s="494"/>
      <c r="AP19" s="492">
        <f t="shared" si="15"/>
        <v>0</v>
      </c>
      <c r="AQ19" s="99">
        <f t="shared" si="19"/>
        <v>0</v>
      </c>
      <c r="AR19" s="276">
        <f t="shared" si="16"/>
        <v>0</v>
      </c>
      <c r="AS19" s="103">
        <f t="shared" si="1"/>
        <v>0.05</v>
      </c>
      <c r="AT19" s="104">
        <f t="shared" si="1"/>
        <v>1.5266818181818185</v>
      </c>
      <c r="AU19" s="56" t="s">
        <v>155</v>
      </c>
      <c r="AV19" s="56">
        <f t="shared" si="20"/>
        <v>0</v>
      </c>
    </row>
    <row r="20" spans="1:48" ht="15" customHeight="1" x14ac:dyDescent="0.45">
      <c r="A20" s="73"/>
      <c r="B20" s="106" t="s">
        <v>169</v>
      </c>
      <c r="C20" s="91">
        <v>7</v>
      </c>
      <c r="D20" s="108" t="s">
        <v>170</v>
      </c>
      <c r="E20" s="109" t="s">
        <v>171</v>
      </c>
      <c r="F20" s="110" t="s">
        <v>162</v>
      </c>
      <c r="G20" s="210"/>
      <c r="H20" s="207">
        <f t="shared" si="17"/>
        <v>0</v>
      </c>
      <c r="I20" s="207"/>
      <c r="J20" s="207"/>
      <c r="K20" s="80">
        <f t="shared" si="18"/>
        <v>0</v>
      </c>
      <c r="L20" s="270">
        <f t="shared" si="18"/>
        <v>0</v>
      </c>
      <c r="M20" s="492">
        <v>0.01</v>
      </c>
      <c r="N20" s="492">
        <f t="shared" si="2"/>
        <v>0.30533636363636368</v>
      </c>
      <c r="O20" s="492">
        <v>0.01</v>
      </c>
      <c r="P20" s="492">
        <f t="shared" si="3"/>
        <v>0.30533636363636368</v>
      </c>
      <c r="Q20" s="492">
        <v>0.01</v>
      </c>
      <c r="R20" s="492">
        <f t="shared" si="4"/>
        <v>0.30533636363636368</v>
      </c>
      <c r="S20" s="492">
        <v>0.01</v>
      </c>
      <c r="T20" s="492">
        <f t="shared" si="5"/>
        <v>0.30533636363636368</v>
      </c>
      <c r="U20" s="492">
        <v>0.01</v>
      </c>
      <c r="V20" s="492">
        <f t="shared" si="6"/>
        <v>0.30533636363636368</v>
      </c>
      <c r="W20" s="492">
        <v>0.01</v>
      </c>
      <c r="X20" s="492">
        <f t="shared" si="7"/>
        <v>0.30533636363636368</v>
      </c>
      <c r="Y20" s="99">
        <f t="shared" si="8"/>
        <v>6.0000000000000005E-2</v>
      </c>
      <c r="Z20" s="275">
        <f t="shared" si="8"/>
        <v>1.8320181818181822</v>
      </c>
      <c r="AA20" s="97"/>
      <c r="AB20" s="492">
        <f t="shared" si="9"/>
        <v>0</v>
      </c>
      <c r="AC20" s="97"/>
      <c r="AD20" s="492">
        <f t="shared" si="10"/>
        <v>0</v>
      </c>
      <c r="AE20" s="97"/>
      <c r="AF20" s="492">
        <f t="shared" si="11"/>
        <v>0</v>
      </c>
      <c r="AG20" s="97"/>
      <c r="AH20" s="492">
        <f t="shared" si="12"/>
        <v>0</v>
      </c>
      <c r="AI20" s="97"/>
      <c r="AJ20" s="492">
        <f t="shared" si="13"/>
        <v>0</v>
      </c>
      <c r="AK20" s="207"/>
      <c r="AL20" s="492">
        <f t="shared" si="14"/>
        <v>0</v>
      </c>
      <c r="AM20" s="99">
        <f t="shared" si="0"/>
        <v>0</v>
      </c>
      <c r="AN20" s="100">
        <f t="shared" si="0"/>
        <v>0</v>
      </c>
      <c r="AO20" s="277"/>
      <c r="AP20" s="112">
        <f t="shared" si="15"/>
        <v>0</v>
      </c>
      <c r="AQ20" s="99">
        <f t="shared" si="19"/>
        <v>0</v>
      </c>
      <c r="AR20" s="276">
        <f t="shared" si="16"/>
        <v>0</v>
      </c>
      <c r="AS20" s="103">
        <f t="shared" si="1"/>
        <v>6.0000000000000005E-2</v>
      </c>
      <c r="AT20" s="104">
        <f t="shared" si="1"/>
        <v>1.8320181818181822</v>
      </c>
      <c r="AU20" s="56" t="s">
        <v>155</v>
      </c>
      <c r="AV20" s="56">
        <f t="shared" si="20"/>
        <v>0</v>
      </c>
    </row>
    <row r="21" spans="1:48" ht="15" customHeight="1" x14ac:dyDescent="0.45">
      <c r="A21" s="73"/>
      <c r="B21" s="90" t="s">
        <v>172</v>
      </c>
      <c r="C21" s="105">
        <v>8</v>
      </c>
      <c r="D21" s="108" t="s">
        <v>173</v>
      </c>
      <c r="E21" s="109"/>
      <c r="F21" s="110" t="s">
        <v>162</v>
      </c>
      <c r="G21" s="210"/>
      <c r="H21" s="207">
        <f t="shared" si="17"/>
        <v>0</v>
      </c>
      <c r="I21" s="207"/>
      <c r="J21" s="207"/>
      <c r="K21" s="80">
        <f t="shared" si="18"/>
        <v>0</v>
      </c>
      <c r="L21" s="270">
        <f t="shared" si="18"/>
        <v>0</v>
      </c>
      <c r="M21" s="492">
        <v>0.01</v>
      </c>
      <c r="N21" s="492">
        <f t="shared" si="2"/>
        <v>0.30533636363636368</v>
      </c>
      <c r="O21" s="492">
        <v>0.01</v>
      </c>
      <c r="P21" s="492">
        <f t="shared" si="3"/>
        <v>0.30533636363636368</v>
      </c>
      <c r="Q21" s="492">
        <v>0.01</v>
      </c>
      <c r="R21" s="492">
        <f t="shared" si="4"/>
        <v>0.30533636363636368</v>
      </c>
      <c r="S21" s="492">
        <v>0.01</v>
      </c>
      <c r="T21" s="492">
        <f t="shared" si="5"/>
        <v>0.30533636363636368</v>
      </c>
      <c r="U21" s="492">
        <v>0.01</v>
      </c>
      <c r="V21" s="492">
        <f t="shared" si="6"/>
        <v>0.30533636363636368</v>
      </c>
      <c r="W21" s="492">
        <v>0.01</v>
      </c>
      <c r="X21" s="492">
        <f t="shared" si="7"/>
        <v>0.30533636363636368</v>
      </c>
      <c r="Y21" s="99">
        <f t="shared" si="8"/>
        <v>6.0000000000000005E-2</v>
      </c>
      <c r="Z21" s="275">
        <f t="shared" si="8"/>
        <v>1.8320181818181822</v>
      </c>
      <c r="AA21" s="97"/>
      <c r="AB21" s="492">
        <f t="shared" si="9"/>
        <v>0</v>
      </c>
      <c r="AC21" s="97"/>
      <c r="AD21" s="492">
        <f t="shared" si="10"/>
        <v>0</v>
      </c>
      <c r="AE21" s="97"/>
      <c r="AF21" s="492">
        <f t="shared" si="11"/>
        <v>0</v>
      </c>
      <c r="AG21" s="97"/>
      <c r="AH21" s="492">
        <f t="shared" si="12"/>
        <v>0</v>
      </c>
      <c r="AI21" s="97"/>
      <c r="AJ21" s="492">
        <f t="shared" si="13"/>
        <v>0</v>
      </c>
      <c r="AK21" s="207"/>
      <c r="AL21" s="492">
        <f t="shared" si="14"/>
        <v>0</v>
      </c>
      <c r="AM21" s="99">
        <f t="shared" si="0"/>
        <v>0</v>
      </c>
      <c r="AN21" s="100">
        <f t="shared" si="0"/>
        <v>0</v>
      </c>
      <c r="AO21" s="277"/>
      <c r="AP21" s="112">
        <f t="shared" si="15"/>
        <v>0</v>
      </c>
      <c r="AQ21" s="99">
        <f t="shared" si="19"/>
        <v>0</v>
      </c>
      <c r="AR21" s="276">
        <f t="shared" si="16"/>
        <v>0</v>
      </c>
      <c r="AS21" s="103">
        <f t="shared" si="1"/>
        <v>6.0000000000000005E-2</v>
      </c>
      <c r="AT21" s="104">
        <f t="shared" si="1"/>
        <v>1.8320181818181822</v>
      </c>
      <c r="AU21" s="56" t="s">
        <v>155</v>
      </c>
      <c r="AV21" s="56">
        <f t="shared" si="20"/>
        <v>0</v>
      </c>
    </row>
    <row r="22" spans="1:48" ht="15" customHeight="1" x14ac:dyDescent="0.45">
      <c r="A22" s="73"/>
      <c r="B22" s="113" t="s">
        <v>174</v>
      </c>
      <c r="C22" s="249">
        <v>9</v>
      </c>
      <c r="D22" s="108" t="s">
        <v>175</v>
      </c>
      <c r="E22" s="109" t="s">
        <v>176</v>
      </c>
      <c r="F22" s="110" t="s">
        <v>177</v>
      </c>
      <c r="G22" s="210"/>
      <c r="H22" s="207">
        <f t="shared" si="17"/>
        <v>0</v>
      </c>
      <c r="I22" s="207"/>
      <c r="J22" s="207"/>
      <c r="K22" s="80">
        <f t="shared" si="18"/>
        <v>0</v>
      </c>
      <c r="L22" s="270">
        <f t="shared" si="18"/>
        <v>0</v>
      </c>
      <c r="M22" s="492">
        <v>0</v>
      </c>
      <c r="N22" s="492">
        <f t="shared" si="2"/>
        <v>0</v>
      </c>
      <c r="O22" s="492">
        <v>0.01</v>
      </c>
      <c r="P22" s="492">
        <f t="shared" si="3"/>
        <v>0.30533636363636368</v>
      </c>
      <c r="Q22" s="492">
        <v>0.01</v>
      </c>
      <c r="R22" s="492">
        <f t="shared" si="4"/>
        <v>0.30533636363636368</v>
      </c>
      <c r="S22" s="492">
        <v>0.01</v>
      </c>
      <c r="T22" s="492">
        <f t="shared" si="5"/>
        <v>0.30533636363636368</v>
      </c>
      <c r="U22" s="492">
        <v>0.01</v>
      </c>
      <c r="V22" s="492">
        <f t="shared" si="6"/>
        <v>0.30533636363636368</v>
      </c>
      <c r="W22" s="492">
        <v>0.01</v>
      </c>
      <c r="X22" s="492">
        <f t="shared" si="7"/>
        <v>0.30533636363636368</v>
      </c>
      <c r="Y22" s="99">
        <f t="shared" si="8"/>
        <v>0.05</v>
      </c>
      <c r="Z22" s="275">
        <f t="shared" si="8"/>
        <v>1.5266818181818185</v>
      </c>
      <c r="AA22" s="97"/>
      <c r="AB22" s="492">
        <f t="shared" si="9"/>
        <v>0</v>
      </c>
      <c r="AC22" s="97"/>
      <c r="AD22" s="492">
        <f t="shared" si="10"/>
        <v>0</v>
      </c>
      <c r="AE22" s="97"/>
      <c r="AF22" s="492">
        <f t="shared" si="11"/>
        <v>0</v>
      </c>
      <c r="AG22" s="97"/>
      <c r="AH22" s="492">
        <f t="shared" si="12"/>
        <v>0</v>
      </c>
      <c r="AI22" s="97"/>
      <c r="AJ22" s="492">
        <f t="shared" si="13"/>
        <v>0</v>
      </c>
      <c r="AK22" s="207"/>
      <c r="AL22" s="492">
        <f t="shared" si="14"/>
        <v>0</v>
      </c>
      <c r="AM22" s="99">
        <f t="shared" si="0"/>
        <v>0</v>
      </c>
      <c r="AN22" s="100">
        <f t="shared" si="0"/>
        <v>0</v>
      </c>
      <c r="AO22" s="277">
        <v>0.5</v>
      </c>
      <c r="AP22" s="112">
        <f t="shared" si="15"/>
        <v>45.75</v>
      </c>
      <c r="AQ22" s="99">
        <f t="shared" si="19"/>
        <v>0.5</v>
      </c>
      <c r="AR22" s="276">
        <f t="shared" si="16"/>
        <v>45.75</v>
      </c>
      <c r="AS22" s="103">
        <f t="shared" si="1"/>
        <v>0.55000000000000004</v>
      </c>
      <c r="AT22" s="104">
        <f t="shared" si="1"/>
        <v>47.276681818181821</v>
      </c>
      <c r="AU22" s="56" t="s">
        <v>155</v>
      </c>
      <c r="AV22" s="56">
        <f t="shared" si="20"/>
        <v>0</v>
      </c>
    </row>
    <row r="23" spans="1:48" ht="15" customHeight="1" x14ac:dyDescent="0.45">
      <c r="A23" s="73"/>
      <c r="B23" s="90" t="s">
        <v>178</v>
      </c>
      <c r="C23" s="91">
        <v>10</v>
      </c>
      <c r="D23" s="108" t="s">
        <v>179</v>
      </c>
      <c r="E23" s="109" t="s">
        <v>180</v>
      </c>
      <c r="F23" s="110" t="s">
        <v>162</v>
      </c>
      <c r="G23" s="210"/>
      <c r="H23" s="207">
        <f t="shared" si="17"/>
        <v>0</v>
      </c>
      <c r="I23" s="207"/>
      <c r="J23" s="207"/>
      <c r="K23" s="80">
        <f t="shared" si="18"/>
        <v>0</v>
      </c>
      <c r="L23" s="270">
        <f t="shared" si="18"/>
        <v>0</v>
      </c>
      <c r="M23" s="492">
        <v>0.02</v>
      </c>
      <c r="N23" s="492">
        <f t="shared" si="2"/>
        <v>0.61067272727272737</v>
      </c>
      <c r="O23" s="492">
        <v>0.01</v>
      </c>
      <c r="P23" s="492">
        <f t="shared" si="3"/>
        <v>0.30533636363636368</v>
      </c>
      <c r="Q23" s="492">
        <v>0.01</v>
      </c>
      <c r="R23" s="492">
        <f t="shared" si="4"/>
        <v>0.30533636363636368</v>
      </c>
      <c r="S23" s="492">
        <v>0.01</v>
      </c>
      <c r="T23" s="492">
        <f t="shared" si="5"/>
        <v>0.30533636363636368</v>
      </c>
      <c r="U23" s="492">
        <v>0.01</v>
      </c>
      <c r="V23" s="492">
        <f t="shared" si="6"/>
        <v>0.30533636363636368</v>
      </c>
      <c r="W23" s="492">
        <v>0.01</v>
      </c>
      <c r="X23" s="492">
        <f t="shared" si="7"/>
        <v>0.30533636363636368</v>
      </c>
      <c r="Y23" s="99">
        <f t="shared" si="8"/>
        <v>7.0000000000000007E-2</v>
      </c>
      <c r="Z23" s="275">
        <f t="shared" si="8"/>
        <v>2.1373545454545457</v>
      </c>
      <c r="AA23" s="97"/>
      <c r="AB23" s="492">
        <f t="shared" si="9"/>
        <v>0</v>
      </c>
      <c r="AC23" s="97"/>
      <c r="AD23" s="492">
        <f t="shared" si="10"/>
        <v>0</v>
      </c>
      <c r="AE23" s="97"/>
      <c r="AF23" s="492">
        <f t="shared" si="11"/>
        <v>0</v>
      </c>
      <c r="AG23" s="97"/>
      <c r="AH23" s="492">
        <f t="shared" si="12"/>
        <v>0</v>
      </c>
      <c r="AI23" s="97"/>
      <c r="AJ23" s="492">
        <f t="shared" si="13"/>
        <v>0</v>
      </c>
      <c r="AK23" s="207"/>
      <c r="AL23" s="492">
        <f t="shared" si="14"/>
        <v>0</v>
      </c>
      <c r="AM23" s="99">
        <f t="shared" si="0"/>
        <v>0</v>
      </c>
      <c r="AN23" s="100">
        <f t="shared" si="0"/>
        <v>0</v>
      </c>
      <c r="AO23" s="277">
        <v>0.5</v>
      </c>
      <c r="AP23" s="112">
        <f t="shared" si="15"/>
        <v>45.75</v>
      </c>
      <c r="AQ23" s="99">
        <f t="shared" si="19"/>
        <v>0.5</v>
      </c>
      <c r="AR23" s="276">
        <f t="shared" si="16"/>
        <v>45.75</v>
      </c>
      <c r="AS23" s="103">
        <f t="shared" si="1"/>
        <v>0.57000000000000006</v>
      </c>
      <c r="AT23" s="104">
        <f t="shared" si="1"/>
        <v>47.887354545454542</v>
      </c>
      <c r="AU23" s="56" t="s">
        <v>155</v>
      </c>
      <c r="AV23" s="56">
        <f t="shared" si="20"/>
        <v>0</v>
      </c>
    </row>
    <row r="24" spans="1:48" ht="15" customHeight="1" thickBot="1" x14ac:dyDescent="0.5">
      <c r="A24" s="73"/>
      <c r="B24" s="90"/>
      <c r="C24" s="91">
        <v>11</v>
      </c>
      <c r="D24" s="115" t="s">
        <v>181</v>
      </c>
      <c r="E24" s="116" t="s">
        <v>182</v>
      </c>
      <c r="F24" s="117" t="s">
        <v>177</v>
      </c>
      <c r="G24" s="210"/>
      <c r="H24" s="207">
        <f t="shared" si="17"/>
        <v>0</v>
      </c>
      <c r="I24" s="207"/>
      <c r="J24" s="207"/>
      <c r="K24" s="80">
        <f t="shared" si="18"/>
        <v>0</v>
      </c>
      <c r="L24" s="270">
        <f t="shared" si="18"/>
        <v>0</v>
      </c>
      <c r="M24" s="492">
        <v>0.01</v>
      </c>
      <c r="N24" s="492">
        <f t="shared" si="2"/>
        <v>0.30533636363636368</v>
      </c>
      <c r="O24" s="492">
        <v>0.01</v>
      </c>
      <c r="P24" s="492">
        <f t="shared" si="3"/>
        <v>0.30533636363636368</v>
      </c>
      <c r="Q24" s="492">
        <v>0.01</v>
      </c>
      <c r="R24" s="492">
        <f t="shared" si="4"/>
        <v>0.30533636363636368</v>
      </c>
      <c r="S24" s="492">
        <v>0.01</v>
      </c>
      <c r="T24" s="492">
        <f t="shared" si="5"/>
        <v>0.30533636363636368</v>
      </c>
      <c r="U24" s="492">
        <v>0.01</v>
      </c>
      <c r="V24" s="492">
        <f t="shared" si="6"/>
        <v>0.30533636363636368</v>
      </c>
      <c r="W24" s="492">
        <v>0.01</v>
      </c>
      <c r="X24" s="492">
        <f t="shared" si="7"/>
        <v>0.30533636363636368</v>
      </c>
      <c r="Y24" s="99">
        <f t="shared" si="8"/>
        <v>6.0000000000000005E-2</v>
      </c>
      <c r="Z24" s="275">
        <f t="shared" si="8"/>
        <v>1.8320181818181822</v>
      </c>
      <c r="AA24" s="97"/>
      <c r="AB24" s="492">
        <f t="shared" si="9"/>
        <v>0</v>
      </c>
      <c r="AC24" s="97"/>
      <c r="AD24" s="492">
        <f t="shared" si="10"/>
        <v>0</v>
      </c>
      <c r="AE24" s="97"/>
      <c r="AF24" s="492">
        <f t="shared" si="11"/>
        <v>0</v>
      </c>
      <c r="AG24" s="97"/>
      <c r="AH24" s="492">
        <f t="shared" si="12"/>
        <v>0</v>
      </c>
      <c r="AI24" s="97"/>
      <c r="AJ24" s="492">
        <f t="shared" si="13"/>
        <v>0</v>
      </c>
      <c r="AK24" s="207"/>
      <c r="AL24" s="492">
        <f t="shared" si="14"/>
        <v>0</v>
      </c>
      <c r="AM24" s="99">
        <f t="shared" si="0"/>
        <v>0</v>
      </c>
      <c r="AN24" s="100">
        <f t="shared" si="0"/>
        <v>0</v>
      </c>
      <c r="AO24" s="277"/>
      <c r="AP24" s="112">
        <f t="shared" si="15"/>
        <v>0</v>
      </c>
      <c r="AQ24" s="99">
        <f t="shared" si="19"/>
        <v>0</v>
      </c>
      <c r="AR24" s="276">
        <f t="shared" si="16"/>
        <v>0</v>
      </c>
      <c r="AS24" s="103">
        <f t="shared" si="1"/>
        <v>6.0000000000000005E-2</v>
      </c>
      <c r="AT24" s="104">
        <f t="shared" si="1"/>
        <v>1.8320181818181822</v>
      </c>
      <c r="AU24" s="130" t="s">
        <v>155</v>
      </c>
      <c r="AV24" s="56">
        <f t="shared" si="20"/>
        <v>0</v>
      </c>
    </row>
    <row r="25" spans="1:48" ht="15" customHeight="1" thickTop="1" x14ac:dyDescent="0.45">
      <c r="A25" s="131" t="s">
        <v>183</v>
      </c>
      <c r="B25" s="132" t="s">
        <v>184</v>
      </c>
      <c r="C25" s="189">
        <v>12</v>
      </c>
      <c r="D25" s="134" t="s">
        <v>185</v>
      </c>
      <c r="E25" s="135" t="s">
        <v>548</v>
      </c>
      <c r="F25" s="136" t="s">
        <v>187</v>
      </c>
      <c r="G25" s="210"/>
      <c r="H25" s="207">
        <f t="shared" si="17"/>
        <v>0</v>
      </c>
      <c r="I25" s="207"/>
      <c r="J25" s="207"/>
      <c r="K25" s="80">
        <f t="shared" si="18"/>
        <v>0</v>
      </c>
      <c r="L25" s="270">
        <f t="shared" si="18"/>
        <v>0</v>
      </c>
      <c r="M25" s="492">
        <v>0</v>
      </c>
      <c r="N25" s="492">
        <f t="shared" si="2"/>
        <v>0</v>
      </c>
      <c r="O25" s="492"/>
      <c r="P25" s="492">
        <f t="shared" si="3"/>
        <v>0</v>
      </c>
      <c r="Q25" s="492"/>
      <c r="R25" s="492">
        <f t="shared" si="4"/>
        <v>0</v>
      </c>
      <c r="S25" s="492"/>
      <c r="T25" s="492">
        <f t="shared" si="5"/>
        <v>0</v>
      </c>
      <c r="U25" s="492"/>
      <c r="V25" s="492">
        <f t="shared" si="6"/>
        <v>0</v>
      </c>
      <c r="W25" s="492"/>
      <c r="X25" s="492">
        <f t="shared" si="7"/>
        <v>0</v>
      </c>
      <c r="Y25" s="99">
        <f t="shared" si="8"/>
        <v>0</v>
      </c>
      <c r="Z25" s="275">
        <f t="shared" si="8"/>
        <v>0</v>
      </c>
      <c r="AA25" s="97"/>
      <c r="AB25" s="492">
        <f t="shared" si="9"/>
        <v>0</v>
      </c>
      <c r="AC25" s="97"/>
      <c r="AD25" s="492">
        <f t="shared" si="10"/>
        <v>0</v>
      </c>
      <c r="AE25" s="97"/>
      <c r="AF25" s="492">
        <f t="shared" si="11"/>
        <v>0</v>
      </c>
      <c r="AG25" s="97"/>
      <c r="AH25" s="492">
        <f t="shared" si="12"/>
        <v>0</v>
      </c>
      <c r="AI25" s="97"/>
      <c r="AJ25" s="492">
        <f t="shared" si="13"/>
        <v>0</v>
      </c>
      <c r="AK25" s="207">
        <v>0.01</v>
      </c>
      <c r="AL25" s="492">
        <f t="shared" si="14"/>
        <v>0.30533636363636368</v>
      </c>
      <c r="AM25" s="99">
        <f t="shared" si="0"/>
        <v>0.01</v>
      </c>
      <c r="AN25" s="100">
        <f t="shared" si="0"/>
        <v>0.30533636363636368</v>
      </c>
      <c r="AO25" s="277"/>
      <c r="AP25" s="112">
        <f t="shared" si="15"/>
        <v>0</v>
      </c>
      <c r="AQ25" s="99">
        <f t="shared" si="19"/>
        <v>0</v>
      </c>
      <c r="AR25" s="276">
        <f t="shared" si="16"/>
        <v>0</v>
      </c>
      <c r="AS25" s="103">
        <f t="shared" si="1"/>
        <v>0.01</v>
      </c>
      <c r="AT25" s="104">
        <f t="shared" si="1"/>
        <v>0.30533636363636368</v>
      </c>
      <c r="AU25" s="149" t="s">
        <v>156</v>
      </c>
      <c r="AV25" s="56">
        <f t="shared" si="20"/>
        <v>0.30533636363636368</v>
      </c>
    </row>
    <row r="26" spans="1:48" ht="15" customHeight="1" x14ac:dyDescent="0.45">
      <c r="A26" s="73"/>
      <c r="B26" s="90"/>
      <c r="C26" s="105">
        <v>13</v>
      </c>
      <c r="D26" s="108" t="s">
        <v>188</v>
      </c>
      <c r="E26" s="519" t="s">
        <v>549</v>
      </c>
      <c r="F26" s="110" t="s">
        <v>187</v>
      </c>
      <c r="G26" s="210"/>
      <c r="H26" s="207">
        <f t="shared" si="17"/>
        <v>0</v>
      </c>
      <c r="I26" s="207"/>
      <c r="J26" s="207"/>
      <c r="K26" s="80">
        <f t="shared" si="18"/>
        <v>0</v>
      </c>
      <c r="L26" s="270">
        <f t="shared" si="18"/>
        <v>0</v>
      </c>
      <c r="M26" s="492"/>
      <c r="N26" s="492">
        <f t="shared" si="2"/>
        <v>0</v>
      </c>
      <c r="O26" s="492"/>
      <c r="P26" s="492">
        <f t="shared" si="3"/>
        <v>0</v>
      </c>
      <c r="Q26" s="492"/>
      <c r="R26" s="492">
        <f t="shared" si="4"/>
        <v>0</v>
      </c>
      <c r="S26" s="492"/>
      <c r="T26" s="492">
        <f t="shared" si="5"/>
        <v>0</v>
      </c>
      <c r="U26" s="492"/>
      <c r="V26" s="492">
        <f t="shared" si="6"/>
        <v>0</v>
      </c>
      <c r="W26" s="492"/>
      <c r="X26" s="492">
        <f t="shared" si="7"/>
        <v>0</v>
      </c>
      <c r="Y26" s="99">
        <f t="shared" si="8"/>
        <v>0</v>
      </c>
      <c r="Z26" s="275">
        <f t="shared" si="8"/>
        <v>0</v>
      </c>
      <c r="AA26" s="210">
        <v>0.01</v>
      </c>
      <c r="AB26" s="493">
        <f t="shared" si="9"/>
        <v>0.30533636363636368</v>
      </c>
      <c r="AC26" s="210">
        <v>0.01</v>
      </c>
      <c r="AD26" s="493">
        <f t="shared" si="10"/>
        <v>0.30533636363636368</v>
      </c>
      <c r="AE26" s="210">
        <v>0.01</v>
      </c>
      <c r="AF26" s="493">
        <f t="shared" si="11"/>
        <v>0.30533636363636368</v>
      </c>
      <c r="AG26" s="210">
        <v>0.01</v>
      </c>
      <c r="AH26" s="492">
        <f t="shared" si="12"/>
        <v>0.30533636363636368</v>
      </c>
      <c r="AI26" s="97"/>
      <c r="AJ26" s="492">
        <f t="shared" si="13"/>
        <v>0</v>
      </c>
      <c r="AK26" s="207">
        <v>0.01</v>
      </c>
      <c r="AL26" s="492">
        <f t="shared" si="14"/>
        <v>0.30533636363636368</v>
      </c>
      <c r="AM26" s="99">
        <f t="shared" si="0"/>
        <v>0.05</v>
      </c>
      <c r="AN26" s="100">
        <f t="shared" si="0"/>
        <v>1.5266818181818185</v>
      </c>
      <c r="AO26" s="277"/>
      <c r="AP26" s="112">
        <f t="shared" si="15"/>
        <v>0</v>
      </c>
      <c r="AQ26" s="99">
        <f t="shared" si="19"/>
        <v>0</v>
      </c>
      <c r="AR26" s="276">
        <f t="shared" si="16"/>
        <v>0</v>
      </c>
      <c r="AS26" s="103">
        <f t="shared" si="1"/>
        <v>0.05</v>
      </c>
      <c r="AT26" s="104">
        <f t="shared" si="1"/>
        <v>1.5266818181818185</v>
      </c>
      <c r="AU26" s="56" t="s">
        <v>190</v>
      </c>
      <c r="AV26" s="56">
        <f t="shared" si="20"/>
        <v>1.5266818181818185</v>
      </c>
    </row>
    <row r="27" spans="1:48" ht="15" customHeight="1" x14ac:dyDescent="0.45">
      <c r="A27" s="73"/>
      <c r="B27" s="90"/>
      <c r="C27" s="105">
        <v>14</v>
      </c>
      <c r="D27" s="108" t="s">
        <v>191</v>
      </c>
      <c r="E27" s="519" t="s">
        <v>550</v>
      </c>
      <c r="F27" s="110" t="s">
        <v>162</v>
      </c>
      <c r="G27" s="210"/>
      <c r="H27" s="207">
        <f t="shared" si="17"/>
        <v>0</v>
      </c>
      <c r="I27" s="207"/>
      <c r="J27" s="207"/>
      <c r="K27" s="80">
        <f t="shared" si="18"/>
        <v>0</v>
      </c>
      <c r="L27" s="270">
        <f t="shared" si="18"/>
        <v>0</v>
      </c>
      <c r="M27" s="492">
        <v>0.01</v>
      </c>
      <c r="N27" s="492">
        <f t="shared" si="2"/>
        <v>0.30533636363636368</v>
      </c>
      <c r="O27" s="492"/>
      <c r="P27" s="492">
        <f t="shared" si="3"/>
        <v>0</v>
      </c>
      <c r="Q27" s="492"/>
      <c r="R27" s="492">
        <f t="shared" si="4"/>
        <v>0</v>
      </c>
      <c r="S27" s="492"/>
      <c r="T27" s="492">
        <f t="shared" si="5"/>
        <v>0</v>
      </c>
      <c r="U27" s="492"/>
      <c r="V27" s="492">
        <f t="shared" si="6"/>
        <v>0</v>
      </c>
      <c r="W27" s="492"/>
      <c r="X27" s="492">
        <f t="shared" si="7"/>
        <v>0</v>
      </c>
      <c r="Y27" s="99">
        <f t="shared" si="8"/>
        <v>0.01</v>
      </c>
      <c r="Z27" s="275">
        <f t="shared" si="8"/>
        <v>0.30533636363636368</v>
      </c>
      <c r="AA27" s="210">
        <v>0.01</v>
      </c>
      <c r="AB27" s="493">
        <f t="shared" si="9"/>
        <v>0.30533636363636368</v>
      </c>
      <c r="AC27" s="210">
        <v>0.01</v>
      </c>
      <c r="AD27" s="493">
        <f t="shared" si="10"/>
        <v>0.30533636363636368</v>
      </c>
      <c r="AE27" s="210">
        <v>0.01</v>
      </c>
      <c r="AF27" s="493">
        <f t="shared" si="11"/>
        <v>0.30533636363636368</v>
      </c>
      <c r="AG27" s="210">
        <v>0.01</v>
      </c>
      <c r="AH27" s="492">
        <f t="shared" si="12"/>
        <v>0.30533636363636368</v>
      </c>
      <c r="AI27" s="97"/>
      <c r="AJ27" s="492">
        <f t="shared" si="13"/>
        <v>0</v>
      </c>
      <c r="AK27" s="207">
        <v>0.01</v>
      </c>
      <c r="AL27" s="492">
        <f t="shared" si="14"/>
        <v>0.30533636363636368</v>
      </c>
      <c r="AM27" s="99">
        <f t="shared" si="0"/>
        <v>0.05</v>
      </c>
      <c r="AN27" s="100">
        <f t="shared" si="0"/>
        <v>1.5266818181818185</v>
      </c>
      <c r="AO27" s="277"/>
      <c r="AP27" s="112">
        <f t="shared" si="15"/>
        <v>0</v>
      </c>
      <c r="AQ27" s="99">
        <f t="shared" si="19"/>
        <v>0</v>
      </c>
      <c r="AR27" s="276">
        <f t="shared" si="16"/>
        <v>0</v>
      </c>
      <c r="AS27" s="103">
        <f t="shared" si="1"/>
        <v>6.0000000000000005E-2</v>
      </c>
      <c r="AT27" s="104">
        <f t="shared" si="1"/>
        <v>1.8320181818181822</v>
      </c>
      <c r="AU27" s="56" t="s">
        <v>190</v>
      </c>
      <c r="AV27" s="56">
        <f t="shared" si="20"/>
        <v>1.8320181818181822</v>
      </c>
    </row>
    <row r="28" spans="1:48" ht="15" customHeight="1" x14ac:dyDescent="0.45">
      <c r="A28" s="73"/>
      <c r="B28" s="90"/>
      <c r="C28" s="91">
        <v>15</v>
      </c>
      <c r="D28" s="108" t="s">
        <v>193</v>
      </c>
      <c r="E28" s="109" t="s">
        <v>194</v>
      </c>
      <c r="F28" s="110" t="s">
        <v>187</v>
      </c>
      <c r="G28" s="93"/>
      <c r="H28" s="94">
        <f t="shared" si="17"/>
        <v>0</v>
      </c>
      <c r="I28" s="94"/>
      <c r="J28" s="94"/>
      <c r="K28" s="80">
        <f t="shared" si="18"/>
        <v>0</v>
      </c>
      <c r="L28" s="270">
        <f t="shared" si="18"/>
        <v>0</v>
      </c>
      <c r="M28" s="112">
        <v>0.01</v>
      </c>
      <c r="N28" s="112">
        <f t="shared" si="2"/>
        <v>0.30533636363636368</v>
      </c>
      <c r="O28" s="112"/>
      <c r="P28" s="112">
        <f t="shared" si="3"/>
        <v>0</v>
      </c>
      <c r="Q28" s="112"/>
      <c r="R28" s="112">
        <f t="shared" si="4"/>
        <v>0</v>
      </c>
      <c r="S28" s="112"/>
      <c r="T28" s="112">
        <f t="shared" si="5"/>
        <v>0</v>
      </c>
      <c r="U28" s="112"/>
      <c r="V28" s="112">
        <f t="shared" si="6"/>
        <v>0</v>
      </c>
      <c r="W28" s="112"/>
      <c r="X28" s="112">
        <f t="shared" si="7"/>
        <v>0</v>
      </c>
      <c r="Y28" s="99">
        <f t="shared" si="8"/>
        <v>0.01</v>
      </c>
      <c r="Z28" s="275">
        <f t="shared" si="8"/>
        <v>0.30533636363636368</v>
      </c>
      <c r="AA28" s="97"/>
      <c r="AB28" s="492">
        <f t="shared" si="9"/>
        <v>0</v>
      </c>
      <c r="AC28" s="97"/>
      <c r="AD28" s="492">
        <f t="shared" si="10"/>
        <v>0</v>
      </c>
      <c r="AE28" s="97"/>
      <c r="AF28" s="492">
        <f t="shared" si="11"/>
        <v>0</v>
      </c>
      <c r="AG28" s="97"/>
      <c r="AH28" s="492">
        <f t="shared" si="12"/>
        <v>0</v>
      </c>
      <c r="AI28" s="97"/>
      <c r="AJ28" s="492">
        <f t="shared" si="13"/>
        <v>0</v>
      </c>
      <c r="AK28" s="94">
        <v>7.0000000000000007E-2</v>
      </c>
      <c r="AL28" s="492">
        <f t="shared" si="14"/>
        <v>2.1373545454545457</v>
      </c>
      <c r="AM28" s="99">
        <f t="shared" si="0"/>
        <v>7.0000000000000007E-2</v>
      </c>
      <c r="AN28" s="100">
        <f t="shared" si="0"/>
        <v>2.1373545454545457</v>
      </c>
      <c r="AO28" s="277"/>
      <c r="AP28" s="112">
        <f t="shared" si="15"/>
        <v>0</v>
      </c>
      <c r="AQ28" s="99">
        <f t="shared" si="19"/>
        <v>0</v>
      </c>
      <c r="AR28" s="276">
        <f t="shared" si="16"/>
        <v>0</v>
      </c>
      <c r="AS28" s="103">
        <f t="shared" si="1"/>
        <v>0.08</v>
      </c>
      <c r="AT28" s="104">
        <f t="shared" si="1"/>
        <v>2.4426909090909095</v>
      </c>
      <c r="AU28" s="56" t="s">
        <v>155</v>
      </c>
      <c r="AV28" s="56">
        <f t="shared" si="20"/>
        <v>0</v>
      </c>
    </row>
    <row r="29" spans="1:48" ht="15" customHeight="1" thickBot="1" x14ac:dyDescent="0.5">
      <c r="A29" s="150"/>
      <c r="B29" s="151"/>
      <c r="C29" s="520">
        <v>16</v>
      </c>
      <c r="D29" s="153" t="s">
        <v>195</v>
      </c>
      <c r="E29" s="154" t="s">
        <v>196</v>
      </c>
      <c r="F29" s="155" t="s">
        <v>187</v>
      </c>
      <c r="G29" s="210"/>
      <c r="H29" s="207">
        <f t="shared" si="17"/>
        <v>0</v>
      </c>
      <c r="I29" s="207"/>
      <c r="J29" s="207"/>
      <c r="K29" s="80">
        <f t="shared" si="18"/>
        <v>0</v>
      </c>
      <c r="L29" s="270">
        <f t="shared" si="18"/>
        <v>0</v>
      </c>
      <c r="M29" s="492">
        <v>0.01</v>
      </c>
      <c r="N29" s="492">
        <f t="shared" si="2"/>
        <v>0.30533636363636368</v>
      </c>
      <c r="O29" s="492"/>
      <c r="P29" s="492">
        <f t="shared" si="3"/>
        <v>0</v>
      </c>
      <c r="Q29" s="492"/>
      <c r="R29" s="492">
        <f t="shared" si="4"/>
        <v>0</v>
      </c>
      <c r="S29" s="492"/>
      <c r="T29" s="492">
        <f t="shared" si="5"/>
        <v>0</v>
      </c>
      <c r="U29" s="492"/>
      <c r="V29" s="492">
        <f t="shared" si="6"/>
        <v>0</v>
      </c>
      <c r="W29" s="492"/>
      <c r="X29" s="492">
        <f t="shared" si="7"/>
        <v>0</v>
      </c>
      <c r="Y29" s="99">
        <f t="shared" si="8"/>
        <v>0.01</v>
      </c>
      <c r="Z29" s="275">
        <f t="shared" si="8"/>
        <v>0.30533636363636368</v>
      </c>
      <c r="AA29" s="97"/>
      <c r="AB29" s="492">
        <f t="shared" si="9"/>
        <v>0</v>
      </c>
      <c r="AC29" s="97"/>
      <c r="AD29" s="492">
        <f t="shared" si="10"/>
        <v>0</v>
      </c>
      <c r="AE29" s="97"/>
      <c r="AF29" s="492">
        <f t="shared" si="11"/>
        <v>0</v>
      </c>
      <c r="AG29" s="97"/>
      <c r="AH29" s="492">
        <f t="shared" si="12"/>
        <v>0</v>
      </c>
      <c r="AI29" s="97"/>
      <c r="AJ29" s="492">
        <f t="shared" si="13"/>
        <v>0</v>
      </c>
      <c r="AK29" s="207">
        <v>0.01</v>
      </c>
      <c r="AL29" s="492">
        <f t="shared" si="14"/>
        <v>0.30533636363636368</v>
      </c>
      <c r="AM29" s="99">
        <f t="shared" si="0"/>
        <v>0.01</v>
      </c>
      <c r="AN29" s="100">
        <f t="shared" si="0"/>
        <v>0.30533636363636368</v>
      </c>
      <c r="AO29" s="277"/>
      <c r="AP29" s="112">
        <f t="shared" si="15"/>
        <v>0</v>
      </c>
      <c r="AQ29" s="99">
        <f t="shared" si="19"/>
        <v>0</v>
      </c>
      <c r="AR29" s="276">
        <f t="shared" si="16"/>
        <v>0</v>
      </c>
      <c r="AS29" s="103">
        <f t="shared" si="1"/>
        <v>0.02</v>
      </c>
      <c r="AT29" s="104">
        <f t="shared" si="1"/>
        <v>0.61067272727272737</v>
      </c>
      <c r="AU29" s="168" t="s">
        <v>190</v>
      </c>
      <c r="AV29" s="56">
        <f t="shared" si="20"/>
        <v>0.61067272727272737</v>
      </c>
    </row>
    <row r="30" spans="1:48" ht="15" customHeight="1" thickTop="1" x14ac:dyDescent="0.45">
      <c r="A30" s="73" t="s">
        <v>197</v>
      </c>
      <c r="B30" s="90" t="s">
        <v>198</v>
      </c>
      <c r="C30" s="105">
        <v>17</v>
      </c>
      <c r="D30" s="108" t="s">
        <v>199</v>
      </c>
      <c r="E30" s="109" t="s">
        <v>200</v>
      </c>
      <c r="F30" s="110" t="s">
        <v>165</v>
      </c>
      <c r="G30" s="210">
        <v>0.05</v>
      </c>
      <c r="H30" s="207">
        <f t="shared" si="17"/>
        <v>9.0374999999999996</v>
      </c>
      <c r="I30" s="207"/>
      <c r="J30" s="207"/>
      <c r="K30" s="80">
        <f t="shared" si="18"/>
        <v>0.05</v>
      </c>
      <c r="L30" s="270">
        <f t="shared" si="18"/>
        <v>9.0374999999999996</v>
      </c>
      <c r="M30" s="492">
        <v>0.02</v>
      </c>
      <c r="N30" s="492">
        <f t="shared" si="2"/>
        <v>0.61067272727272737</v>
      </c>
      <c r="O30" s="492"/>
      <c r="P30" s="492">
        <f t="shared" si="3"/>
        <v>0</v>
      </c>
      <c r="Q30" s="492"/>
      <c r="R30" s="492">
        <f t="shared" si="4"/>
        <v>0</v>
      </c>
      <c r="S30" s="492"/>
      <c r="T30" s="492">
        <f t="shared" si="5"/>
        <v>0</v>
      </c>
      <c r="U30" s="492"/>
      <c r="V30" s="492">
        <f t="shared" si="6"/>
        <v>0</v>
      </c>
      <c r="W30" s="492"/>
      <c r="X30" s="492">
        <f t="shared" si="7"/>
        <v>0</v>
      </c>
      <c r="Y30" s="99">
        <f t="shared" si="8"/>
        <v>0.02</v>
      </c>
      <c r="Z30" s="275">
        <f t="shared" si="8"/>
        <v>0.61067272727272737</v>
      </c>
      <c r="AA30" s="97"/>
      <c r="AB30" s="492">
        <f t="shared" si="9"/>
        <v>0</v>
      </c>
      <c r="AC30" s="97"/>
      <c r="AD30" s="492">
        <f t="shared" si="10"/>
        <v>0</v>
      </c>
      <c r="AE30" s="97"/>
      <c r="AF30" s="492">
        <f t="shared" si="11"/>
        <v>0</v>
      </c>
      <c r="AG30" s="97"/>
      <c r="AH30" s="492">
        <f t="shared" si="12"/>
        <v>0</v>
      </c>
      <c r="AI30" s="97"/>
      <c r="AJ30" s="492">
        <f t="shared" si="13"/>
        <v>0</v>
      </c>
      <c r="AK30" s="207"/>
      <c r="AL30" s="492">
        <f t="shared" si="14"/>
        <v>0</v>
      </c>
      <c r="AM30" s="99">
        <f t="shared" si="0"/>
        <v>0</v>
      </c>
      <c r="AN30" s="100">
        <f t="shared" si="0"/>
        <v>0</v>
      </c>
      <c r="AO30" s="277"/>
      <c r="AP30" s="112">
        <f t="shared" si="15"/>
        <v>0</v>
      </c>
      <c r="AQ30" s="99">
        <f t="shared" si="19"/>
        <v>0</v>
      </c>
      <c r="AR30" s="276">
        <f t="shared" si="16"/>
        <v>0</v>
      </c>
      <c r="AS30" s="103">
        <f t="shared" si="1"/>
        <v>7.0000000000000007E-2</v>
      </c>
      <c r="AT30" s="104">
        <f t="shared" si="1"/>
        <v>9.6481727272727262</v>
      </c>
      <c r="AU30" s="171" t="s">
        <v>155</v>
      </c>
      <c r="AV30" s="56">
        <f t="shared" si="20"/>
        <v>0</v>
      </c>
    </row>
    <row r="31" spans="1:48" ht="15" customHeight="1" x14ac:dyDescent="0.45">
      <c r="A31" s="73"/>
      <c r="B31" s="90"/>
      <c r="C31" s="105">
        <v>18</v>
      </c>
      <c r="D31" s="172" t="s">
        <v>201</v>
      </c>
      <c r="E31" s="173" t="s">
        <v>202</v>
      </c>
      <c r="F31" s="174" t="s">
        <v>203</v>
      </c>
      <c r="G31" s="210"/>
      <c r="H31" s="207">
        <f t="shared" si="17"/>
        <v>0</v>
      </c>
      <c r="I31" s="207"/>
      <c r="J31" s="207"/>
      <c r="K31" s="80">
        <f t="shared" si="18"/>
        <v>0</v>
      </c>
      <c r="L31" s="270">
        <f t="shared" si="18"/>
        <v>0</v>
      </c>
      <c r="M31" s="492">
        <v>0.01</v>
      </c>
      <c r="N31" s="492">
        <f t="shared" si="2"/>
        <v>0.30533636363636368</v>
      </c>
      <c r="O31" s="492">
        <v>0.01</v>
      </c>
      <c r="P31" s="492">
        <f t="shared" si="3"/>
        <v>0.30533636363636368</v>
      </c>
      <c r="Q31" s="492">
        <v>0.01</v>
      </c>
      <c r="R31" s="492">
        <f t="shared" si="4"/>
        <v>0.30533636363636368</v>
      </c>
      <c r="S31" s="492">
        <v>0.01</v>
      </c>
      <c r="T31" s="492">
        <f t="shared" si="5"/>
        <v>0.30533636363636368</v>
      </c>
      <c r="U31" s="492">
        <v>0.01</v>
      </c>
      <c r="V31" s="492">
        <f t="shared" si="6"/>
        <v>0.30533636363636368</v>
      </c>
      <c r="W31" s="492">
        <v>0.01</v>
      </c>
      <c r="X31" s="492">
        <f t="shared" si="7"/>
        <v>0.30533636363636368</v>
      </c>
      <c r="Y31" s="99">
        <f t="shared" si="8"/>
        <v>6.0000000000000005E-2</v>
      </c>
      <c r="Z31" s="275">
        <f t="shared" si="8"/>
        <v>1.8320181818181822</v>
      </c>
      <c r="AA31" s="97"/>
      <c r="AB31" s="492">
        <f t="shared" si="9"/>
        <v>0</v>
      </c>
      <c r="AC31" s="97"/>
      <c r="AD31" s="492">
        <f t="shared" si="10"/>
        <v>0</v>
      </c>
      <c r="AE31" s="97"/>
      <c r="AF31" s="492">
        <f t="shared" si="11"/>
        <v>0</v>
      </c>
      <c r="AG31" s="97"/>
      <c r="AH31" s="492">
        <f t="shared" si="12"/>
        <v>0</v>
      </c>
      <c r="AI31" s="97"/>
      <c r="AJ31" s="492">
        <f t="shared" si="13"/>
        <v>0</v>
      </c>
      <c r="AK31" s="207"/>
      <c r="AL31" s="492">
        <f t="shared" si="14"/>
        <v>0</v>
      </c>
      <c r="AM31" s="99">
        <f t="shared" si="0"/>
        <v>0</v>
      </c>
      <c r="AN31" s="100">
        <f t="shared" si="0"/>
        <v>0</v>
      </c>
      <c r="AO31" s="277"/>
      <c r="AP31" s="112">
        <f t="shared" si="15"/>
        <v>0</v>
      </c>
      <c r="AQ31" s="99">
        <f t="shared" si="19"/>
        <v>0</v>
      </c>
      <c r="AR31" s="276">
        <f t="shared" si="16"/>
        <v>0</v>
      </c>
      <c r="AS31" s="103">
        <f t="shared" si="1"/>
        <v>6.0000000000000005E-2</v>
      </c>
      <c r="AT31" s="104">
        <f t="shared" si="1"/>
        <v>1.8320181818181822</v>
      </c>
      <c r="AU31" s="56" t="s">
        <v>155</v>
      </c>
      <c r="AV31" s="56">
        <f t="shared" si="20"/>
        <v>0</v>
      </c>
    </row>
    <row r="32" spans="1:48" ht="15" customHeight="1" x14ac:dyDescent="0.45">
      <c r="A32" s="73"/>
      <c r="B32" s="90"/>
      <c r="C32" s="91">
        <v>19</v>
      </c>
      <c r="D32" s="172" t="s">
        <v>204</v>
      </c>
      <c r="E32" s="173" t="s">
        <v>205</v>
      </c>
      <c r="F32" s="174" t="s">
        <v>165</v>
      </c>
      <c r="G32" s="210">
        <v>0.05</v>
      </c>
      <c r="H32" s="207">
        <f t="shared" si="17"/>
        <v>9.0374999999999996</v>
      </c>
      <c r="I32" s="207"/>
      <c r="J32" s="207"/>
      <c r="K32" s="80">
        <f t="shared" si="18"/>
        <v>0.05</v>
      </c>
      <c r="L32" s="270">
        <f t="shared" si="18"/>
        <v>9.0374999999999996</v>
      </c>
      <c r="M32" s="492">
        <v>0.01</v>
      </c>
      <c r="N32" s="492">
        <f t="shared" si="2"/>
        <v>0.30533636363636368</v>
      </c>
      <c r="O32" s="492">
        <v>0.01</v>
      </c>
      <c r="P32" s="492">
        <f t="shared" si="3"/>
        <v>0.30533636363636368</v>
      </c>
      <c r="Q32" s="492"/>
      <c r="R32" s="492">
        <f t="shared" si="4"/>
        <v>0</v>
      </c>
      <c r="S32" s="492"/>
      <c r="T32" s="492">
        <f t="shared" si="5"/>
        <v>0</v>
      </c>
      <c r="U32" s="492"/>
      <c r="V32" s="492">
        <f t="shared" si="6"/>
        <v>0</v>
      </c>
      <c r="W32" s="492"/>
      <c r="X32" s="492">
        <f t="shared" si="7"/>
        <v>0</v>
      </c>
      <c r="Y32" s="99">
        <f t="shared" si="8"/>
        <v>0.02</v>
      </c>
      <c r="Z32" s="275">
        <f t="shared" si="8"/>
        <v>0.61067272727272737</v>
      </c>
      <c r="AA32" s="97"/>
      <c r="AB32" s="492">
        <f t="shared" si="9"/>
        <v>0</v>
      </c>
      <c r="AC32" s="97"/>
      <c r="AD32" s="492">
        <f t="shared" si="10"/>
        <v>0</v>
      </c>
      <c r="AE32" s="97"/>
      <c r="AF32" s="492">
        <f t="shared" si="11"/>
        <v>0</v>
      </c>
      <c r="AG32" s="97"/>
      <c r="AH32" s="492">
        <f t="shared" si="12"/>
        <v>0</v>
      </c>
      <c r="AI32" s="97"/>
      <c r="AJ32" s="492">
        <f t="shared" si="13"/>
        <v>0</v>
      </c>
      <c r="AK32" s="207"/>
      <c r="AL32" s="492">
        <f t="shared" si="14"/>
        <v>0</v>
      </c>
      <c r="AM32" s="99">
        <f t="shared" si="0"/>
        <v>0</v>
      </c>
      <c r="AN32" s="100">
        <f t="shared" si="0"/>
        <v>0</v>
      </c>
      <c r="AO32" s="277"/>
      <c r="AP32" s="112">
        <f t="shared" si="15"/>
        <v>0</v>
      </c>
      <c r="AQ32" s="99">
        <f t="shared" si="19"/>
        <v>0</v>
      </c>
      <c r="AR32" s="276">
        <f t="shared" si="16"/>
        <v>0</v>
      </c>
      <c r="AS32" s="103">
        <f t="shared" si="1"/>
        <v>7.0000000000000007E-2</v>
      </c>
      <c r="AT32" s="104">
        <f t="shared" si="1"/>
        <v>9.6481727272727262</v>
      </c>
      <c r="AU32" s="56" t="s">
        <v>155</v>
      </c>
      <c r="AV32" s="56">
        <f t="shared" si="20"/>
        <v>0</v>
      </c>
    </row>
    <row r="33" spans="1:48" ht="15" customHeight="1" x14ac:dyDescent="0.45">
      <c r="A33" s="73"/>
      <c r="B33" s="90"/>
      <c r="C33" s="105">
        <v>20</v>
      </c>
      <c r="D33" s="172" t="s">
        <v>206</v>
      </c>
      <c r="E33" s="173" t="s">
        <v>207</v>
      </c>
      <c r="F33" s="174" t="s">
        <v>203</v>
      </c>
      <c r="G33" s="210"/>
      <c r="H33" s="207">
        <f t="shared" si="17"/>
        <v>0</v>
      </c>
      <c r="I33" s="207"/>
      <c r="J33" s="207"/>
      <c r="K33" s="80">
        <f t="shared" si="18"/>
        <v>0</v>
      </c>
      <c r="L33" s="270">
        <f t="shared" si="18"/>
        <v>0</v>
      </c>
      <c r="M33" s="492">
        <v>0</v>
      </c>
      <c r="N33" s="492">
        <f t="shared" si="2"/>
        <v>0</v>
      </c>
      <c r="O33" s="492">
        <v>0.01</v>
      </c>
      <c r="P33" s="492">
        <f t="shared" si="3"/>
        <v>0.30533636363636368</v>
      </c>
      <c r="Q33" s="492">
        <v>0.01</v>
      </c>
      <c r="R33" s="492">
        <f t="shared" si="4"/>
        <v>0.30533636363636368</v>
      </c>
      <c r="S33" s="492">
        <v>0.01</v>
      </c>
      <c r="T33" s="492">
        <f t="shared" si="5"/>
        <v>0.30533636363636368</v>
      </c>
      <c r="U33" s="492">
        <v>0.01</v>
      </c>
      <c r="V33" s="492">
        <f t="shared" si="6"/>
        <v>0.30533636363636368</v>
      </c>
      <c r="W33" s="492">
        <v>0.01</v>
      </c>
      <c r="X33" s="492">
        <f t="shared" si="7"/>
        <v>0.30533636363636368</v>
      </c>
      <c r="Y33" s="99">
        <f t="shared" si="8"/>
        <v>0.05</v>
      </c>
      <c r="Z33" s="275">
        <f t="shared" si="8"/>
        <v>1.5266818181818185</v>
      </c>
      <c r="AA33" s="97"/>
      <c r="AB33" s="492">
        <f t="shared" si="9"/>
        <v>0</v>
      </c>
      <c r="AC33" s="97"/>
      <c r="AD33" s="492">
        <f t="shared" si="10"/>
        <v>0</v>
      </c>
      <c r="AE33" s="97"/>
      <c r="AF33" s="492">
        <f t="shared" si="11"/>
        <v>0</v>
      </c>
      <c r="AG33" s="97"/>
      <c r="AH33" s="492">
        <f t="shared" si="12"/>
        <v>0</v>
      </c>
      <c r="AI33" s="97"/>
      <c r="AJ33" s="492">
        <f t="shared" si="13"/>
        <v>0</v>
      </c>
      <c r="AK33" s="207"/>
      <c r="AL33" s="492">
        <f t="shared" si="14"/>
        <v>0</v>
      </c>
      <c r="AM33" s="99">
        <f t="shared" si="0"/>
        <v>0</v>
      </c>
      <c r="AN33" s="100">
        <f t="shared" si="0"/>
        <v>0</v>
      </c>
      <c r="AO33" s="277"/>
      <c r="AP33" s="112">
        <f t="shared" si="15"/>
        <v>0</v>
      </c>
      <c r="AQ33" s="99">
        <f t="shared" si="19"/>
        <v>0</v>
      </c>
      <c r="AR33" s="276">
        <f t="shared" si="16"/>
        <v>0</v>
      </c>
      <c r="AS33" s="103">
        <f t="shared" si="1"/>
        <v>0.05</v>
      </c>
      <c r="AT33" s="104">
        <f t="shared" si="1"/>
        <v>1.5266818181818185</v>
      </c>
      <c r="AU33" s="56" t="s">
        <v>155</v>
      </c>
      <c r="AV33" s="56">
        <f t="shared" si="20"/>
        <v>0</v>
      </c>
    </row>
    <row r="34" spans="1:48" ht="15" customHeight="1" x14ac:dyDescent="0.45">
      <c r="A34" s="73"/>
      <c r="B34" s="90"/>
      <c r="C34" s="75">
        <v>21</v>
      </c>
      <c r="D34" s="172" t="s">
        <v>208</v>
      </c>
      <c r="E34" s="173" t="s">
        <v>551</v>
      </c>
      <c r="F34" s="174" t="s">
        <v>165</v>
      </c>
      <c r="G34" s="210"/>
      <c r="H34" s="207">
        <f t="shared" si="17"/>
        <v>0</v>
      </c>
      <c r="I34" s="207"/>
      <c r="J34" s="207"/>
      <c r="K34" s="80">
        <f t="shared" si="18"/>
        <v>0</v>
      </c>
      <c r="L34" s="270">
        <f t="shared" si="18"/>
        <v>0</v>
      </c>
      <c r="M34" s="492">
        <v>0.01</v>
      </c>
      <c r="N34" s="492">
        <f t="shared" si="2"/>
        <v>0.30533636363636368</v>
      </c>
      <c r="O34" s="492">
        <v>0.01</v>
      </c>
      <c r="P34" s="492">
        <f t="shared" si="3"/>
        <v>0.30533636363636368</v>
      </c>
      <c r="Q34" s="492">
        <v>0.01</v>
      </c>
      <c r="R34" s="492">
        <f t="shared" si="4"/>
        <v>0.30533636363636368</v>
      </c>
      <c r="S34" s="492">
        <v>0.01</v>
      </c>
      <c r="T34" s="492">
        <f t="shared" si="5"/>
        <v>0.30533636363636368</v>
      </c>
      <c r="U34" s="492">
        <v>0.01</v>
      </c>
      <c r="V34" s="492">
        <f t="shared" si="6"/>
        <v>0.30533636363636368</v>
      </c>
      <c r="W34" s="492">
        <v>0.01</v>
      </c>
      <c r="X34" s="492">
        <f t="shared" si="7"/>
        <v>0.30533636363636368</v>
      </c>
      <c r="Y34" s="99">
        <f t="shared" si="8"/>
        <v>6.0000000000000005E-2</v>
      </c>
      <c r="Z34" s="275">
        <f t="shared" si="8"/>
        <v>1.8320181818181822</v>
      </c>
      <c r="AA34" s="97">
        <v>0.02</v>
      </c>
      <c r="AB34" s="492">
        <f t="shared" si="9"/>
        <v>0.61067272727272737</v>
      </c>
      <c r="AC34" s="97">
        <v>0.04</v>
      </c>
      <c r="AD34" s="492">
        <f t="shared" si="10"/>
        <v>1.2213454545454547</v>
      </c>
      <c r="AE34" s="97">
        <v>0.02</v>
      </c>
      <c r="AF34" s="492">
        <f t="shared" si="11"/>
        <v>0.61067272727272737</v>
      </c>
      <c r="AG34" s="97">
        <v>0.02</v>
      </c>
      <c r="AH34" s="492">
        <f t="shared" si="12"/>
        <v>0.61067272727272737</v>
      </c>
      <c r="AI34" s="97">
        <v>0.02</v>
      </c>
      <c r="AJ34" s="492">
        <f t="shared" si="13"/>
        <v>0.61067272727272737</v>
      </c>
      <c r="AK34" s="207"/>
      <c r="AL34" s="492">
        <f t="shared" si="14"/>
        <v>0</v>
      </c>
      <c r="AM34" s="99">
        <f t="shared" si="0"/>
        <v>0.1</v>
      </c>
      <c r="AN34" s="100">
        <f t="shared" si="0"/>
        <v>3.0533636363636369</v>
      </c>
      <c r="AO34" s="277"/>
      <c r="AP34" s="112">
        <f t="shared" si="15"/>
        <v>0</v>
      </c>
      <c r="AQ34" s="99">
        <f t="shared" si="19"/>
        <v>0</v>
      </c>
      <c r="AR34" s="276">
        <f t="shared" si="16"/>
        <v>0</v>
      </c>
      <c r="AS34" s="103">
        <f t="shared" si="1"/>
        <v>0.16</v>
      </c>
      <c r="AT34" s="104">
        <f t="shared" si="1"/>
        <v>4.8853818181818189</v>
      </c>
      <c r="AU34" s="56" t="s">
        <v>155</v>
      </c>
      <c r="AV34" s="56">
        <f t="shared" si="20"/>
        <v>0</v>
      </c>
    </row>
    <row r="35" spans="1:48" ht="15" customHeight="1" x14ac:dyDescent="0.45">
      <c r="A35" s="176"/>
      <c r="B35" s="113" t="s">
        <v>210</v>
      </c>
      <c r="C35" s="91">
        <v>22</v>
      </c>
      <c r="D35" s="177" t="s">
        <v>211</v>
      </c>
      <c r="E35" s="178" t="s">
        <v>212</v>
      </c>
      <c r="F35" s="174" t="s">
        <v>203</v>
      </c>
      <c r="G35" s="210"/>
      <c r="H35" s="207">
        <f t="shared" si="17"/>
        <v>0</v>
      </c>
      <c r="I35" s="207"/>
      <c r="J35" s="207"/>
      <c r="K35" s="80">
        <f t="shared" si="18"/>
        <v>0</v>
      </c>
      <c r="L35" s="270">
        <f t="shared" si="18"/>
        <v>0</v>
      </c>
      <c r="M35" s="492">
        <v>0.01</v>
      </c>
      <c r="N35" s="492">
        <f t="shared" si="2"/>
        <v>0.30533636363636368</v>
      </c>
      <c r="O35" s="492">
        <v>0.01</v>
      </c>
      <c r="P35" s="492">
        <f t="shared" si="3"/>
        <v>0.30533636363636368</v>
      </c>
      <c r="Q35" s="492">
        <v>0.01</v>
      </c>
      <c r="R35" s="492">
        <f t="shared" si="4"/>
        <v>0.30533636363636368</v>
      </c>
      <c r="S35" s="492">
        <v>0.01</v>
      </c>
      <c r="T35" s="492">
        <f t="shared" si="5"/>
        <v>0.30533636363636368</v>
      </c>
      <c r="U35" s="492">
        <v>0.01</v>
      </c>
      <c r="V35" s="492">
        <f t="shared" si="6"/>
        <v>0.30533636363636368</v>
      </c>
      <c r="W35" s="492">
        <v>0.01</v>
      </c>
      <c r="X35" s="492">
        <f t="shared" si="7"/>
        <v>0.30533636363636368</v>
      </c>
      <c r="Y35" s="99">
        <f t="shared" si="8"/>
        <v>6.0000000000000005E-2</v>
      </c>
      <c r="Z35" s="275">
        <f t="shared" si="8"/>
        <v>1.8320181818181822</v>
      </c>
      <c r="AA35" s="97"/>
      <c r="AB35" s="492">
        <f t="shared" si="9"/>
        <v>0</v>
      </c>
      <c r="AC35" s="97"/>
      <c r="AD35" s="278">
        <f t="shared" si="10"/>
        <v>0</v>
      </c>
      <c r="AE35" s="97"/>
      <c r="AF35" s="278">
        <f t="shared" si="11"/>
        <v>0</v>
      </c>
      <c r="AG35" s="97"/>
      <c r="AH35" s="278">
        <f t="shared" si="12"/>
        <v>0</v>
      </c>
      <c r="AI35" s="97"/>
      <c r="AJ35" s="278">
        <f t="shared" si="13"/>
        <v>0</v>
      </c>
      <c r="AK35" s="207"/>
      <c r="AL35" s="278">
        <f t="shared" si="14"/>
        <v>0</v>
      </c>
      <c r="AM35" s="99">
        <f t="shared" si="0"/>
        <v>0</v>
      </c>
      <c r="AN35" s="100">
        <f t="shared" si="0"/>
        <v>0</v>
      </c>
      <c r="AO35" s="279"/>
      <c r="AP35" s="180">
        <f t="shared" si="15"/>
        <v>0</v>
      </c>
      <c r="AQ35" s="99">
        <f t="shared" si="19"/>
        <v>0</v>
      </c>
      <c r="AR35" s="276">
        <f t="shared" si="16"/>
        <v>0</v>
      </c>
      <c r="AS35" s="103">
        <f t="shared" si="1"/>
        <v>6.0000000000000005E-2</v>
      </c>
      <c r="AT35" s="104">
        <f t="shared" si="1"/>
        <v>1.8320181818181822</v>
      </c>
      <c r="AU35" s="56" t="s">
        <v>155</v>
      </c>
      <c r="AV35" s="56">
        <f t="shared" si="20"/>
        <v>0</v>
      </c>
    </row>
    <row r="36" spans="1:48" ht="15" customHeight="1" x14ac:dyDescent="0.45">
      <c r="A36" s="176"/>
      <c r="B36" s="90"/>
      <c r="C36" s="91">
        <v>23</v>
      </c>
      <c r="D36" s="177" t="s">
        <v>213</v>
      </c>
      <c r="E36" s="178" t="s">
        <v>214</v>
      </c>
      <c r="F36" s="174" t="s">
        <v>203</v>
      </c>
      <c r="G36" s="93"/>
      <c r="H36" s="94">
        <f t="shared" si="17"/>
        <v>0</v>
      </c>
      <c r="I36" s="94"/>
      <c r="J36" s="94"/>
      <c r="K36" s="80">
        <f t="shared" si="18"/>
        <v>0</v>
      </c>
      <c r="L36" s="270">
        <f t="shared" si="18"/>
        <v>0</v>
      </c>
      <c r="M36" s="112">
        <v>0.01</v>
      </c>
      <c r="N36" s="112">
        <f t="shared" si="2"/>
        <v>0.30533636363636368</v>
      </c>
      <c r="O36" s="112">
        <v>0.01</v>
      </c>
      <c r="P36" s="112">
        <f t="shared" si="3"/>
        <v>0.30533636363636368</v>
      </c>
      <c r="Q36" s="112">
        <v>0.01</v>
      </c>
      <c r="R36" s="112">
        <f t="shared" si="4"/>
        <v>0.30533636363636368</v>
      </c>
      <c r="S36" s="112">
        <v>0.01</v>
      </c>
      <c r="T36" s="112">
        <f t="shared" si="5"/>
        <v>0.30533636363636368</v>
      </c>
      <c r="U36" s="112">
        <v>0.01</v>
      </c>
      <c r="V36" s="112">
        <f t="shared" si="6"/>
        <v>0.30533636363636368</v>
      </c>
      <c r="W36" s="112">
        <v>0.01</v>
      </c>
      <c r="X36" s="112">
        <f t="shared" si="7"/>
        <v>0.30533636363636368</v>
      </c>
      <c r="Y36" s="99">
        <f t="shared" si="8"/>
        <v>6.0000000000000005E-2</v>
      </c>
      <c r="Z36" s="275">
        <f t="shared" si="8"/>
        <v>1.8320181818181822</v>
      </c>
      <c r="AA36" s="179"/>
      <c r="AB36" s="180">
        <f t="shared" si="9"/>
        <v>0</v>
      </c>
      <c r="AC36" s="179"/>
      <c r="AD36" s="180">
        <f t="shared" si="10"/>
        <v>0</v>
      </c>
      <c r="AE36" s="179"/>
      <c r="AF36" s="180">
        <f t="shared" si="11"/>
        <v>0</v>
      </c>
      <c r="AG36" s="179"/>
      <c r="AH36" s="180">
        <f t="shared" si="12"/>
        <v>0</v>
      </c>
      <c r="AI36" s="179"/>
      <c r="AJ36" s="180">
        <f t="shared" si="13"/>
        <v>0</v>
      </c>
      <c r="AK36" s="94"/>
      <c r="AL36" s="180">
        <f t="shared" si="14"/>
        <v>0</v>
      </c>
      <c r="AM36" s="99">
        <f t="shared" si="0"/>
        <v>0</v>
      </c>
      <c r="AN36" s="100">
        <f t="shared" si="0"/>
        <v>0</v>
      </c>
      <c r="AO36" s="279"/>
      <c r="AP36" s="180">
        <f t="shared" si="15"/>
        <v>0</v>
      </c>
      <c r="AQ36" s="99">
        <f t="shared" si="19"/>
        <v>0</v>
      </c>
      <c r="AR36" s="276">
        <f t="shared" si="16"/>
        <v>0</v>
      </c>
      <c r="AS36" s="103">
        <f t="shared" si="1"/>
        <v>6.0000000000000005E-2</v>
      </c>
      <c r="AT36" s="104">
        <f t="shared" si="1"/>
        <v>1.8320181818181822</v>
      </c>
      <c r="AU36" s="56" t="s">
        <v>155</v>
      </c>
      <c r="AV36" s="56">
        <f t="shared" si="20"/>
        <v>0</v>
      </c>
    </row>
    <row r="37" spans="1:48" ht="15" customHeight="1" x14ac:dyDescent="0.45">
      <c r="A37" s="176"/>
      <c r="B37" s="90"/>
      <c r="C37" s="105">
        <v>24</v>
      </c>
      <c r="D37" s="177" t="s">
        <v>215</v>
      </c>
      <c r="E37" s="178" t="s">
        <v>216</v>
      </c>
      <c r="F37" s="174" t="s">
        <v>203</v>
      </c>
      <c r="G37" s="93"/>
      <c r="H37" s="94">
        <f t="shared" si="17"/>
        <v>0</v>
      </c>
      <c r="I37" s="94"/>
      <c r="J37" s="94"/>
      <c r="K37" s="80">
        <f t="shared" si="18"/>
        <v>0</v>
      </c>
      <c r="L37" s="270">
        <f t="shared" si="18"/>
        <v>0</v>
      </c>
      <c r="M37" s="112">
        <v>0.01</v>
      </c>
      <c r="N37" s="112">
        <f t="shared" si="2"/>
        <v>0.30533636363636368</v>
      </c>
      <c r="O37" s="112">
        <v>0.01</v>
      </c>
      <c r="P37" s="112">
        <f t="shared" si="3"/>
        <v>0.30533636363636368</v>
      </c>
      <c r="Q37" s="112">
        <v>0.01</v>
      </c>
      <c r="R37" s="112">
        <f t="shared" si="4"/>
        <v>0.30533636363636368</v>
      </c>
      <c r="S37" s="112">
        <v>0.01</v>
      </c>
      <c r="T37" s="112">
        <f t="shared" si="5"/>
        <v>0.30533636363636368</v>
      </c>
      <c r="U37" s="112">
        <v>0.01</v>
      </c>
      <c r="V37" s="180">
        <f t="shared" si="6"/>
        <v>0.30533636363636368</v>
      </c>
      <c r="W37" s="112">
        <v>0.01</v>
      </c>
      <c r="X37" s="180">
        <f t="shared" si="7"/>
        <v>0.30533636363636368</v>
      </c>
      <c r="Y37" s="99">
        <f t="shared" si="8"/>
        <v>6.0000000000000005E-2</v>
      </c>
      <c r="Z37" s="275">
        <f t="shared" si="8"/>
        <v>1.8320181818181822</v>
      </c>
      <c r="AA37" s="111"/>
      <c r="AB37" s="112">
        <f t="shared" si="9"/>
        <v>0</v>
      </c>
      <c r="AC37" s="111"/>
      <c r="AD37" s="180">
        <f t="shared" si="10"/>
        <v>0</v>
      </c>
      <c r="AE37" s="111"/>
      <c r="AF37" s="180">
        <f t="shared" si="11"/>
        <v>0</v>
      </c>
      <c r="AG37" s="111"/>
      <c r="AH37" s="180">
        <f t="shared" si="12"/>
        <v>0</v>
      </c>
      <c r="AI37" s="111"/>
      <c r="AJ37" s="180">
        <f t="shared" si="13"/>
        <v>0</v>
      </c>
      <c r="AK37" s="94"/>
      <c r="AL37" s="180">
        <f t="shared" si="14"/>
        <v>0</v>
      </c>
      <c r="AM37" s="99">
        <f t="shared" si="0"/>
        <v>0</v>
      </c>
      <c r="AN37" s="100">
        <f t="shared" si="0"/>
        <v>0</v>
      </c>
      <c r="AO37" s="279"/>
      <c r="AP37" s="180">
        <f t="shared" si="15"/>
        <v>0</v>
      </c>
      <c r="AQ37" s="99">
        <f t="shared" si="19"/>
        <v>0</v>
      </c>
      <c r="AR37" s="276">
        <f t="shared" si="16"/>
        <v>0</v>
      </c>
      <c r="AS37" s="103">
        <f t="shared" si="1"/>
        <v>6.0000000000000005E-2</v>
      </c>
      <c r="AT37" s="104">
        <f t="shared" si="1"/>
        <v>1.8320181818181822</v>
      </c>
      <c r="AU37" s="56" t="s">
        <v>155</v>
      </c>
      <c r="AV37" s="56">
        <f t="shared" si="20"/>
        <v>0</v>
      </c>
    </row>
    <row r="38" spans="1:48" ht="15" customHeight="1" x14ac:dyDescent="0.45">
      <c r="A38" s="176"/>
      <c r="B38" s="90"/>
      <c r="C38" s="75">
        <v>25</v>
      </c>
      <c r="D38" s="177" t="s">
        <v>217</v>
      </c>
      <c r="E38" s="178" t="s">
        <v>218</v>
      </c>
      <c r="F38" s="174" t="s">
        <v>203</v>
      </c>
      <c r="G38" s="93"/>
      <c r="H38" s="94">
        <f t="shared" si="17"/>
        <v>0</v>
      </c>
      <c r="I38" s="94"/>
      <c r="J38" s="94"/>
      <c r="K38" s="80">
        <f t="shared" si="18"/>
        <v>0</v>
      </c>
      <c r="L38" s="270">
        <f t="shared" si="18"/>
        <v>0</v>
      </c>
      <c r="M38" s="112">
        <v>7.0000000000000007E-2</v>
      </c>
      <c r="N38" s="112">
        <f t="shared" si="2"/>
        <v>2.1373545454545457</v>
      </c>
      <c r="O38" s="112">
        <v>0.26</v>
      </c>
      <c r="P38" s="112">
        <f t="shared" si="3"/>
        <v>7.9387454545454554</v>
      </c>
      <c r="Q38" s="112">
        <v>0.25</v>
      </c>
      <c r="R38" s="112">
        <f t="shared" si="4"/>
        <v>7.6334090909090913</v>
      </c>
      <c r="S38" s="112">
        <v>0.2</v>
      </c>
      <c r="T38" s="112">
        <f t="shared" si="5"/>
        <v>6.106727272727273</v>
      </c>
      <c r="U38" s="112">
        <v>0.25</v>
      </c>
      <c r="V38" s="112">
        <f t="shared" si="6"/>
        <v>7.6334090909090913</v>
      </c>
      <c r="W38" s="112">
        <v>0.19</v>
      </c>
      <c r="X38" s="112">
        <f t="shared" si="7"/>
        <v>5.8013909090909097</v>
      </c>
      <c r="Y38" s="99">
        <f t="shared" si="8"/>
        <v>1.22</v>
      </c>
      <c r="Z38" s="275">
        <f t="shared" si="8"/>
        <v>37.251036363636366</v>
      </c>
      <c r="AA38" s="179"/>
      <c r="AB38" s="180">
        <f t="shared" si="9"/>
        <v>0</v>
      </c>
      <c r="AC38" s="179"/>
      <c r="AD38" s="180">
        <f t="shared" si="10"/>
        <v>0</v>
      </c>
      <c r="AE38" s="179"/>
      <c r="AF38" s="180">
        <f t="shared" si="11"/>
        <v>0</v>
      </c>
      <c r="AG38" s="179"/>
      <c r="AH38" s="180">
        <f t="shared" si="12"/>
        <v>0</v>
      </c>
      <c r="AI38" s="179"/>
      <c r="AJ38" s="180">
        <f t="shared" si="13"/>
        <v>0</v>
      </c>
      <c r="AK38" s="94"/>
      <c r="AL38" s="180">
        <f t="shared" si="14"/>
        <v>0</v>
      </c>
      <c r="AM38" s="99">
        <f t="shared" si="0"/>
        <v>0</v>
      </c>
      <c r="AN38" s="100">
        <f t="shared" si="0"/>
        <v>0</v>
      </c>
      <c r="AO38" s="279"/>
      <c r="AP38" s="180">
        <f t="shared" si="15"/>
        <v>0</v>
      </c>
      <c r="AQ38" s="99">
        <f t="shared" si="19"/>
        <v>0</v>
      </c>
      <c r="AR38" s="276">
        <f t="shared" si="16"/>
        <v>0</v>
      </c>
      <c r="AS38" s="103">
        <f t="shared" si="1"/>
        <v>1.22</v>
      </c>
      <c r="AT38" s="104">
        <f t="shared" si="1"/>
        <v>37.251036363636366</v>
      </c>
      <c r="AU38" s="56" t="s">
        <v>155</v>
      </c>
      <c r="AV38" s="56">
        <f t="shared" si="20"/>
        <v>0</v>
      </c>
    </row>
    <row r="39" spans="1:48" ht="15" customHeight="1" x14ac:dyDescent="0.45">
      <c r="A39" s="176"/>
      <c r="B39" s="90"/>
      <c r="C39" s="91">
        <v>26</v>
      </c>
      <c r="D39" s="177" t="s">
        <v>219</v>
      </c>
      <c r="E39" s="178" t="s">
        <v>220</v>
      </c>
      <c r="F39" s="174" t="s">
        <v>203</v>
      </c>
      <c r="G39" s="93"/>
      <c r="H39" s="94">
        <f t="shared" si="17"/>
        <v>0</v>
      </c>
      <c r="I39" s="94"/>
      <c r="J39" s="94"/>
      <c r="K39" s="80">
        <f t="shared" si="18"/>
        <v>0</v>
      </c>
      <c r="L39" s="270">
        <f t="shared" si="18"/>
        <v>0</v>
      </c>
      <c r="M39" s="112"/>
      <c r="N39" s="112">
        <f t="shared" si="2"/>
        <v>0</v>
      </c>
      <c r="O39" s="112"/>
      <c r="P39" s="112">
        <f t="shared" si="3"/>
        <v>0</v>
      </c>
      <c r="Q39" s="112"/>
      <c r="R39" s="112">
        <f t="shared" si="4"/>
        <v>0</v>
      </c>
      <c r="S39" s="112"/>
      <c r="T39" s="112">
        <f t="shared" si="5"/>
        <v>0</v>
      </c>
      <c r="U39" s="112"/>
      <c r="V39" s="112">
        <f t="shared" si="6"/>
        <v>0</v>
      </c>
      <c r="W39" s="112"/>
      <c r="X39" s="112">
        <f t="shared" si="7"/>
        <v>0</v>
      </c>
      <c r="Y39" s="99">
        <f t="shared" si="8"/>
        <v>0</v>
      </c>
      <c r="Z39" s="275">
        <f t="shared" si="8"/>
        <v>0</v>
      </c>
      <c r="AA39" s="111">
        <v>0.01</v>
      </c>
      <c r="AB39" s="112">
        <f t="shared" si="9"/>
        <v>0.30533636363636368</v>
      </c>
      <c r="AC39" s="111">
        <v>0.01</v>
      </c>
      <c r="AD39" s="180">
        <f t="shared" si="10"/>
        <v>0.30533636363636368</v>
      </c>
      <c r="AE39" s="111">
        <v>0.01</v>
      </c>
      <c r="AF39" s="180">
        <f t="shared" si="11"/>
        <v>0.30533636363636368</v>
      </c>
      <c r="AG39" s="111">
        <v>0.02</v>
      </c>
      <c r="AH39" s="112">
        <f t="shared" si="12"/>
        <v>0.61067272727272737</v>
      </c>
      <c r="AI39" s="111">
        <v>0.01</v>
      </c>
      <c r="AJ39" s="112">
        <f t="shared" si="13"/>
        <v>0.30533636363636368</v>
      </c>
      <c r="AK39" s="94">
        <v>0.03</v>
      </c>
      <c r="AL39" s="112">
        <f t="shared" si="14"/>
        <v>0.91600909090909088</v>
      </c>
      <c r="AM39" s="99">
        <f t="shared" si="0"/>
        <v>0.08</v>
      </c>
      <c r="AN39" s="100">
        <f t="shared" si="0"/>
        <v>2.442690909090909</v>
      </c>
      <c r="AO39" s="277"/>
      <c r="AP39" s="112">
        <f t="shared" si="15"/>
        <v>0</v>
      </c>
      <c r="AQ39" s="99">
        <f t="shared" si="19"/>
        <v>0</v>
      </c>
      <c r="AR39" s="276">
        <f t="shared" si="16"/>
        <v>0</v>
      </c>
      <c r="AS39" s="103">
        <f t="shared" si="1"/>
        <v>0.08</v>
      </c>
      <c r="AT39" s="104">
        <f t="shared" si="1"/>
        <v>2.442690909090909</v>
      </c>
      <c r="AU39" s="56" t="s">
        <v>155</v>
      </c>
      <c r="AV39" s="56">
        <f t="shared" si="20"/>
        <v>0</v>
      </c>
    </row>
    <row r="40" spans="1:48" ht="15" customHeight="1" x14ac:dyDescent="0.45">
      <c r="A40" s="73"/>
      <c r="B40" s="90"/>
      <c r="C40" s="91">
        <v>27</v>
      </c>
      <c r="D40" s="172" t="s">
        <v>221</v>
      </c>
      <c r="E40" s="173" t="s">
        <v>222</v>
      </c>
      <c r="F40" s="174" t="s">
        <v>203</v>
      </c>
      <c r="G40" s="93"/>
      <c r="H40" s="94">
        <f t="shared" si="17"/>
        <v>0</v>
      </c>
      <c r="I40" s="94"/>
      <c r="J40" s="94"/>
      <c r="K40" s="80">
        <f t="shared" si="18"/>
        <v>0</v>
      </c>
      <c r="L40" s="270">
        <f t="shared" si="18"/>
        <v>0</v>
      </c>
      <c r="M40" s="112"/>
      <c r="N40" s="112">
        <f t="shared" si="2"/>
        <v>0</v>
      </c>
      <c r="O40" s="112">
        <v>0.01</v>
      </c>
      <c r="P40" s="112">
        <f t="shared" si="3"/>
        <v>0.30533636363636368</v>
      </c>
      <c r="Q40" s="112">
        <v>0.01</v>
      </c>
      <c r="R40" s="112">
        <f t="shared" si="4"/>
        <v>0.30533636363636368</v>
      </c>
      <c r="S40" s="112">
        <v>0.01</v>
      </c>
      <c r="T40" s="112">
        <f t="shared" si="5"/>
        <v>0.30533636363636368</v>
      </c>
      <c r="U40" s="112">
        <v>0.01</v>
      </c>
      <c r="V40" s="112">
        <f t="shared" si="6"/>
        <v>0.30533636363636368</v>
      </c>
      <c r="W40" s="112">
        <v>0.01</v>
      </c>
      <c r="X40" s="112">
        <f t="shared" si="7"/>
        <v>0.30533636363636368</v>
      </c>
      <c r="Y40" s="99">
        <f t="shared" si="8"/>
        <v>0.05</v>
      </c>
      <c r="Z40" s="275">
        <f t="shared" si="8"/>
        <v>1.5266818181818185</v>
      </c>
      <c r="AA40" s="111">
        <v>0.01</v>
      </c>
      <c r="AB40" s="112">
        <f t="shared" si="9"/>
        <v>0.30533636363636368</v>
      </c>
      <c r="AC40" s="111">
        <v>0.01</v>
      </c>
      <c r="AD40" s="180">
        <f t="shared" si="10"/>
        <v>0.30533636363636368</v>
      </c>
      <c r="AE40" s="111">
        <v>0.01</v>
      </c>
      <c r="AF40" s="180">
        <f t="shared" si="11"/>
        <v>0.30533636363636368</v>
      </c>
      <c r="AG40" s="111">
        <v>0.02</v>
      </c>
      <c r="AH40" s="112">
        <f t="shared" si="12"/>
        <v>0.61067272727272737</v>
      </c>
      <c r="AI40" s="111">
        <v>0.01</v>
      </c>
      <c r="AJ40" s="112">
        <f t="shared" si="13"/>
        <v>0.30533636363636368</v>
      </c>
      <c r="AK40" s="94">
        <v>0.01</v>
      </c>
      <c r="AL40" s="112">
        <f t="shared" si="14"/>
        <v>0.30533636363636368</v>
      </c>
      <c r="AM40" s="99">
        <f t="shared" si="0"/>
        <v>6.0000000000000005E-2</v>
      </c>
      <c r="AN40" s="100">
        <f t="shared" si="0"/>
        <v>1.832018181818182</v>
      </c>
      <c r="AO40" s="277"/>
      <c r="AP40" s="112">
        <f t="shared" si="15"/>
        <v>0</v>
      </c>
      <c r="AQ40" s="99">
        <f t="shared" si="19"/>
        <v>0</v>
      </c>
      <c r="AR40" s="276">
        <f t="shared" si="16"/>
        <v>0</v>
      </c>
      <c r="AS40" s="103">
        <f t="shared" si="1"/>
        <v>0.11000000000000001</v>
      </c>
      <c r="AT40" s="104">
        <f t="shared" si="1"/>
        <v>3.3587000000000007</v>
      </c>
      <c r="AU40" s="56" t="s">
        <v>155</v>
      </c>
      <c r="AV40" s="56">
        <f t="shared" si="20"/>
        <v>0</v>
      </c>
    </row>
    <row r="41" spans="1:48" ht="15" customHeight="1" x14ac:dyDescent="0.45">
      <c r="A41" s="73"/>
      <c r="B41" s="90"/>
      <c r="C41" s="105">
        <v>28</v>
      </c>
      <c r="D41" s="172" t="s">
        <v>223</v>
      </c>
      <c r="E41" s="173" t="s">
        <v>224</v>
      </c>
      <c r="F41" s="174" t="s">
        <v>203</v>
      </c>
      <c r="G41" s="93"/>
      <c r="H41" s="94">
        <f t="shared" si="17"/>
        <v>0</v>
      </c>
      <c r="I41" s="94"/>
      <c r="J41" s="94"/>
      <c r="K41" s="80">
        <f t="shared" si="18"/>
        <v>0</v>
      </c>
      <c r="L41" s="270">
        <f t="shared" si="18"/>
        <v>0</v>
      </c>
      <c r="M41" s="112">
        <v>0.01</v>
      </c>
      <c r="N41" s="112">
        <f t="shared" si="2"/>
        <v>0.30533636363636368</v>
      </c>
      <c r="O41" s="112">
        <v>0.01</v>
      </c>
      <c r="P41" s="112">
        <f t="shared" si="3"/>
        <v>0.30533636363636368</v>
      </c>
      <c r="Q41" s="112">
        <v>0.01</v>
      </c>
      <c r="R41" s="112">
        <f t="shared" si="4"/>
        <v>0.30533636363636368</v>
      </c>
      <c r="S41" s="112">
        <v>0.08</v>
      </c>
      <c r="T41" s="112">
        <f t="shared" si="5"/>
        <v>2.4426909090909095</v>
      </c>
      <c r="U41" s="112">
        <v>0.04</v>
      </c>
      <c r="V41" s="112">
        <f t="shared" si="6"/>
        <v>1.2213454545454547</v>
      </c>
      <c r="W41" s="112">
        <v>0.08</v>
      </c>
      <c r="X41" s="112">
        <f t="shared" si="7"/>
        <v>2.4426909090909095</v>
      </c>
      <c r="Y41" s="99">
        <f t="shared" si="8"/>
        <v>0.22999999999999998</v>
      </c>
      <c r="Z41" s="275">
        <f t="shared" si="8"/>
        <v>7.0227363636363656</v>
      </c>
      <c r="AA41" s="111"/>
      <c r="AB41" s="112">
        <f t="shared" si="9"/>
        <v>0</v>
      </c>
      <c r="AC41" s="111"/>
      <c r="AD41" s="112">
        <f t="shared" si="10"/>
        <v>0</v>
      </c>
      <c r="AE41" s="111"/>
      <c r="AF41" s="112">
        <f t="shared" si="11"/>
        <v>0</v>
      </c>
      <c r="AG41" s="111"/>
      <c r="AH41" s="112">
        <f t="shared" si="12"/>
        <v>0</v>
      </c>
      <c r="AI41" s="111"/>
      <c r="AJ41" s="112">
        <f t="shared" si="13"/>
        <v>0</v>
      </c>
      <c r="AK41" s="94"/>
      <c r="AL41" s="112">
        <f t="shared" si="14"/>
        <v>0</v>
      </c>
      <c r="AM41" s="99">
        <f t="shared" si="0"/>
        <v>0</v>
      </c>
      <c r="AN41" s="100">
        <f t="shared" si="0"/>
        <v>0</v>
      </c>
      <c r="AO41" s="277"/>
      <c r="AP41" s="112">
        <f t="shared" si="15"/>
        <v>0</v>
      </c>
      <c r="AQ41" s="99">
        <f t="shared" si="19"/>
        <v>0</v>
      </c>
      <c r="AR41" s="276">
        <f t="shared" si="16"/>
        <v>0</v>
      </c>
      <c r="AS41" s="103">
        <f t="shared" si="1"/>
        <v>0.22999999999999998</v>
      </c>
      <c r="AT41" s="104">
        <f t="shared" si="1"/>
        <v>7.0227363636363656</v>
      </c>
      <c r="AU41" s="56" t="s">
        <v>155</v>
      </c>
      <c r="AV41" s="56">
        <f t="shared" si="20"/>
        <v>0</v>
      </c>
    </row>
    <row r="42" spans="1:48" ht="15" customHeight="1" x14ac:dyDescent="0.45">
      <c r="A42" s="73"/>
      <c r="B42" s="90"/>
      <c r="C42" s="75">
        <v>29</v>
      </c>
      <c r="D42" s="172" t="s">
        <v>225</v>
      </c>
      <c r="E42" s="173" t="s">
        <v>226</v>
      </c>
      <c r="F42" s="174" t="s">
        <v>227</v>
      </c>
      <c r="G42" s="93"/>
      <c r="H42" s="94">
        <f t="shared" si="17"/>
        <v>0</v>
      </c>
      <c r="I42" s="94"/>
      <c r="J42" s="94"/>
      <c r="K42" s="80">
        <f t="shared" si="18"/>
        <v>0</v>
      </c>
      <c r="L42" s="270">
        <f t="shared" si="18"/>
        <v>0</v>
      </c>
      <c r="M42" s="112">
        <v>0.02</v>
      </c>
      <c r="N42" s="112">
        <f t="shared" si="2"/>
        <v>0.61067272727272737</v>
      </c>
      <c r="O42" s="112">
        <v>0.01</v>
      </c>
      <c r="P42" s="112">
        <f t="shared" si="3"/>
        <v>0.30533636363636368</v>
      </c>
      <c r="Q42" s="112">
        <v>0.03</v>
      </c>
      <c r="R42" s="112">
        <f t="shared" si="4"/>
        <v>0.91600909090909088</v>
      </c>
      <c r="S42" s="112">
        <v>0.02</v>
      </c>
      <c r="T42" s="112">
        <f t="shared" si="5"/>
        <v>0.61067272727272737</v>
      </c>
      <c r="U42" s="112">
        <v>0.02</v>
      </c>
      <c r="V42" s="112">
        <f t="shared" si="6"/>
        <v>0.61067272727272737</v>
      </c>
      <c r="W42" s="112">
        <v>0.02</v>
      </c>
      <c r="X42" s="112">
        <f t="shared" si="7"/>
        <v>0.61067272727272737</v>
      </c>
      <c r="Y42" s="99">
        <f t="shared" si="8"/>
        <v>0.12000000000000001</v>
      </c>
      <c r="Z42" s="275">
        <f t="shared" si="8"/>
        <v>3.6640363636363644</v>
      </c>
      <c r="AA42" s="111"/>
      <c r="AB42" s="112">
        <f t="shared" si="9"/>
        <v>0</v>
      </c>
      <c r="AC42" s="111"/>
      <c r="AD42" s="112">
        <f t="shared" si="10"/>
        <v>0</v>
      </c>
      <c r="AE42" s="111"/>
      <c r="AF42" s="112">
        <f t="shared" si="11"/>
        <v>0</v>
      </c>
      <c r="AG42" s="111"/>
      <c r="AH42" s="112">
        <f t="shared" si="12"/>
        <v>0</v>
      </c>
      <c r="AI42" s="111"/>
      <c r="AJ42" s="112">
        <f t="shared" si="13"/>
        <v>0</v>
      </c>
      <c r="AK42" s="94">
        <v>0.01</v>
      </c>
      <c r="AL42" s="112">
        <f t="shared" si="14"/>
        <v>0.30533636363636368</v>
      </c>
      <c r="AM42" s="99">
        <f t="shared" si="0"/>
        <v>0.01</v>
      </c>
      <c r="AN42" s="100">
        <f t="shared" si="0"/>
        <v>0.30533636363636368</v>
      </c>
      <c r="AO42" s="277"/>
      <c r="AP42" s="112">
        <f t="shared" si="15"/>
        <v>0</v>
      </c>
      <c r="AQ42" s="99">
        <f t="shared" si="19"/>
        <v>0</v>
      </c>
      <c r="AR42" s="276">
        <f t="shared" si="16"/>
        <v>0</v>
      </c>
      <c r="AS42" s="103">
        <f t="shared" si="1"/>
        <v>0.13</v>
      </c>
      <c r="AT42" s="104">
        <f t="shared" si="1"/>
        <v>3.9693727272727282</v>
      </c>
      <c r="AU42" s="56" t="s">
        <v>155</v>
      </c>
      <c r="AV42" s="56">
        <f t="shared" si="20"/>
        <v>0</v>
      </c>
    </row>
    <row r="43" spans="1:48" ht="15" customHeight="1" x14ac:dyDescent="0.45">
      <c r="A43" s="73"/>
      <c r="B43" s="90"/>
      <c r="C43" s="91">
        <v>30</v>
      </c>
      <c r="D43" s="172" t="s">
        <v>228</v>
      </c>
      <c r="E43" s="173" t="s">
        <v>229</v>
      </c>
      <c r="F43" s="174" t="s">
        <v>227</v>
      </c>
      <c r="G43" s="93"/>
      <c r="H43" s="94">
        <f t="shared" si="17"/>
        <v>0</v>
      </c>
      <c r="I43" s="94"/>
      <c r="J43" s="94"/>
      <c r="K43" s="80">
        <f t="shared" si="18"/>
        <v>0</v>
      </c>
      <c r="L43" s="270">
        <f t="shared" si="18"/>
        <v>0</v>
      </c>
      <c r="M43" s="112">
        <v>0</v>
      </c>
      <c r="N43" s="112">
        <f t="shared" si="2"/>
        <v>0</v>
      </c>
      <c r="O43" s="112">
        <v>0.01</v>
      </c>
      <c r="P43" s="112">
        <f t="shared" si="3"/>
        <v>0.30533636363636368</v>
      </c>
      <c r="Q43" s="112">
        <v>0.01</v>
      </c>
      <c r="R43" s="112">
        <f t="shared" si="4"/>
        <v>0.30533636363636368</v>
      </c>
      <c r="S43" s="112">
        <v>0.01</v>
      </c>
      <c r="T43" s="112">
        <f t="shared" si="5"/>
        <v>0.30533636363636368</v>
      </c>
      <c r="U43" s="112">
        <v>0.01</v>
      </c>
      <c r="V43" s="112">
        <f t="shared" si="6"/>
        <v>0.30533636363636368</v>
      </c>
      <c r="W43" s="112">
        <v>0.01</v>
      </c>
      <c r="X43" s="112">
        <f t="shared" si="7"/>
        <v>0.30533636363636368</v>
      </c>
      <c r="Y43" s="99">
        <f t="shared" si="8"/>
        <v>0.05</v>
      </c>
      <c r="Z43" s="275">
        <f t="shared" si="8"/>
        <v>1.5266818181818185</v>
      </c>
      <c r="AA43" s="111"/>
      <c r="AB43" s="112">
        <f t="shared" si="9"/>
        <v>0</v>
      </c>
      <c r="AC43" s="111"/>
      <c r="AD43" s="112">
        <f t="shared" si="10"/>
        <v>0</v>
      </c>
      <c r="AE43" s="111"/>
      <c r="AF43" s="112">
        <f t="shared" si="11"/>
        <v>0</v>
      </c>
      <c r="AG43" s="111"/>
      <c r="AH43" s="112">
        <f t="shared" si="12"/>
        <v>0</v>
      </c>
      <c r="AI43" s="111"/>
      <c r="AJ43" s="112">
        <f t="shared" si="13"/>
        <v>0</v>
      </c>
      <c r="AK43" s="94">
        <v>0.03</v>
      </c>
      <c r="AL43" s="112">
        <f t="shared" si="14"/>
        <v>0.91600909090909088</v>
      </c>
      <c r="AM43" s="99">
        <f t="shared" si="0"/>
        <v>0.03</v>
      </c>
      <c r="AN43" s="100">
        <f t="shared" si="0"/>
        <v>0.91600909090909088</v>
      </c>
      <c r="AO43" s="277"/>
      <c r="AP43" s="112">
        <f t="shared" si="15"/>
        <v>0</v>
      </c>
      <c r="AQ43" s="99">
        <f t="shared" si="19"/>
        <v>0</v>
      </c>
      <c r="AR43" s="276">
        <f t="shared" si="16"/>
        <v>0</v>
      </c>
      <c r="AS43" s="103">
        <f t="shared" si="1"/>
        <v>0.08</v>
      </c>
      <c r="AT43" s="104">
        <f t="shared" si="1"/>
        <v>2.4426909090909095</v>
      </c>
      <c r="AU43" s="56" t="s">
        <v>155</v>
      </c>
      <c r="AV43" s="56">
        <f t="shared" si="20"/>
        <v>0</v>
      </c>
    </row>
    <row r="44" spans="1:48" ht="15" customHeight="1" x14ac:dyDescent="0.45">
      <c r="A44" s="73"/>
      <c r="B44" s="90"/>
      <c r="C44" s="91">
        <v>31</v>
      </c>
      <c r="D44" s="172" t="s">
        <v>230</v>
      </c>
      <c r="E44" s="173" t="s">
        <v>231</v>
      </c>
      <c r="F44" s="110" t="s">
        <v>187</v>
      </c>
      <c r="G44" s="93"/>
      <c r="H44" s="94">
        <f t="shared" si="17"/>
        <v>0</v>
      </c>
      <c r="I44" s="94"/>
      <c r="J44" s="94"/>
      <c r="K44" s="80">
        <f t="shared" si="18"/>
        <v>0</v>
      </c>
      <c r="L44" s="270">
        <f t="shared" si="18"/>
        <v>0</v>
      </c>
      <c r="M44" s="112">
        <v>0.01</v>
      </c>
      <c r="N44" s="112">
        <f t="shared" si="2"/>
        <v>0.30533636363636368</v>
      </c>
      <c r="O44" s="112">
        <v>0.01</v>
      </c>
      <c r="P44" s="112">
        <f t="shared" si="3"/>
        <v>0.30533636363636368</v>
      </c>
      <c r="Q44" s="112">
        <v>0.01</v>
      </c>
      <c r="R44" s="112">
        <f t="shared" si="4"/>
        <v>0.30533636363636368</v>
      </c>
      <c r="S44" s="112">
        <v>0.01</v>
      </c>
      <c r="T44" s="112">
        <f t="shared" si="5"/>
        <v>0.30533636363636368</v>
      </c>
      <c r="U44" s="112">
        <v>0.01</v>
      </c>
      <c r="V44" s="112">
        <f t="shared" si="6"/>
        <v>0.30533636363636368</v>
      </c>
      <c r="W44" s="112">
        <v>0.01</v>
      </c>
      <c r="X44" s="112">
        <f t="shared" si="7"/>
        <v>0.30533636363636368</v>
      </c>
      <c r="Y44" s="99">
        <f t="shared" si="8"/>
        <v>6.0000000000000005E-2</v>
      </c>
      <c r="Z44" s="275">
        <f t="shared" si="8"/>
        <v>1.8320181818181822</v>
      </c>
      <c r="AA44" s="111">
        <v>0.1</v>
      </c>
      <c r="AB44" s="112">
        <f t="shared" si="9"/>
        <v>3.0533636363636365</v>
      </c>
      <c r="AC44" s="111">
        <v>0.12</v>
      </c>
      <c r="AD44" s="180">
        <f t="shared" si="10"/>
        <v>3.6640363636363635</v>
      </c>
      <c r="AE44" s="111">
        <v>0.08</v>
      </c>
      <c r="AF44" s="180">
        <f t="shared" si="11"/>
        <v>2.4426909090909095</v>
      </c>
      <c r="AG44" s="111">
        <v>7.0000000000000007E-2</v>
      </c>
      <c r="AH44" s="112">
        <f t="shared" si="12"/>
        <v>2.1373545454545457</v>
      </c>
      <c r="AI44" s="111">
        <v>0.1</v>
      </c>
      <c r="AJ44" s="112">
        <f t="shared" si="13"/>
        <v>3.0533636363636365</v>
      </c>
      <c r="AK44" s="94">
        <v>0.04</v>
      </c>
      <c r="AL44" s="112">
        <f t="shared" si="14"/>
        <v>1.2213454545454547</v>
      </c>
      <c r="AM44" s="99">
        <f t="shared" ref="AM44:AN75" si="21">AA44+AC44+AE44+AG44+AK44</f>
        <v>0.41</v>
      </c>
      <c r="AN44" s="100">
        <f t="shared" si="21"/>
        <v>12.51879090909091</v>
      </c>
      <c r="AO44" s="277"/>
      <c r="AP44" s="112">
        <f t="shared" si="15"/>
        <v>0</v>
      </c>
      <c r="AQ44" s="99">
        <f t="shared" si="19"/>
        <v>0</v>
      </c>
      <c r="AR44" s="276">
        <f t="shared" si="16"/>
        <v>0</v>
      </c>
      <c r="AS44" s="103">
        <f t="shared" ref="AS44:AT75" si="22">K44+Y44+AM44+AQ44</f>
        <v>0.47</v>
      </c>
      <c r="AT44" s="104">
        <f t="shared" si="22"/>
        <v>14.350809090909092</v>
      </c>
      <c r="AU44" s="56" t="s">
        <v>155</v>
      </c>
      <c r="AV44" s="56">
        <f t="shared" si="20"/>
        <v>0</v>
      </c>
    </row>
    <row r="45" spans="1:48" ht="15" customHeight="1" x14ac:dyDescent="0.45">
      <c r="A45" s="73"/>
      <c r="B45" s="90"/>
      <c r="C45" s="105">
        <v>32</v>
      </c>
      <c r="D45" s="172" t="s">
        <v>232</v>
      </c>
      <c r="E45" s="173" t="s">
        <v>233</v>
      </c>
      <c r="F45" s="174" t="s">
        <v>203</v>
      </c>
      <c r="G45" s="93"/>
      <c r="H45" s="94">
        <f t="shared" si="17"/>
        <v>0</v>
      </c>
      <c r="I45" s="94"/>
      <c r="J45" s="94"/>
      <c r="K45" s="80">
        <f t="shared" si="18"/>
        <v>0</v>
      </c>
      <c r="L45" s="270">
        <f t="shared" si="18"/>
        <v>0</v>
      </c>
      <c r="M45" s="112">
        <v>0</v>
      </c>
      <c r="N45" s="112">
        <f t="shared" si="2"/>
        <v>0</v>
      </c>
      <c r="O45" s="112">
        <v>0.02</v>
      </c>
      <c r="P45" s="112">
        <f t="shared" si="3"/>
        <v>0.61067272727272737</v>
      </c>
      <c r="Q45" s="112">
        <v>0.01</v>
      </c>
      <c r="R45" s="112">
        <f t="shared" si="4"/>
        <v>0.30533636363636368</v>
      </c>
      <c r="S45" s="112">
        <v>0.01</v>
      </c>
      <c r="T45" s="112">
        <f t="shared" si="5"/>
        <v>0.30533636363636368</v>
      </c>
      <c r="U45" s="112">
        <v>0.01</v>
      </c>
      <c r="V45" s="112">
        <f t="shared" si="6"/>
        <v>0.30533636363636368</v>
      </c>
      <c r="W45" s="112">
        <v>0.01</v>
      </c>
      <c r="X45" s="112">
        <f t="shared" si="7"/>
        <v>0.30533636363636368</v>
      </c>
      <c r="Y45" s="99">
        <f t="shared" si="8"/>
        <v>6.0000000000000005E-2</v>
      </c>
      <c r="Z45" s="275">
        <f t="shared" si="8"/>
        <v>1.8320181818181822</v>
      </c>
      <c r="AA45" s="111">
        <v>0.17</v>
      </c>
      <c r="AB45" s="112">
        <f t="shared" si="9"/>
        <v>5.1907181818181822</v>
      </c>
      <c r="AC45" s="111">
        <v>0.1</v>
      </c>
      <c r="AD45" s="180">
        <f t="shared" si="10"/>
        <v>3.0533636363636365</v>
      </c>
      <c r="AE45" s="111">
        <v>0.14000000000000001</v>
      </c>
      <c r="AF45" s="180">
        <f t="shared" si="11"/>
        <v>4.2747090909090915</v>
      </c>
      <c r="AG45" s="111">
        <v>0.15</v>
      </c>
      <c r="AH45" s="112">
        <f t="shared" si="12"/>
        <v>4.5800454545454548</v>
      </c>
      <c r="AI45" s="111">
        <v>0.1</v>
      </c>
      <c r="AJ45" s="112">
        <f t="shared" si="13"/>
        <v>3.0533636363636365</v>
      </c>
      <c r="AK45" s="94">
        <v>0.03</v>
      </c>
      <c r="AL45" s="112">
        <f t="shared" si="14"/>
        <v>0.91600909090909088</v>
      </c>
      <c r="AM45" s="99">
        <f t="shared" si="21"/>
        <v>0.59000000000000008</v>
      </c>
      <c r="AN45" s="100">
        <f t="shared" si="21"/>
        <v>18.014845454545458</v>
      </c>
      <c r="AO45" s="277"/>
      <c r="AP45" s="112">
        <f t="shared" si="15"/>
        <v>0</v>
      </c>
      <c r="AQ45" s="99">
        <f t="shared" si="19"/>
        <v>0</v>
      </c>
      <c r="AR45" s="276">
        <f t="shared" si="16"/>
        <v>0</v>
      </c>
      <c r="AS45" s="103">
        <f t="shared" si="22"/>
        <v>0.65000000000000013</v>
      </c>
      <c r="AT45" s="104">
        <f t="shared" si="22"/>
        <v>19.84686363636364</v>
      </c>
      <c r="AU45" s="56" t="s">
        <v>155</v>
      </c>
      <c r="AV45" s="56">
        <f t="shared" si="20"/>
        <v>0</v>
      </c>
    </row>
    <row r="46" spans="1:48" ht="15" customHeight="1" x14ac:dyDescent="0.45">
      <c r="A46" s="73"/>
      <c r="B46" s="90"/>
      <c r="C46" s="75">
        <v>33</v>
      </c>
      <c r="D46" s="172" t="s">
        <v>234</v>
      </c>
      <c r="E46" s="173" t="s">
        <v>235</v>
      </c>
      <c r="F46" s="110" t="s">
        <v>162</v>
      </c>
      <c r="G46" s="93"/>
      <c r="H46" s="94">
        <f t="shared" si="17"/>
        <v>0</v>
      </c>
      <c r="I46" s="94"/>
      <c r="J46" s="94"/>
      <c r="K46" s="80">
        <f t="shared" si="18"/>
        <v>0</v>
      </c>
      <c r="L46" s="270">
        <f t="shared" si="18"/>
        <v>0</v>
      </c>
      <c r="M46" s="112">
        <v>0</v>
      </c>
      <c r="N46" s="112">
        <f t="shared" si="2"/>
        <v>0</v>
      </c>
      <c r="O46" s="112">
        <v>0.01</v>
      </c>
      <c r="P46" s="112">
        <f t="shared" si="3"/>
        <v>0.30533636363636368</v>
      </c>
      <c r="Q46" s="112">
        <v>0.01</v>
      </c>
      <c r="R46" s="112">
        <f t="shared" si="4"/>
        <v>0.30533636363636368</v>
      </c>
      <c r="S46" s="112">
        <v>0.01</v>
      </c>
      <c r="T46" s="112">
        <f t="shared" si="5"/>
        <v>0.30533636363636368</v>
      </c>
      <c r="U46" s="112">
        <v>0.01</v>
      </c>
      <c r="V46" s="112">
        <f t="shared" si="6"/>
        <v>0.30533636363636368</v>
      </c>
      <c r="W46" s="112">
        <v>0.01</v>
      </c>
      <c r="X46" s="112">
        <f t="shared" si="7"/>
        <v>0.30533636363636368</v>
      </c>
      <c r="Y46" s="99">
        <f t="shared" si="8"/>
        <v>0.05</v>
      </c>
      <c r="Z46" s="275">
        <f t="shared" si="8"/>
        <v>1.5266818181818185</v>
      </c>
      <c r="AA46" s="111"/>
      <c r="AB46" s="112">
        <f t="shared" si="9"/>
        <v>0</v>
      </c>
      <c r="AC46" s="111"/>
      <c r="AD46" s="112">
        <f t="shared" si="10"/>
        <v>0</v>
      </c>
      <c r="AE46" s="111"/>
      <c r="AF46" s="112">
        <f t="shared" si="11"/>
        <v>0</v>
      </c>
      <c r="AG46" s="111"/>
      <c r="AH46" s="112">
        <f t="shared" si="12"/>
        <v>0</v>
      </c>
      <c r="AI46" s="111"/>
      <c r="AJ46" s="112">
        <f t="shared" si="13"/>
        <v>0</v>
      </c>
      <c r="AK46" s="94"/>
      <c r="AL46" s="112">
        <f t="shared" si="14"/>
        <v>0</v>
      </c>
      <c r="AM46" s="99">
        <f t="shared" si="21"/>
        <v>0</v>
      </c>
      <c r="AN46" s="100">
        <f t="shared" si="21"/>
        <v>0</v>
      </c>
      <c r="AO46" s="277"/>
      <c r="AP46" s="112">
        <f t="shared" si="15"/>
        <v>0</v>
      </c>
      <c r="AQ46" s="99">
        <f t="shared" si="19"/>
        <v>0</v>
      </c>
      <c r="AR46" s="276">
        <f t="shared" si="16"/>
        <v>0</v>
      </c>
      <c r="AS46" s="103">
        <f t="shared" si="22"/>
        <v>0.05</v>
      </c>
      <c r="AT46" s="104">
        <f t="shared" si="22"/>
        <v>1.5266818181818185</v>
      </c>
      <c r="AU46" s="56" t="s">
        <v>155</v>
      </c>
      <c r="AV46" s="56">
        <f t="shared" si="20"/>
        <v>0</v>
      </c>
    </row>
    <row r="47" spans="1:48" ht="15" customHeight="1" x14ac:dyDescent="0.45">
      <c r="A47" s="73"/>
      <c r="B47" s="90"/>
      <c r="C47" s="91">
        <v>34</v>
      </c>
      <c r="D47" s="172" t="s">
        <v>236</v>
      </c>
      <c r="E47" s="173" t="s">
        <v>237</v>
      </c>
      <c r="F47" s="174" t="s">
        <v>203</v>
      </c>
      <c r="G47" s="93"/>
      <c r="H47" s="94">
        <f t="shared" si="17"/>
        <v>0</v>
      </c>
      <c r="I47" s="94"/>
      <c r="J47" s="94"/>
      <c r="K47" s="80">
        <f t="shared" si="18"/>
        <v>0</v>
      </c>
      <c r="L47" s="270">
        <f t="shared" si="18"/>
        <v>0</v>
      </c>
      <c r="M47" s="112">
        <v>0</v>
      </c>
      <c r="N47" s="112">
        <f t="shared" si="2"/>
        <v>0</v>
      </c>
      <c r="O47" s="112">
        <v>0.01</v>
      </c>
      <c r="P47" s="112">
        <f t="shared" si="3"/>
        <v>0.30533636363636368</v>
      </c>
      <c r="Q47" s="112">
        <v>0.01</v>
      </c>
      <c r="R47" s="112">
        <f t="shared" si="4"/>
        <v>0.30533636363636368</v>
      </c>
      <c r="S47" s="112">
        <v>0.01</v>
      </c>
      <c r="T47" s="112">
        <f t="shared" si="5"/>
        <v>0.30533636363636368</v>
      </c>
      <c r="U47" s="112">
        <v>0.01</v>
      </c>
      <c r="V47" s="112">
        <f t="shared" si="6"/>
        <v>0.30533636363636368</v>
      </c>
      <c r="W47" s="112">
        <v>0.01</v>
      </c>
      <c r="X47" s="112">
        <f t="shared" si="7"/>
        <v>0.30533636363636368</v>
      </c>
      <c r="Y47" s="99">
        <f t="shared" si="8"/>
        <v>0.05</v>
      </c>
      <c r="Z47" s="275">
        <f t="shared" si="8"/>
        <v>1.5266818181818185</v>
      </c>
      <c r="AA47" s="111"/>
      <c r="AB47" s="112">
        <f t="shared" si="9"/>
        <v>0</v>
      </c>
      <c r="AC47" s="111"/>
      <c r="AD47" s="112">
        <f t="shared" si="10"/>
        <v>0</v>
      </c>
      <c r="AE47" s="111"/>
      <c r="AF47" s="112">
        <f t="shared" si="11"/>
        <v>0</v>
      </c>
      <c r="AG47" s="111"/>
      <c r="AH47" s="112">
        <f t="shared" si="12"/>
        <v>0</v>
      </c>
      <c r="AI47" s="111"/>
      <c r="AJ47" s="112">
        <f t="shared" si="13"/>
        <v>0</v>
      </c>
      <c r="AK47" s="94"/>
      <c r="AL47" s="112">
        <f t="shared" si="14"/>
        <v>0</v>
      </c>
      <c r="AM47" s="99">
        <f t="shared" si="21"/>
        <v>0</v>
      </c>
      <c r="AN47" s="100">
        <f t="shared" si="21"/>
        <v>0</v>
      </c>
      <c r="AO47" s="277"/>
      <c r="AP47" s="112">
        <f t="shared" si="15"/>
        <v>0</v>
      </c>
      <c r="AQ47" s="99">
        <f t="shared" si="19"/>
        <v>0</v>
      </c>
      <c r="AR47" s="276">
        <f t="shared" si="16"/>
        <v>0</v>
      </c>
      <c r="AS47" s="103">
        <f t="shared" si="22"/>
        <v>0.05</v>
      </c>
      <c r="AT47" s="104">
        <f t="shared" si="22"/>
        <v>1.5266818181818185</v>
      </c>
      <c r="AU47" s="56" t="s">
        <v>155</v>
      </c>
      <c r="AV47" s="56">
        <f t="shared" si="20"/>
        <v>0</v>
      </c>
    </row>
    <row r="48" spans="1:48" ht="15" customHeight="1" x14ac:dyDescent="0.45">
      <c r="A48" s="73"/>
      <c r="B48" s="90"/>
      <c r="C48" s="91">
        <v>35</v>
      </c>
      <c r="D48" s="172" t="s">
        <v>238</v>
      </c>
      <c r="E48" s="173" t="s">
        <v>239</v>
      </c>
      <c r="F48" s="174" t="s">
        <v>203</v>
      </c>
      <c r="G48" s="93"/>
      <c r="H48" s="94">
        <f t="shared" si="17"/>
        <v>0</v>
      </c>
      <c r="I48" s="94"/>
      <c r="J48" s="94"/>
      <c r="K48" s="80">
        <f t="shared" si="18"/>
        <v>0</v>
      </c>
      <c r="L48" s="270">
        <f t="shared" si="18"/>
        <v>0</v>
      </c>
      <c r="M48" s="112">
        <v>0</v>
      </c>
      <c r="N48" s="112">
        <f t="shared" si="2"/>
        <v>0</v>
      </c>
      <c r="O48" s="112">
        <v>0.01</v>
      </c>
      <c r="P48" s="112">
        <f t="shared" si="3"/>
        <v>0.30533636363636368</v>
      </c>
      <c r="Q48" s="112">
        <v>0.01</v>
      </c>
      <c r="R48" s="112">
        <f t="shared" si="4"/>
        <v>0.30533636363636368</v>
      </c>
      <c r="S48" s="112">
        <v>0.01</v>
      </c>
      <c r="T48" s="112">
        <f t="shared" si="5"/>
        <v>0.30533636363636368</v>
      </c>
      <c r="U48" s="112">
        <v>0.01</v>
      </c>
      <c r="V48" s="112">
        <f t="shared" si="6"/>
        <v>0.30533636363636368</v>
      </c>
      <c r="W48" s="112">
        <v>0.01</v>
      </c>
      <c r="X48" s="112">
        <f t="shared" si="7"/>
        <v>0.30533636363636368</v>
      </c>
      <c r="Y48" s="99">
        <f t="shared" si="8"/>
        <v>0.05</v>
      </c>
      <c r="Z48" s="275">
        <f t="shared" si="8"/>
        <v>1.5266818181818185</v>
      </c>
      <c r="AA48" s="111"/>
      <c r="AB48" s="112">
        <f t="shared" si="9"/>
        <v>0</v>
      </c>
      <c r="AC48" s="111"/>
      <c r="AD48" s="112">
        <f t="shared" si="10"/>
        <v>0</v>
      </c>
      <c r="AE48" s="111"/>
      <c r="AF48" s="112">
        <f t="shared" si="11"/>
        <v>0</v>
      </c>
      <c r="AG48" s="111"/>
      <c r="AH48" s="112">
        <f t="shared" si="12"/>
        <v>0</v>
      </c>
      <c r="AI48" s="111"/>
      <c r="AJ48" s="112">
        <f t="shared" si="13"/>
        <v>0</v>
      </c>
      <c r="AK48" s="94"/>
      <c r="AL48" s="112">
        <f t="shared" si="14"/>
        <v>0</v>
      </c>
      <c r="AM48" s="99">
        <f t="shared" si="21"/>
        <v>0</v>
      </c>
      <c r="AN48" s="100">
        <f t="shared" si="21"/>
        <v>0</v>
      </c>
      <c r="AO48" s="277"/>
      <c r="AP48" s="112">
        <f t="shared" si="15"/>
        <v>0</v>
      </c>
      <c r="AQ48" s="99">
        <f t="shared" si="19"/>
        <v>0</v>
      </c>
      <c r="AR48" s="276">
        <f t="shared" si="16"/>
        <v>0</v>
      </c>
      <c r="AS48" s="103">
        <f t="shared" si="22"/>
        <v>0.05</v>
      </c>
      <c r="AT48" s="104">
        <f t="shared" si="22"/>
        <v>1.5266818181818185</v>
      </c>
      <c r="AU48" s="56" t="s">
        <v>156</v>
      </c>
      <c r="AV48" s="56">
        <f t="shared" si="20"/>
        <v>1.5266818181818185</v>
      </c>
    </row>
    <row r="49" spans="1:48" ht="15" customHeight="1" x14ac:dyDescent="0.45">
      <c r="A49" s="73"/>
      <c r="B49" s="90"/>
      <c r="C49" s="105">
        <v>36</v>
      </c>
      <c r="D49" s="172" t="s">
        <v>240</v>
      </c>
      <c r="E49" s="173" t="s">
        <v>241</v>
      </c>
      <c r="F49" s="174" t="s">
        <v>203</v>
      </c>
      <c r="G49" s="93"/>
      <c r="H49" s="94">
        <f t="shared" si="17"/>
        <v>0</v>
      </c>
      <c r="I49" s="94"/>
      <c r="J49" s="94"/>
      <c r="K49" s="80">
        <f t="shared" si="18"/>
        <v>0</v>
      </c>
      <c r="L49" s="270">
        <f t="shared" si="18"/>
        <v>0</v>
      </c>
      <c r="M49" s="112">
        <v>0.01</v>
      </c>
      <c r="N49" s="112">
        <f t="shared" si="2"/>
        <v>0.30533636363636368</v>
      </c>
      <c r="O49" s="112">
        <v>0.01</v>
      </c>
      <c r="P49" s="112">
        <f t="shared" si="3"/>
        <v>0.30533636363636368</v>
      </c>
      <c r="Q49" s="112">
        <v>0</v>
      </c>
      <c r="R49" s="112">
        <f t="shared" si="4"/>
        <v>0</v>
      </c>
      <c r="S49" s="112">
        <v>0.01</v>
      </c>
      <c r="T49" s="112">
        <f t="shared" si="5"/>
        <v>0.30533636363636368</v>
      </c>
      <c r="U49" s="112">
        <v>0.01</v>
      </c>
      <c r="V49" s="112">
        <f t="shared" si="6"/>
        <v>0.30533636363636368</v>
      </c>
      <c r="W49" s="112">
        <v>0.01</v>
      </c>
      <c r="X49" s="112">
        <f t="shared" si="7"/>
        <v>0.30533636363636368</v>
      </c>
      <c r="Y49" s="99">
        <f t="shared" si="8"/>
        <v>0.05</v>
      </c>
      <c r="Z49" s="275">
        <f t="shared" si="8"/>
        <v>1.5266818181818185</v>
      </c>
      <c r="AA49" s="111">
        <v>0.01</v>
      </c>
      <c r="AB49" s="112">
        <f t="shared" si="9"/>
        <v>0.30533636363636368</v>
      </c>
      <c r="AC49" s="111">
        <v>0.01</v>
      </c>
      <c r="AD49" s="112">
        <f t="shared" si="10"/>
        <v>0.30533636363636368</v>
      </c>
      <c r="AE49" s="111">
        <v>0.01</v>
      </c>
      <c r="AF49" s="112">
        <f t="shared" si="11"/>
        <v>0.30533636363636368</v>
      </c>
      <c r="AG49" s="111">
        <v>0.01</v>
      </c>
      <c r="AH49" s="112">
        <f t="shared" si="12"/>
        <v>0.30533636363636368</v>
      </c>
      <c r="AI49" s="111">
        <v>0.01</v>
      </c>
      <c r="AJ49" s="112">
        <f t="shared" si="13"/>
        <v>0.30533636363636368</v>
      </c>
      <c r="AK49" s="94"/>
      <c r="AL49" s="112">
        <f t="shared" si="14"/>
        <v>0</v>
      </c>
      <c r="AM49" s="99">
        <f t="shared" si="21"/>
        <v>0.04</v>
      </c>
      <c r="AN49" s="100">
        <f t="shared" si="21"/>
        <v>1.2213454545454547</v>
      </c>
      <c r="AO49" s="277"/>
      <c r="AP49" s="112">
        <f t="shared" si="15"/>
        <v>0</v>
      </c>
      <c r="AQ49" s="99">
        <f t="shared" si="19"/>
        <v>0</v>
      </c>
      <c r="AR49" s="276">
        <f t="shared" si="16"/>
        <v>0</v>
      </c>
      <c r="AS49" s="103">
        <f t="shared" si="22"/>
        <v>0.09</v>
      </c>
      <c r="AT49" s="104">
        <f t="shared" si="22"/>
        <v>2.7480272727272732</v>
      </c>
      <c r="AU49" s="56" t="s">
        <v>155</v>
      </c>
      <c r="AV49" s="56">
        <f t="shared" si="20"/>
        <v>0</v>
      </c>
    </row>
    <row r="50" spans="1:48" ht="15" customHeight="1" x14ac:dyDescent="0.45">
      <c r="A50" s="73"/>
      <c r="B50" s="90"/>
      <c r="C50" s="105">
        <v>37</v>
      </c>
      <c r="D50" s="172" t="s">
        <v>242</v>
      </c>
      <c r="E50" s="173" t="s">
        <v>243</v>
      </c>
      <c r="F50" s="110" t="s">
        <v>162</v>
      </c>
      <c r="G50" s="93"/>
      <c r="H50" s="94">
        <f t="shared" si="17"/>
        <v>0</v>
      </c>
      <c r="I50" s="94"/>
      <c r="J50" s="94"/>
      <c r="K50" s="80">
        <f t="shared" si="18"/>
        <v>0</v>
      </c>
      <c r="L50" s="270">
        <f t="shared" si="18"/>
        <v>0</v>
      </c>
      <c r="M50" s="112">
        <v>0.02</v>
      </c>
      <c r="N50" s="112">
        <f t="shared" si="2"/>
        <v>0.61067272727272737</v>
      </c>
      <c r="O50" s="112">
        <v>0.01</v>
      </c>
      <c r="P50" s="112">
        <f t="shared" si="3"/>
        <v>0.30533636363636368</v>
      </c>
      <c r="Q50" s="112"/>
      <c r="R50" s="112">
        <f t="shared" si="4"/>
        <v>0</v>
      </c>
      <c r="S50" s="112"/>
      <c r="T50" s="112">
        <f t="shared" si="5"/>
        <v>0</v>
      </c>
      <c r="U50" s="112"/>
      <c r="V50" s="112">
        <f t="shared" si="6"/>
        <v>0</v>
      </c>
      <c r="W50" s="112"/>
      <c r="X50" s="112">
        <f t="shared" si="7"/>
        <v>0</v>
      </c>
      <c r="Y50" s="99">
        <f t="shared" si="8"/>
        <v>0.03</v>
      </c>
      <c r="Z50" s="275">
        <f t="shared" si="8"/>
        <v>0.91600909090909099</v>
      </c>
      <c r="AA50" s="111">
        <v>0.01</v>
      </c>
      <c r="AB50" s="112">
        <f t="shared" si="9"/>
        <v>0.30533636363636368</v>
      </c>
      <c r="AC50" s="111">
        <v>0.01</v>
      </c>
      <c r="AD50" s="112">
        <f t="shared" si="10"/>
        <v>0.30533636363636368</v>
      </c>
      <c r="AE50" s="111">
        <v>0.01</v>
      </c>
      <c r="AF50" s="112">
        <f t="shared" si="11"/>
        <v>0.30533636363636368</v>
      </c>
      <c r="AG50" s="111">
        <v>0.01</v>
      </c>
      <c r="AH50" s="112">
        <f t="shared" si="12"/>
        <v>0.30533636363636368</v>
      </c>
      <c r="AI50" s="111">
        <v>0.01</v>
      </c>
      <c r="AJ50" s="112">
        <f t="shared" si="13"/>
        <v>0.30533636363636368</v>
      </c>
      <c r="AK50" s="94">
        <v>0.02</v>
      </c>
      <c r="AL50" s="112">
        <f t="shared" si="14"/>
        <v>0.61067272727272737</v>
      </c>
      <c r="AM50" s="99">
        <f t="shared" si="21"/>
        <v>0.06</v>
      </c>
      <c r="AN50" s="100">
        <f t="shared" si="21"/>
        <v>1.832018181818182</v>
      </c>
      <c r="AO50" s="277"/>
      <c r="AP50" s="112">
        <f t="shared" si="15"/>
        <v>0</v>
      </c>
      <c r="AQ50" s="99">
        <f t="shared" si="19"/>
        <v>0</v>
      </c>
      <c r="AR50" s="276">
        <f t="shared" si="16"/>
        <v>0</v>
      </c>
      <c r="AS50" s="103">
        <f t="shared" si="22"/>
        <v>0.09</v>
      </c>
      <c r="AT50" s="104">
        <f t="shared" si="22"/>
        <v>2.7480272727272732</v>
      </c>
      <c r="AU50" s="56" t="s">
        <v>155</v>
      </c>
      <c r="AV50" s="56">
        <f t="shared" si="20"/>
        <v>0</v>
      </c>
    </row>
    <row r="51" spans="1:48" ht="15" customHeight="1" x14ac:dyDescent="0.45">
      <c r="A51" s="73"/>
      <c r="B51" s="90"/>
      <c r="C51" s="75">
        <v>38</v>
      </c>
      <c r="D51" s="172" t="s">
        <v>244</v>
      </c>
      <c r="E51" s="173" t="s">
        <v>245</v>
      </c>
      <c r="F51" s="110" t="s">
        <v>187</v>
      </c>
      <c r="G51" s="93"/>
      <c r="H51" s="94">
        <f t="shared" si="17"/>
        <v>0</v>
      </c>
      <c r="I51" s="94"/>
      <c r="J51" s="94"/>
      <c r="K51" s="80">
        <f t="shared" si="18"/>
        <v>0</v>
      </c>
      <c r="L51" s="270">
        <f t="shared" si="18"/>
        <v>0</v>
      </c>
      <c r="M51" s="112">
        <v>0</v>
      </c>
      <c r="N51" s="112">
        <f t="shared" si="2"/>
        <v>0</v>
      </c>
      <c r="O51" s="112">
        <v>0.01</v>
      </c>
      <c r="P51" s="112">
        <f t="shared" si="3"/>
        <v>0.30533636363636368</v>
      </c>
      <c r="Q51" s="112">
        <v>0.01</v>
      </c>
      <c r="R51" s="112">
        <f t="shared" si="4"/>
        <v>0.30533636363636368</v>
      </c>
      <c r="S51" s="112">
        <v>0.01</v>
      </c>
      <c r="T51" s="112">
        <f t="shared" si="5"/>
        <v>0.30533636363636368</v>
      </c>
      <c r="U51" s="112">
        <v>0.01</v>
      </c>
      <c r="V51" s="112">
        <f t="shared" si="6"/>
        <v>0.30533636363636368</v>
      </c>
      <c r="W51" s="112">
        <v>0.01</v>
      </c>
      <c r="X51" s="112">
        <f t="shared" si="7"/>
        <v>0.30533636363636368</v>
      </c>
      <c r="Y51" s="99">
        <f t="shared" si="8"/>
        <v>0.05</v>
      </c>
      <c r="Z51" s="275">
        <f t="shared" si="8"/>
        <v>1.5266818181818185</v>
      </c>
      <c r="AA51" s="111">
        <v>0.01</v>
      </c>
      <c r="AB51" s="112">
        <f t="shared" si="9"/>
        <v>0.30533636363636368</v>
      </c>
      <c r="AC51" s="111">
        <v>0.01</v>
      </c>
      <c r="AD51" s="180">
        <f t="shared" si="10"/>
        <v>0.30533636363636368</v>
      </c>
      <c r="AE51" s="111">
        <v>0.01</v>
      </c>
      <c r="AF51" s="180">
        <f t="shared" si="11"/>
        <v>0.30533636363636368</v>
      </c>
      <c r="AG51" s="111">
        <v>0.01</v>
      </c>
      <c r="AH51" s="112">
        <f t="shared" si="12"/>
        <v>0.30533636363636368</v>
      </c>
      <c r="AI51" s="111">
        <v>0.01</v>
      </c>
      <c r="AJ51" s="112">
        <f t="shared" si="13"/>
        <v>0.30533636363636368</v>
      </c>
      <c r="AK51" s="94"/>
      <c r="AL51" s="112">
        <f t="shared" si="14"/>
        <v>0</v>
      </c>
      <c r="AM51" s="99">
        <f t="shared" si="21"/>
        <v>0.04</v>
      </c>
      <c r="AN51" s="100">
        <f t="shared" si="21"/>
        <v>1.2213454545454547</v>
      </c>
      <c r="AO51" s="277"/>
      <c r="AP51" s="112">
        <f t="shared" si="15"/>
        <v>0</v>
      </c>
      <c r="AQ51" s="99">
        <f t="shared" si="19"/>
        <v>0</v>
      </c>
      <c r="AR51" s="276">
        <f t="shared" si="16"/>
        <v>0</v>
      </c>
      <c r="AS51" s="103">
        <f t="shared" si="22"/>
        <v>0.09</v>
      </c>
      <c r="AT51" s="104">
        <f t="shared" si="22"/>
        <v>2.7480272727272732</v>
      </c>
      <c r="AU51" s="56" t="s">
        <v>155</v>
      </c>
      <c r="AV51" s="56">
        <f t="shared" si="20"/>
        <v>0</v>
      </c>
    </row>
    <row r="52" spans="1:48" ht="15" customHeight="1" x14ac:dyDescent="0.45">
      <c r="A52" s="73"/>
      <c r="B52" s="106" t="s">
        <v>246</v>
      </c>
      <c r="C52" s="521">
        <v>39</v>
      </c>
      <c r="D52" s="172" t="s">
        <v>247</v>
      </c>
      <c r="E52" s="173" t="s">
        <v>248</v>
      </c>
      <c r="F52" s="110" t="s">
        <v>187</v>
      </c>
      <c r="G52" s="93"/>
      <c r="H52" s="94">
        <f t="shared" si="17"/>
        <v>0</v>
      </c>
      <c r="I52" s="94"/>
      <c r="J52" s="94"/>
      <c r="K52" s="80">
        <f t="shared" si="18"/>
        <v>0</v>
      </c>
      <c r="L52" s="270">
        <f t="shared" si="18"/>
        <v>0</v>
      </c>
      <c r="M52" s="112"/>
      <c r="N52" s="112">
        <f t="shared" si="2"/>
        <v>0</v>
      </c>
      <c r="O52" s="112"/>
      <c r="P52" s="112">
        <f t="shared" si="3"/>
        <v>0</v>
      </c>
      <c r="Q52" s="112"/>
      <c r="R52" s="112">
        <f t="shared" si="4"/>
        <v>0</v>
      </c>
      <c r="S52" s="112"/>
      <c r="T52" s="112">
        <f t="shared" si="5"/>
        <v>0</v>
      </c>
      <c r="U52" s="112"/>
      <c r="V52" s="112">
        <f t="shared" si="6"/>
        <v>0</v>
      </c>
      <c r="W52" s="112"/>
      <c r="X52" s="112">
        <f t="shared" si="7"/>
        <v>0</v>
      </c>
      <c r="Y52" s="99">
        <f t="shared" si="8"/>
        <v>0</v>
      </c>
      <c r="Z52" s="275">
        <f t="shared" si="8"/>
        <v>0</v>
      </c>
      <c r="AA52" s="111">
        <v>0.01</v>
      </c>
      <c r="AB52" s="112">
        <f t="shared" si="9"/>
        <v>0.30533636363636368</v>
      </c>
      <c r="AC52" s="111">
        <v>0.01</v>
      </c>
      <c r="AD52" s="180">
        <f t="shared" si="10"/>
        <v>0.30533636363636368</v>
      </c>
      <c r="AE52" s="111">
        <v>0.01</v>
      </c>
      <c r="AF52" s="180">
        <f t="shared" si="11"/>
        <v>0.30533636363636368</v>
      </c>
      <c r="AG52" s="111">
        <v>0.01</v>
      </c>
      <c r="AH52" s="112">
        <f t="shared" si="12"/>
        <v>0.30533636363636368</v>
      </c>
      <c r="AI52" s="111">
        <v>0.01</v>
      </c>
      <c r="AJ52" s="112">
        <f t="shared" si="13"/>
        <v>0.30533636363636368</v>
      </c>
      <c r="AK52" s="94"/>
      <c r="AL52" s="112">
        <f t="shared" si="14"/>
        <v>0</v>
      </c>
      <c r="AM52" s="99">
        <f t="shared" si="21"/>
        <v>0.04</v>
      </c>
      <c r="AN52" s="100">
        <f t="shared" si="21"/>
        <v>1.2213454545454547</v>
      </c>
      <c r="AO52" s="277"/>
      <c r="AP52" s="112">
        <f t="shared" si="15"/>
        <v>0</v>
      </c>
      <c r="AQ52" s="99">
        <f t="shared" si="19"/>
        <v>0</v>
      </c>
      <c r="AR52" s="276">
        <f t="shared" si="16"/>
        <v>0</v>
      </c>
      <c r="AS52" s="103">
        <f t="shared" si="22"/>
        <v>0.04</v>
      </c>
      <c r="AT52" s="104">
        <f t="shared" si="22"/>
        <v>1.2213454545454547</v>
      </c>
      <c r="AU52" s="56" t="s">
        <v>155</v>
      </c>
      <c r="AV52" s="56">
        <f t="shared" si="20"/>
        <v>0</v>
      </c>
    </row>
    <row r="53" spans="1:48" ht="15" customHeight="1" x14ac:dyDescent="0.45">
      <c r="A53" s="73"/>
      <c r="B53" s="90"/>
      <c r="C53" s="105">
        <v>40</v>
      </c>
      <c r="D53" s="172" t="s">
        <v>249</v>
      </c>
      <c r="E53" s="173" t="s">
        <v>250</v>
      </c>
      <c r="F53" s="174" t="s">
        <v>203</v>
      </c>
      <c r="G53" s="93"/>
      <c r="H53" s="94">
        <f t="shared" si="17"/>
        <v>0</v>
      </c>
      <c r="I53" s="94"/>
      <c r="J53" s="94"/>
      <c r="K53" s="80">
        <f t="shared" si="18"/>
        <v>0</v>
      </c>
      <c r="L53" s="270">
        <f t="shared" si="18"/>
        <v>0</v>
      </c>
      <c r="M53" s="112">
        <v>0.03</v>
      </c>
      <c r="N53" s="112">
        <f t="shared" si="2"/>
        <v>0.91600909090909088</v>
      </c>
      <c r="O53" s="112">
        <v>0.05</v>
      </c>
      <c r="P53" s="112">
        <f t="shared" si="3"/>
        <v>1.5266818181818183</v>
      </c>
      <c r="Q53" s="112">
        <v>0.06</v>
      </c>
      <c r="R53" s="112">
        <f t="shared" si="4"/>
        <v>1.8320181818181818</v>
      </c>
      <c r="S53" s="112">
        <v>0.05</v>
      </c>
      <c r="T53" s="112">
        <f t="shared" si="5"/>
        <v>1.5266818181818183</v>
      </c>
      <c r="U53" s="112">
        <v>0.05</v>
      </c>
      <c r="V53" s="112">
        <f t="shared" si="6"/>
        <v>1.5266818181818183</v>
      </c>
      <c r="W53" s="112">
        <v>0.05</v>
      </c>
      <c r="X53" s="112">
        <f t="shared" si="7"/>
        <v>1.5266818181818183</v>
      </c>
      <c r="Y53" s="99">
        <f t="shared" si="8"/>
        <v>0.28999999999999998</v>
      </c>
      <c r="Z53" s="275">
        <f t="shared" si="8"/>
        <v>8.8547545454545453</v>
      </c>
      <c r="AA53" s="111"/>
      <c r="AB53" s="112">
        <f t="shared" si="9"/>
        <v>0</v>
      </c>
      <c r="AC53" s="111"/>
      <c r="AD53" s="112">
        <f t="shared" si="10"/>
        <v>0</v>
      </c>
      <c r="AE53" s="111"/>
      <c r="AF53" s="112">
        <f t="shared" si="11"/>
        <v>0</v>
      </c>
      <c r="AG53" s="111"/>
      <c r="AH53" s="112">
        <f t="shared" si="12"/>
        <v>0</v>
      </c>
      <c r="AI53" s="111"/>
      <c r="AJ53" s="112">
        <f t="shared" si="13"/>
        <v>0</v>
      </c>
      <c r="AK53" s="94"/>
      <c r="AL53" s="112">
        <f t="shared" si="14"/>
        <v>0</v>
      </c>
      <c r="AM53" s="99">
        <f t="shared" si="21"/>
        <v>0</v>
      </c>
      <c r="AN53" s="100">
        <f t="shared" si="21"/>
        <v>0</v>
      </c>
      <c r="AO53" s="277"/>
      <c r="AP53" s="112">
        <f t="shared" si="15"/>
        <v>0</v>
      </c>
      <c r="AQ53" s="99">
        <f t="shared" si="19"/>
        <v>0</v>
      </c>
      <c r="AR53" s="276">
        <f t="shared" si="16"/>
        <v>0</v>
      </c>
      <c r="AS53" s="103">
        <f t="shared" si="22"/>
        <v>0.28999999999999998</v>
      </c>
      <c r="AT53" s="104">
        <f t="shared" si="22"/>
        <v>8.8547545454545453</v>
      </c>
      <c r="AU53" s="56" t="s">
        <v>155</v>
      </c>
      <c r="AV53" s="56">
        <f t="shared" si="20"/>
        <v>0</v>
      </c>
    </row>
    <row r="54" spans="1:48" ht="15" customHeight="1" x14ac:dyDescent="0.45">
      <c r="A54" s="73"/>
      <c r="B54" s="90"/>
      <c r="C54" s="105">
        <v>41</v>
      </c>
      <c r="D54" s="172" t="s">
        <v>251</v>
      </c>
      <c r="E54" s="173" t="s">
        <v>252</v>
      </c>
      <c r="F54" s="174" t="s">
        <v>203</v>
      </c>
      <c r="G54" s="93"/>
      <c r="H54" s="94">
        <f t="shared" si="17"/>
        <v>0</v>
      </c>
      <c r="I54" s="94"/>
      <c r="J54" s="94"/>
      <c r="K54" s="80">
        <f t="shared" si="18"/>
        <v>0</v>
      </c>
      <c r="L54" s="270">
        <f t="shared" si="18"/>
        <v>0</v>
      </c>
      <c r="M54" s="112">
        <v>0</v>
      </c>
      <c r="N54" s="112">
        <f t="shared" si="2"/>
        <v>0</v>
      </c>
      <c r="O54" s="112">
        <v>0.02</v>
      </c>
      <c r="P54" s="112">
        <f t="shared" si="3"/>
        <v>0.61067272727272737</v>
      </c>
      <c r="Q54" s="112">
        <v>0.03</v>
      </c>
      <c r="R54" s="112">
        <f t="shared" si="4"/>
        <v>0.91600909090909088</v>
      </c>
      <c r="S54" s="112">
        <v>0.02</v>
      </c>
      <c r="T54" s="112">
        <f t="shared" si="5"/>
        <v>0.61067272727272737</v>
      </c>
      <c r="U54" s="112">
        <v>0.02</v>
      </c>
      <c r="V54" s="112">
        <f t="shared" si="6"/>
        <v>0.61067272727272737</v>
      </c>
      <c r="W54" s="112">
        <v>0.02</v>
      </c>
      <c r="X54" s="112">
        <f t="shared" si="7"/>
        <v>0.61067272727272737</v>
      </c>
      <c r="Y54" s="99">
        <f t="shared" si="8"/>
        <v>0.11000000000000001</v>
      </c>
      <c r="Z54" s="275">
        <f t="shared" si="8"/>
        <v>3.3587000000000007</v>
      </c>
      <c r="AA54" s="111">
        <v>0.05</v>
      </c>
      <c r="AB54" s="112">
        <f t="shared" si="9"/>
        <v>1.5266818181818183</v>
      </c>
      <c r="AC54" s="111">
        <v>0.05</v>
      </c>
      <c r="AD54" s="112">
        <f t="shared" si="10"/>
        <v>1.5266818181818183</v>
      </c>
      <c r="AE54" s="111">
        <v>7.0000000000000007E-2</v>
      </c>
      <c r="AF54" s="112">
        <f t="shared" si="11"/>
        <v>2.1373545454545457</v>
      </c>
      <c r="AG54" s="111">
        <v>0.05</v>
      </c>
      <c r="AH54" s="112">
        <f t="shared" si="12"/>
        <v>1.5266818181818183</v>
      </c>
      <c r="AI54" s="111">
        <v>0.05</v>
      </c>
      <c r="AJ54" s="112">
        <f t="shared" si="13"/>
        <v>1.5266818181818183</v>
      </c>
      <c r="AK54" s="94">
        <v>0.08</v>
      </c>
      <c r="AL54" s="112">
        <f t="shared" si="14"/>
        <v>2.4426909090909095</v>
      </c>
      <c r="AM54" s="99">
        <f t="shared" si="21"/>
        <v>0.30000000000000004</v>
      </c>
      <c r="AN54" s="100">
        <f t="shared" si="21"/>
        <v>9.1600909090909095</v>
      </c>
      <c r="AO54" s="277"/>
      <c r="AP54" s="112">
        <f t="shared" si="15"/>
        <v>0</v>
      </c>
      <c r="AQ54" s="99">
        <f t="shared" si="19"/>
        <v>0</v>
      </c>
      <c r="AR54" s="276">
        <f t="shared" si="16"/>
        <v>0</v>
      </c>
      <c r="AS54" s="103">
        <f t="shared" si="22"/>
        <v>0.41000000000000003</v>
      </c>
      <c r="AT54" s="104">
        <f t="shared" si="22"/>
        <v>12.51879090909091</v>
      </c>
      <c r="AU54" s="56" t="s">
        <v>155</v>
      </c>
      <c r="AV54" s="56">
        <f t="shared" si="20"/>
        <v>0</v>
      </c>
    </row>
    <row r="55" spans="1:48" ht="15" customHeight="1" x14ac:dyDescent="0.45">
      <c r="A55" s="73"/>
      <c r="B55" s="90"/>
      <c r="C55" s="75">
        <v>42</v>
      </c>
      <c r="D55" s="172" t="s">
        <v>253</v>
      </c>
      <c r="E55" s="173" t="s">
        <v>254</v>
      </c>
      <c r="F55" s="110" t="s">
        <v>177</v>
      </c>
      <c r="G55" s="93"/>
      <c r="H55" s="94">
        <f t="shared" si="17"/>
        <v>0</v>
      </c>
      <c r="I55" s="94"/>
      <c r="J55" s="94"/>
      <c r="K55" s="80">
        <f t="shared" si="18"/>
        <v>0</v>
      </c>
      <c r="L55" s="270">
        <f t="shared" si="18"/>
        <v>0</v>
      </c>
      <c r="M55" s="112">
        <v>0</v>
      </c>
      <c r="N55" s="112">
        <f t="shared" si="2"/>
        <v>0</v>
      </c>
      <c r="O55" s="112">
        <v>0.01</v>
      </c>
      <c r="P55" s="112">
        <f t="shared" si="3"/>
        <v>0.30533636363636368</v>
      </c>
      <c r="Q55" s="112">
        <v>0.01</v>
      </c>
      <c r="R55" s="112">
        <f t="shared" si="4"/>
        <v>0.30533636363636368</v>
      </c>
      <c r="S55" s="112">
        <v>0.02</v>
      </c>
      <c r="T55" s="112">
        <f t="shared" si="5"/>
        <v>0.61067272727272737</v>
      </c>
      <c r="U55" s="112">
        <v>0.02</v>
      </c>
      <c r="V55" s="112">
        <f t="shared" si="6"/>
        <v>0.61067272727272737</v>
      </c>
      <c r="W55" s="112">
        <v>0.02</v>
      </c>
      <c r="X55" s="112">
        <f t="shared" si="7"/>
        <v>0.61067272727272737</v>
      </c>
      <c r="Y55" s="99">
        <f t="shared" si="8"/>
        <v>0.08</v>
      </c>
      <c r="Z55" s="275">
        <f t="shared" si="8"/>
        <v>2.4426909090909095</v>
      </c>
      <c r="AA55" s="111">
        <v>0.01</v>
      </c>
      <c r="AB55" s="112">
        <f t="shared" si="9"/>
        <v>0.30533636363636368</v>
      </c>
      <c r="AC55" s="111">
        <v>0.01</v>
      </c>
      <c r="AD55" s="180">
        <f t="shared" si="10"/>
        <v>0.30533636363636368</v>
      </c>
      <c r="AE55" s="111">
        <v>0.01</v>
      </c>
      <c r="AF55" s="180">
        <f t="shared" si="11"/>
        <v>0.30533636363636368</v>
      </c>
      <c r="AG55" s="111">
        <v>0.01</v>
      </c>
      <c r="AH55" s="112">
        <f t="shared" si="12"/>
        <v>0.30533636363636368</v>
      </c>
      <c r="AI55" s="111">
        <v>0.01</v>
      </c>
      <c r="AJ55" s="112">
        <f t="shared" si="13"/>
        <v>0.30533636363636368</v>
      </c>
      <c r="AK55" s="94"/>
      <c r="AL55" s="112">
        <f t="shared" si="14"/>
        <v>0</v>
      </c>
      <c r="AM55" s="99">
        <f t="shared" si="21"/>
        <v>0.04</v>
      </c>
      <c r="AN55" s="100">
        <f t="shared" si="21"/>
        <v>1.2213454545454547</v>
      </c>
      <c r="AO55" s="277"/>
      <c r="AP55" s="112">
        <f t="shared" si="15"/>
        <v>0</v>
      </c>
      <c r="AQ55" s="99">
        <f t="shared" si="19"/>
        <v>0</v>
      </c>
      <c r="AR55" s="276">
        <f t="shared" si="16"/>
        <v>0</v>
      </c>
      <c r="AS55" s="103">
        <f t="shared" si="22"/>
        <v>0.12</v>
      </c>
      <c r="AT55" s="104">
        <f t="shared" si="22"/>
        <v>3.664036363636364</v>
      </c>
      <c r="AU55" s="56" t="s">
        <v>155</v>
      </c>
      <c r="AV55" s="56">
        <f t="shared" si="20"/>
        <v>0</v>
      </c>
    </row>
    <row r="56" spans="1:48" ht="15" customHeight="1" x14ac:dyDescent="0.45">
      <c r="A56" s="73"/>
      <c r="B56" s="106" t="s">
        <v>255</v>
      </c>
      <c r="C56" s="521">
        <v>43</v>
      </c>
      <c r="D56" s="172" t="s">
        <v>256</v>
      </c>
      <c r="E56" s="173" t="s">
        <v>257</v>
      </c>
      <c r="F56" s="110" t="s">
        <v>177</v>
      </c>
      <c r="G56" s="93"/>
      <c r="H56" s="94">
        <f t="shared" si="17"/>
        <v>0</v>
      </c>
      <c r="I56" s="94"/>
      <c r="J56" s="94"/>
      <c r="K56" s="80">
        <f t="shared" si="18"/>
        <v>0</v>
      </c>
      <c r="L56" s="270">
        <f t="shared" si="18"/>
        <v>0</v>
      </c>
      <c r="M56" s="112">
        <v>0</v>
      </c>
      <c r="N56" s="112">
        <f t="shared" si="2"/>
        <v>0</v>
      </c>
      <c r="O56" s="112">
        <v>0.01</v>
      </c>
      <c r="P56" s="112">
        <f t="shared" si="3"/>
        <v>0.30533636363636368</v>
      </c>
      <c r="Q56" s="112">
        <v>0.01</v>
      </c>
      <c r="R56" s="112">
        <f t="shared" si="4"/>
        <v>0.30533636363636368</v>
      </c>
      <c r="S56" s="112">
        <v>0.01</v>
      </c>
      <c r="T56" s="112">
        <f t="shared" si="5"/>
        <v>0.30533636363636368</v>
      </c>
      <c r="U56" s="112">
        <v>0.01</v>
      </c>
      <c r="V56" s="112">
        <f t="shared" si="6"/>
        <v>0.30533636363636368</v>
      </c>
      <c r="W56" s="112">
        <v>0.01</v>
      </c>
      <c r="X56" s="112">
        <f t="shared" si="7"/>
        <v>0.30533636363636368</v>
      </c>
      <c r="Y56" s="99">
        <f t="shared" si="8"/>
        <v>0.05</v>
      </c>
      <c r="Z56" s="275">
        <f t="shared" si="8"/>
        <v>1.5266818181818185</v>
      </c>
      <c r="AA56" s="111"/>
      <c r="AB56" s="112">
        <f t="shared" si="9"/>
        <v>0</v>
      </c>
      <c r="AC56" s="111"/>
      <c r="AD56" s="112">
        <f t="shared" si="10"/>
        <v>0</v>
      </c>
      <c r="AE56" s="111"/>
      <c r="AF56" s="112">
        <f t="shared" si="11"/>
        <v>0</v>
      </c>
      <c r="AG56" s="111"/>
      <c r="AH56" s="112">
        <f t="shared" si="12"/>
        <v>0</v>
      </c>
      <c r="AI56" s="111"/>
      <c r="AJ56" s="112">
        <f t="shared" si="13"/>
        <v>0</v>
      </c>
      <c r="AK56" s="94"/>
      <c r="AL56" s="112">
        <f t="shared" si="14"/>
        <v>0</v>
      </c>
      <c r="AM56" s="99">
        <f t="shared" si="21"/>
        <v>0</v>
      </c>
      <c r="AN56" s="100">
        <f t="shared" si="21"/>
        <v>0</v>
      </c>
      <c r="AO56" s="277"/>
      <c r="AP56" s="112">
        <f t="shared" si="15"/>
        <v>0</v>
      </c>
      <c r="AQ56" s="99">
        <f t="shared" si="19"/>
        <v>0</v>
      </c>
      <c r="AR56" s="276">
        <f t="shared" si="16"/>
        <v>0</v>
      </c>
      <c r="AS56" s="103">
        <f t="shared" si="22"/>
        <v>0.05</v>
      </c>
      <c r="AT56" s="104">
        <f t="shared" si="22"/>
        <v>1.5266818181818185</v>
      </c>
      <c r="AU56" s="56" t="s">
        <v>155</v>
      </c>
      <c r="AV56" s="56">
        <f t="shared" si="20"/>
        <v>0</v>
      </c>
    </row>
    <row r="57" spans="1:48" ht="15" customHeight="1" x14ac:dyDescent="0.45">
      <c r="A57" s="73"/>
      <c r="B57" s="90"/>
      <c r="C57" s="105">
        <v>44</v>
      </c>
      <c r="D57" s="172" t="s">
        <v>258</v>
      </c>
      <c r="E57" s="173" t="s">
        <v>259</v>
      </c>
      <c r="F57" s="110" t="s">
        <v>187</v>
      </c>
      <c r="G57" s="93"/>
      <c r="H57" s="94">
        <f t="shared" si="17"/>
        <v>0</v>
      </c>
      <c r="I57" s="94"/>
      <c r="J57" s="94"/>
      <c r="K57" s="80">
        <f t="shared" si="18"/>
        <v>0</v>
      </c>
      <c r="L57" s="270">
        <f t="shared" si="18"/>
        <v>0</v>
      </c>
      <c r="M57" s="112">
        <v>0</v>
      </c>
      <c r="N57" s="112">
        <f t="shared" si="2"/>
        <v>0</v>
      </c>
      <c r="O57" s="112">
        <v>0.01</v>
      </c>
      <c r="P57" s="112">
        <f t="shared" si="3"/>
        <v>0.30533636363636368</v>
      </c>
      <c r="Q57" s="112">
        <v>0.03</v>
      </c>
      <c r="R57" s="112">
        <f t="shared" si="4"/>
        <v>0.91600909090909088</v>
      </c>
      <c r="S57" s="112">
        <v>0.01</v>
      </c>
      <c r="T57" s="112">
        <f t="shared" si="5"/>
        <v>0.30533636363636368</v>
      </c>
      <c r="U57" s="112">
        <v>0.01</v>
      </c>
      <c r="V57" s="112">
        <f t="shared" si="6"/>
        <v>0.30533636363636368</v>
      </c>
      <c r="W57" s="112">
        <v>0.01</v>
      </c>
      <c r="X57" s="112">
        <f t="shared" si="7"/>
        <v>0.30533636363636368</v>
      </c>
      <c r="Y57" s="99">
        <f t="shared" si="8"/>
        <v>7.0000000000000007E-2</v>
      </c>
      <c r="Z57" s="275">
        <f t="shared" si="8"/>
        <v>2.1373545454545457</v>
      </c>
      <c r="AA57" s="111">
        <v>0.05</v>
      </c>
      <c r="AB57" s="112">
        <f t="shared" si="9"/>
        <v>1.5266818181818183</v>
      </c>
      <c r="AC57" s="111">
        <v>0.05</v>
      </c>
      <c r="AD57" s="180">
        <f t="shared" si="10"/>
        <v>1.5266818181818183</v>
      </c>
      <c r="AE57" s="111">
        <v>0.05</v>
      </c>
      <c r="AF57" s="180">
        <f t="shared" si="11"/>
        <v>1.5266818181818183</v>
      </c>
      <c r="AG57" s="111">
        <v>0.05</v>
      </c>
      <c r="AH57" s="112">
        <f t="shared" si="12"/>
        <v>1.5266818181818183</v>
      </c>
      <c r="AI57" s="111">
        <v>0.05</v>
      </c>
      <c r="AJ57" s="112">
        <f t="shared" si="13"/>
        <v>1.5266818181818183</v>
      </c>
      <c r="AK57" s="94">
        <v>0.08</v>
      </c>
      <c r="AL57" s="112">
        <f t="shared" si="14"/>
        <v>2.4426909090909095</v>
      </c>
      <c r="AM57" s="99">
        <f t="shared" si="21"/>
        <v>0.28000000000000003</v>
      </c>
      <c r="AN57" s="100">
        <f t="shared" si="21"/>
        <v>8.5494181818181829</v>
      </c>
      <c r="AO57" s="277"/>
      <c r="AP57" s="112">
        <f t="shared" si="15"/>
        <v>0</v>
      </c>
      <c r="AQ57" s="99">
        <f t="shared" si="19"/>
        <v>0</v>
      </c>
      <c r="AR57" s="276">
        <f t="shared" si="16"/>
        <v>0</v>
      </c>
      <c r="AS57" s="103">
        <f t="shared" si="22"/>
        <v>0.35000000000000003</v>
      </c>
      <c r="AT57" s="104">
        <f t="shared" si="22"/>
        <v>10.686772727272729</v>
      </c>
      <c r="AU57" s="56" t="s">
        <v>155</v>
      </c>
      <c r="AV57" s="56">
        <f t="shared" si="20"/>
        <v>0</v>
      </c>
    </row>
    <row r="58" spans="1:48" ht="15" customHeight="1" x14ac:dyDescent="0.45">
      <c r="A58" s="73"/>
      <c r="B58" s="90"/>
      <c r="C58" s="75">
        <v>45</v>
      </c>
      <c r="D58" s="172" t="s">
        <v>260</v>
      </c>
      <c r="E58" s="173" t="s">
        <v>261</v>
      </c>
      <c r="F58" s="110" t="s">
        <v>187</v>
      </c>
      <c r="G58" s="93"/>
      <c r="H58" s="94">
        <f t="shared" si="17"/>
        <v>0</v>
      </c>
      <c r="I58" s="94"/>
      <c r="J58" s="94"/>
      <c r="K58" s="80">
        <f t="shared" si="18"/>
        <v>0</v>
      </c>
      <c r="L58" s="270">
        <f t="shared" si="18"/>
        <v>0</v>
      </c>
      <c r="M58" s="112"/>
      <c r="N58" s="112">
        <f t="shared" si="2"/>
        <v>0</v>
      </c>
      <c r="O58" s="112"/>
      <c r="P58" s="112">
        <f t="shared" si="3"/>
        <v>0</v>
      </c>
      <c r="Q58" s="112"/>
      <c r="R58" s="112">
        <f t="shared" si="4"/>
        <v>0</v>
      </c>
      <c r="S58" s="112"/>
      <c r="T58" s="112">
        <f t="shared" si="5"/>
        <v>0</v>
      </c>
      <c r="U58" s="112"/>
      <c r="V58" s="112">
        <f t="shared" si="6"/>
        <v>0</v>
      </c>
      <c r="W58" s="112"/>
      <c r="X58" s="112">
        <f t="shared" si="7"/>
        <v>0</v>
      </c>
      <c r="Y58" s="99">
        <f t="shared" si="8"/>
        <v>0</v>
      </c>
      <c r="Z58" s="275">
        <f t="shared" si="8"/>
        <v>0</v>
      </c>
      <c r="AA58" s="111">
        <v>0.01</v>
      </c>
      <c r="AB58" s="112">
        <f t="shared" si="9"/>
        <v>0.30533636363636368</v>
      </c>
      <c r="AC58" s="111">
        <v>0.01</v>
      </c>
      <c r="AD58" s="180">
        <f t="shared" si="10"/>
        <v>0.30533636363636368</v>
      </c>
      <c r="AE58" s="111">
        <v>0.01</v>
      </c>
      <c r="AF58" s="180">
        <f t="shared" si="11"/>
        <v>0.30533636363636368</v>
      </c>
      <c r="AG58" s="111">
        <v>0.01</v>
      </c>
      <c r="AH58" s="112">
        <f t="shared" si="12"/>
        <v>0.30533636363636368</v>
      </c>
      <c r="AI58" s="111">
        <v>0.01</v>
      </c>
      <c r="AJ58" s="112">
        <f t="shared" si="13"/>
        <v>0.30533636363636368</v>
      </c>
      <c r="AK58" s="94">
        <v>0.04</v>
      </c>
      <c r="AL58" s="112">
        <f t="shared" si="14"/>
        <v>1.2213454545454547</v>
      </c>
      <c r="AM58" s="99">
        <f t="shared" si="21"/>
        <v>0.08</v>
      </c>
      <c r="AN58" s="100">
        <f t="shared" si="21"/>
        <v>2.4426909090909095</v>
      </c>
      <c r="AO58" s="277"/>
      <c r="AP58" s="112">
        <f t="shared" si="15"/>
        <v>0</v>
      </c>
      <c r="AQ58" s="99">
        <f t="shared" si="19"/>
        <v>0</v>
      </c>
      <c r="AR58" s="276">
        <f t="shared" si="16"/>
        <v>0</v>
      </c>
      <c r="AS58" s="103">
        <f t="shared" si="22"/>
        <v>0.08</v>
      </c>
      <c r="AT58" s="104">
        <f t="shared" si="22"/>
        <v>2.4426909090909095</v>
      </c>
      <c r="AU58" s="56" t="s">
        <v>155</v>
      </c>
      <c r="AV58" s="56">
        <f t="shared" si="20"/>
        <v>0</v>
      </c>
    </row>
    <row r="59" spans="1:48" ht="15" customHeight="1" x14ac:dyDescent="0.45">
      <c r="A59" s="73"/>
      <c r="B59" s="106" t="s">
        <v>262</v>
      </c>
      <c r="C59" s="91">
        <v>46</v>
      </c>
      <c r="D59" s="172" t="s">
        <v>263</v>
      </c>
      <c r="E59" s="173" t="s">
        <v>264</v>
      </c>
      <c r="F59" s="174" t="s">
        <v>203</v>
      </c>
      <c r="G59" s="93"/>
      <c r="H59" s="94">
        <f t="shared" si="17"/>
        <v>0</v>
      </c>
      <c r="I59" s="94"/>
      <c r="J59" s="94"/>
      <c r="K59" s="80">
        <f t="shared" si="18"/>
        <v>0</v>
      </c>
      <c r="L59" s="270">
        <f t="shared" si="18"/>
        <v>0</v>
      </c>
      <c r="M59" s="112">
        <v>0</v>
      </c>
      <c r="N59" s="112">
        <f t="shared" si="2"/>
        <v>0</v>
      </c>
      <c r="O59" s="112">
        <v>0.01</v>
      </c>
      <c r="P59" s="112">
        <f t="shared" si="3"/>
        <v>0.30533636363636368</v>
      </c>
      <c r="Q59" s="112">
        <v>0.01</v>
      </c>
      <c r="R59" s="112">
        <f t="shared" si="4"/>
        <v>0.30533636363636368</v>
      </c>
      <c r="S59" s="112">
        <v>0.01</v>
      </c>
      <c r="T59" s="112">
        <f t="shared" si="5"/>
        <v>0.30533636363636368</v>
      </c>
      <c r="U59" s="112">
        <v>0.01</v>
      </c>
      <c r="V59" s="112">
        <f t="shared" si="6"/>
        <v>0.30533636363636368</v>
      </c>
      <c r="W59" s="112">
        <v>0.01</v>
      </c>
      <c r="X59" s="112">
        <f t="shared" si="7"/>
        <v>0.30533636363636368</v>
      </c>
      <c r="Y59" s="99">
        <f t="shared" si="8"/>
        <v>0.05</v>
      </c>
      <c r="Z59" s="275">
        <f t="shared" si="8"/>
        <v>1.5266818181818185</v>
      </c>
      <c r="AA59" s="111"/>
      <c r="AB59" s="112">
        <f t="shared" si="9"/>
        <v>0</v>
      </c>
      <c r="AC59" s="111"/>
      <c r="AD59" s="112">
        <f t="shared" si="10"/>
        <v>0</v>
      </c>
      <c r="AE59" s="111"/>
      <c r="AF59" s="112">
        <f t="shared" si="11"/>
        <v>0</v>
      </c>
      <c r="AG59" s="111"/>
      <c r="AH59" s="112">
        <f t="shared" si="12"/>
        <v>0</v>
      </c>
      <c r="AI59" s="111"/>
      <c r="AJ59" s="112">
        <f t="shared" si="13"/>
        <v>0</v>
      </c>
      <c r="AK59" s="94"/>
      <c r="AL59" s="112">
        <f t="shared" si="14"/>
        <v>0</v>
      </c>
      <c r="AM59" s="99">
        <f t="shared" si="21"/>
        <v>0</v>
      </c>
      <c r="AN59" s="100">
        <f t="shared" si="21"/>
        <v>0</v>
      </c>
      <c r="AO59" s="277"/>
      <c r="AP59" s="112">
        <f t="shared" si="15"/>
        <v>0</v>
      </c>
      <c r="AQ59" s="99">
        <f t="shared" si="19"/>
        <v>0</v>
      </c>
      <c r="AR59" s="276">
        <f t="shared" si="16"/>
        <v>0</v>
      </c>
      <c r="AS59" s="103">
        <f t="shared" si="22"/>
        <v>0.05</v>
      </c>
      <c r="AT59" s="104">
        <f t="shared" si="22"/>
        <v>1.5266818181818185</v>
      </c>
      <c r="AU59" s="56" t="s">
        <v>155</v>
      </c>
      <c r="AV59" s="56">
        <f t="shared" si="20"/>
        <v>0</v>
      </c>
    </row>
    <row r="60" spans="1:48" ht="15" customHeight="1" x14ac:dyDescent="0.45">
      <c r="A60" s="73"/>
      <c r="B60" s="90"/>
      <c r="C60" s="91">
        <v>47</v>
      </c>
      <c r="D60" s="172" t="s">
        <v>223</v>
      </c>
      <c r="E60" s="173" t="s">
        <v>265</v>
      </c>
      <c r="F60" s="174" t="s">
        <v>203</v>
      </c>
      <c r="G60" s="93"/>
      <c r="H60" s="94">
        <f t="shared" si="17"/>
        <v>0</v>
      </c>
      <c r="I60" s="94"/>
      <c r="J60" s="94"/>
      <c r="K60" s="80">
        <f t="shared" si="18"/>
        <v>0</v>
      </c>
      <c r="L60" s="270">
        <f t="shared" si="18"/>
        <v>0</v>
      </c>
      <c r="M60" s="112">
        <v>0.01</v>
      </c>
      <c r="N60" s="112">
        <f t="shared" si="2"/>
        <v>0.30533636363636368</v>
      </c>
      <c r="O60" s="112">
        <v>0.03</v>
      </c>
      <c r="P60" s="112">
        <f t="shared" si="3"/>
        <v>0.91600909090909088</v>
      </c>
      <c r="Q60" s="112">
        <v>0.02</v>
      </c>
      <c r="R60" s="112">
        <f t="shared" si="4"/>
        <v>0.61067272727272737</v>
      </c>
      <c r="S60" s="112">
        <v>0.02</v>
      </c>
      <c r="T60" s="112">
        <f t="shared" si="5"/>
        <v>0.61067272727272737</v>
      </c>
      <c r="U60" s="112">
        <v>0.02</v>
      </c>
      <c r="V60" s="112">
        <f t="shared" si="6"/>
        <v>0.61067272727272737</v>
      </c>
      <c r="W60" s="112">
        <v>0.02</v>
      </c>
      <c r="X60" s="112">
        <f t="shared" si="7"/>
        <v>0.61067272727272737</v>
      </c>
      <c r="Y60" s="99">
        <f t="shared" si="8"/>
        <v>0.12000000000000001</v>
      </c>
      <c r="Z60" s="275">
        <f t="shared" si="8"/>
        <v>3.6640363636363644</v>
      </c>
      <c r="AA60" s="111"/>
      <c r="AB60" s="112">
        <f t="shared" si="9"/>
        <v>0</v>
      </c>
      <c r="AC60" s="111"/>
      <c r="AD60" s="112">
        <f t="shared" si="10"/>
        <v>0</v>
      </c>
      <c r="AE60" s="111"/>
      <c r="AF60" s="112">
        <f t="shared" si="11"/>
        <v>0</v>
      </c>
      <c r="AG60" s="111"/>
      <c r="AH60" s="112">
        <f t="shared" si="12"/>
        <v>0</v>
      </c>
      <c r="AI60" s="111"/>
      <c r="AJ60" s="112">
        <f t="shared" si="13"/>
        <v>0</v>
      </c>
      <c r="AK60" s="94"/>
      <c r="AL60" s="112">
        <f t="shared" si="14"/>
        <v>0</v>
      </c>
      <c r="AM60" s="99">
        <f t="shared" si="21"/>
        <v>0</v>
      </c>
      <c r="AN60" s="100">
        <f t="shared" si="21"/>
        <v>0</v>
      </c>
      <c r="AO60" s="277"/>
      <c r="AP60" s="112">
        <f t="shared" si="15"/>
        <v>0</v>
      </c>
      <c r="AQ60" s="99">
        <f t="shared" si="19"/>
        <v>0</v>
      </c>
      <c r="AR60" s="276">
        <f t="shared" si="16"/>
        <v>0</v>
      </c>
      <c r="AS60" s="103">
        <f t="shared" si="22"/>
        <v>0.12000000000000001</v>
      </c>
      <c r="AT60" s="104">
        <f t="shared" si="22"/>
        <v>3.6640363636363644</v>
      </c>
      <c r="AU60" s="56" t="s">
        <v>155</v>
      </c>
      <c r="AV60" s="56">
        <f t="shared" si="20"/>
        <v>0</v>
      </c>
    </row>
    <row r="61" spans="1:48" ht="15" customHeight="1" thickBot="1" x14ac:dyDescent="0.5">
      <c r="A61" s="73"/>
      <c r="B61" s="90"/>
      <c r="C61" s="105">
        <v>48</v>
      </c>
      <c r="D61" s="181" t="s">
        <v>266</v>
      </c>
      <c r="E61" s="182" t="s">
        <v>267</v>
      </c>
      <c r="F61" s="183" t="s">
        <v>203</v>
      </c>
      <c r="G61" s="93"/>
      <c r="H61" s="94">
        <f t="shared" si="17"/>
        <v>0</v>
      </c>
      <c r="I61" s="94"/>
      <c r="J61" s="94"/>
      <c r="K61" s="80">
        <f t="shared" si="18"/>
        <v>0</v>
      </c>
      <c r="L61" s="270">
        <f t="shared" si="18"/>
        <v>0</v>
      </c>
      <c r="M61" s="112">
        <v>0.01</v>
      </c>
      <c r="N61" s="112">
        <f t="shared" si="2"/>
        <v>0.30533636363636368</v>
      </c>
      <c r="O61" s="112">
        <v>0.03</v>
      </c>
      <c r="P61" s="112">
        <f t="shared" si="3"/>
        <v>0.91600909090909088</v>
      </c>
      <c r="Q61" s="112">
        <v>0.03</v>
      </c>
      <c r="R61" s="112">
        <f t="shared" si="4"/>
        <v>0.91600909090909088</v>
      </c>
      <c r="S61" s="112">
        <v>0.01</v>
      </c>
      <c r="T61" s="112">
        <f t="shared" si="5"/>
        <v>0.30533636363636368</v>
      </c>
      <c r="U61" s="112">
        <v>0.01</v>
      </c>
      <c r="V61" s="112">
        <f t="shared" si="6"/>
        <v>0.30533636363636368</v>
      </c>
      <c r="W61" s="112">
        <v>0.01</v>
      </c>
      <c r="X61" s="112">
        <f t="shared" si="7"/>
        <v>0.30533636363636368</v>
      </c>
      <c r="Y61" s="99">
        <f t="shared" si="8"/>
        <v>9.9999999999999992E-2</v>
      </c>
      <c r="Z61" s="275">
        <f t="shared" si="8"/>
        <v>3.0533636363636365</v>
      </c>
      <c r="AA61" s="111">
        <v>0.01</v>
      </c>
      <c r="AB61" s="112">
        <f t="shared" si="9"/>
        <v>0.30533636363636368</v>
      </c>
      <c r="AC61" s="111">
        <v>0.01</v>
      </c>
      <c r="AD61" s="180">
        <f t="shared" si="10"/>
        <v>0.30533636363636368</v>
      </c>
      <c r="AE61" s="111">
        <v>0.01</v>
      </c>
      <c r="AF61" s="180">
        <f t="shared" si="11"/>
        <v>0.30533636363636368</v>
      </c>
      <c r="AG61" s="111">
        <v>0.01</v>
      </c>
      <c r="AH61" s="112">
        <f t="shared" si="12"/>
        <v>0.30533636363636368</v>
      </c>
      <c r="AI61" s="111">
        <v>0.01</v>
      </c>
      <c r="AJ61" s="112">
        <f t="shared" si="13"/>
        <v>0.30533636363636368</v>
      </c>
      <c r="AK61" s="94">
        <v>0.05</v>
      </c>
      <c r="AL61" s="112">
        <f t="shared" si="14"/>
        <v>1.5266818181818183</v>
      </c>
      <c r="AM61" s="99">
        <f t="shared" si="21"/>
        <v>0.09</v>
      </c>
      <c r="AN61" s="100">
        <f t="shared" si="21"/>
        <v>2.7480272727272732</v>
      </c>
      <c r="AO61" s="277"/>
      <c r="AP61" s="112">
        <f t="shared" si="15"/>
        <v>0</v>
      </c>
      <c r="AQ61" s="99">
        <f t="shared" si="19"/>
        <v>0</v>
      </c>
      <c r="AR61" s="276">
        <f t="shared" si="16"/>
        <v>0</v>
      </c>
      <c r="AS61" s="103">
        <f t="shared" si="22"/>
        <v>0.19</v>
      </c>
      <c r="AT61" s="104">
        <f t="shared" si="22"/>
        <v>5.8013909090909097</v>
      </c>
      <c r="AU61" s="56" t="s">
        <v>155</v>
      </c>
      <c r="AV61" s="56">
        <f t="shared" si="20"/>
        <v>0</v>
      </c>
    </row>
    <row r="62" spans="1:48" ht="15" customHeight="1" thickTop="1" x14ac:dyDescent="0.45">
      <c r="A62" s="131" t="s">
        <v>268</v>
      </c>
      <c r="B62" s="132" t="s">
        <v>269</v>
      </c>
      <c r="C62" s="189">
        <v>49</v>
      </c>
      <c r="D62" s="134" t="s">
        <v>270</v>
      </c>
      <c r="E62" s="135" t="s">
        <v>271</v>
      </c>
      <c r="F62" s="136" t="s">
        <v>203</v>
      </c>
      <c r="G62" s="93"/>
      <c r="H62" s="94">
        <f t="shared" si="17"/>
        <v>0</v>
      </c>
      <c r="I62" s="94"/>
      <c r="J62" s="94"/>
      <c r="K62" s="80">
        <f t="shared" si="18"/>
        <v>0</v>
      </c>
      <c r="L62" s="270">
        <f t="shared" si="18"/>
        <v>0</v>
      </c>
      <c r="M62" s="112">
        <v>0.01</v>
      </c>
      <c r="N62" s="112">
        <f t="shared" si="2"/>
        <v>0.30533636363636368</v>
      </c>
      <c r="O62" s="112">
        <v>0.01</v>
      </c>
      <c r="P62" s="112">
        <f t="shared" si="3"/>
        <v>0.30533636363636368</v>
      </c>
      <c r="Q62" s="112">
        <v>0.01</v>
      </c>
      <c r="R62" s="112">
        <f t="shared" si="4"/>
        <v>0.30533636363636368</v>
      </c>
      <c r="S62" s="112">
        <v>0.01</v>
      </c>
      <c r="T62" s="112">
        <f t="shared" si="5"/>
        <v>0.30533636363636368</v>
      </c>
      <c r="U62" s="112">
        <v>0.01</v>
      </c>
      <c r="V62" s="112">
        <f t="shared" si="6"/>
        <v>0.30533636363636368</v>
      </c>
      <c r="W62" s="112">
        <v>0.01</v>
      </c>
      <c r="X62" s="112">
        <f t="shared" si="7"/>
        <v>0.30533636363636368</v>
      </c>
      <c r="Y62" s="99">
        <f t="shared" si="8"/>
        <v>6.0000000000000005E-2</v>
      </c>
      <c r="Z62" s="275">
        <f t="shared" si="8"/>
        <v>1.8320181818181822</v>
      </c>
      <c r="AA62" s="111"/>
      <c r="AB62" s="112">
        <f t="shared" si="9"/>
        <v>0</v>
      </c>
      <c r="AC62" s="111"/>
      <c r="AD62" s="112">
        <f t="shared" si="10"/>
        <v>0</v>
      </c>
      <c r="AE62" s="111"/>
      <c r="AF62" s="112">
        <f t="shared" si="11"/>
        <v>0</v>
      </c>
      <c r="AG62" s="111"/>
      <c r="AH62" s="112">
        <f t="shared" si="12"/>
        <v>0</v>
      </c>
      <c r="AI62" s="111"/>
      <c r="AJ62" s="112">
        <f t="shared" si="13"/>
        <v>0</v>
      </c>
      <c r="AK62" s="94"/>
      <c r="AL62" s="112">
        <f t="shared" si="14"/>
        <v>0</v>
      </c>
      <c r="AM62" s="99">
        <f t="shared" si="21"/>
        <v>0</v>
      </c>
      <c r="AN62" s="100">
        <f t="shared" si="21"/>
        <v>0</v>
      </c>
      <c r="AO62" s="277"/>
      <c r="AP62" s="112">
        <f t="shared" si="15"/>
        <v>0</v>
      </c>
      <c r="AQ62" s="99">
        <f t="shared" si="19"/>
        <v>0</v>
      </c>
      <c r="AR62" s="276">
        <f t="shared" si="16"/>
        <v>0</v>
      </c>
      <c r="AS62" s="103">
        <f t="shared" si="22"/>
        <v>6.0000000000000005E-2</v>
      </c>
      <c r="AT62" s="104">
        <f t="shared" si="22"/>
        <v>1.8320181818181822</v>
      </c>
      <c r="AU62" s="149" t="s">
        <v>155</v>
      </c>
      <c r="AV62" s="56">
        <f t="shared" si="20"/>
        <v>0</v>
      </c>
    </row>
    <row r="63" spans="1:48" ht="15" customHeight="1" x14ac:dyDescent="0.45">
      <c r="A63" s="73"/>
      <c r="B63" s="90"/>
      <c r="C63" s="105">
        <v>50</v>
      </c>
      <c r="D63" s="172" t="s">
        <v>272</v>
      </c>
      <c r="E63" s="173" t="s">
        <v>273</v>
      </c>
      <c r="F63" s="174" t="s">
        <v>203</v>
      </c>
      <c r="G63" s="93"/>
      <c r="H63" s="94">
        <f t="shared" si="17"/>
        <v>0</v>
      </c>
      <c r="I63" s="94"/>
      <c r="J63" s="94"/>
      <c r="K63" s="80">
        <f t="shared" si="18"/>
        <v>0</v>
      </c>
      <c r="L63" s="270">
        <f t="shared" si="18"/>
        <v>0</v>
      </c>
      <c r="M63" s="112">
        <v>0.01</v>
      </c>
      <c r="N63" s="112">
        <f t="shared" si="2"/>
        <v>0.30533636363636368</v>
      </c>
      <c r="O63" s="112">
        <v>0.01</v>
      </c>
      <c r="P63" s="112">
        <f t="shared" si="3"/>
        <v>0.30533636363636368</v>
      </c>
      <c r="Q63" s="112">
        <v>0.01</v>
      </c>
      <c r="R63" s="112">
        <f t="shared" si="4"/>
        <v>0.30533636363636368</v>
      </c>
      <c r="S63" s="112">
        <v>0.01</v>
      </c>
      <c r="T63" s="112">
        <f t="shared" si="5"/>
        <v>0.30533636363636368</v>
      </c>
      <c r="U63" s="112">
        <v>0.01</v>
      </c>
      <c r="V63" s="112">
        <f t="shared" si="6"/>
        <v>0.30533636363636368</v>
      </c>
      <c r="W63" s="112">
        <v>0.01</v>
      </c>
      <c r="X63" s="112">
        <f t="shared" si="7"/>
        <v>0.30533636363636368</v>
      </c>
      <c r="Y63" s="99">
        <f t="shared" si="8"/>
        <v>6.0000000000000005E-2</v>
      </c>
      <c r="Z63" s="275">
        <f t="shared" si="8"/>
        <v>1.8320181818181822</v>
      </c>
      <c r="AA63" s="111">
        <v>0.01</v>
      </c>
      <c r="AB63" s="112">
        <f t="shared" si="9"/>
        <v>0.30533636363636368</v>
      </c>
      <c r="AC63" s="111">
        <v>0.01</v>
      </c>
      <c r="AD63" s="180">
        <f t="shared" si="10"/>
        <v>0.30533636363636368</v>
      </c>
      <c r="AE63" s="111">
        <v>0.01</v>
      </c>
      <c r="AF63" s="180">
        <f t="shared" si="11"/>
        <v>0.30533636363636368</v>
      </c>
      <c r="AG63" s="111">
        <v>0.01</v>
      </c>
      <c r="AH63" s="112">
        <f t="shared" si="12"/>
        <v>0.30533636363636368</v>
      </c>
      <c r="AI63" s="111">
        <v>0.01</v>
      </c>
      <c r="AJ63" s="112">
        <f t="shared" si="13"/>
        <v>0.30533636363636368</v>
      </c>
      <c r="AK63" s="94"/>
      <c r="AL63" s="112">
        <f t="shared" si="14"/>
        <v>0</v>
      </c>
      <c r="AM63" s="99">
        <f t="shared" si="21"/>
        <v>0.04</v>
      </c>
      <c r="AN63" s="100">
        <f t="shared" si="21"/>
        <v>1.2213454545454547</v>
      </c>
      <c r="AO63" s="277"/>
      <c r="AP63" s="112">
        <f t="shared" si="15"/>
        <v>0</v>
      </c>
      <c r="AQ63" s="99">
        <f t="shared" si="19"/>
        <v>0</v>
      </c>
      <c r="AR63" s="276">
        <f t="shared" si="16"/>
        <v>0</v>
      </c>
      <c r="AS63" s="103">
        <f t="shared" si="22"/>
        <v>0.1</v>
      </c>
      <c r="AT63" s="104">
        <f t="shared" si="22"/>
        <v>3.0533636363636369</v>
      </c>
      <c r="AU63" s="56" t="s">
        <v>155</v>
      </c>
      <c r="AV63" s="56">
        <f t="shared" si="20"/>
        <v>0</v>
      </c>
    </row>
    <row r="64" spans="1:48" ht="15" customHeight="1" x14ac:dyDescent="0.45">
      <c r="A64" s="73"/>
      <c r="B64" s="90"/>
      <c r="C64" s="75">
        <v>51</v>
      </c>
      <c r="D64" s="172" t="s">
        <v>274</v>
      </c>
      <c r="E64" s="173" t="s">
        <v>275</v>
      </c>
      <c r="F64" s="110" t="s">
        <v>177</v>
      </c>
      <c r="G64" s="93"/>
      <c r="H64" s="94">
        <f t="shared" si="17"/>
        <v>0</v>
      </c>
      <c r="I64" s="94"/>
      <c r="J64" s="94"/>
      <c r="K64" s="80">
        <f t="shared" si="18"/>
        <v>0</v>
      </c>
      <c r="L64" s="270">
        <f t="shared" si="18"/>
        <v>0</v>
      </c>
      <c r="M64" s="112">
        <v>0.01</v>
      </c>
      <c r="N64" s="112">
        <f t="shared" si="2"/>
        <v>0.30533636363636368</v>
      </c>
      <c r="O64" s="112">
        <v>0.01</v>
      </c>
      <c r="P64" s="112">
        <f t="shared" si="3"/>
        <v>0.30533636363636368</v>
      </c>
      <c r="Q64" s="112">
        <v>0.02</v>
      </c>
      <c r="R64" s="112">
        <f t="shared" si="4"/>
        <v>0.61067272727272737</v>
      </c>
      <c r="S64" s="112">
        <v>0.02</v>
      </c>
      <c r="T64" s="112">
        <f t="shared" si="5"/>
        <v>0.61067272727272737</v>
      </c>
      <c r="U64" s="112">
        <v>0.02</v>
      </c>
      <c r="V64" s="112">
        <f t="shared" si="6"/>
        <v>0.61067272727272737</v>
      </c>
      <c r="W64" s="112">
        <v>0.02</v>
      </c>
      <c r="X64" s="112">
        <f t="shared" si="7"/>
        <v>0.61067272727272737</v>
      </c>
      <c r="Y64" s="99">
        <f t="shared" si="8"/>
        <v>0.1</v>
      </c>
      <c r="Z64" s="275">
        <f t="shared" si="8"/>
        <v>3.0533636363636369</v>
      </c>
      <c r="AA64" s="111">
        <v>0.02</v>
      </c>
      <c r="AB64" s="112">
        <f t="shared" si="9"/>
        <v>0.61067272727272737</v>
      </c>
      <c r="AC64" s="111">
        <v>0.02</v>
      </c>
      <c r="AD64" s="180">
        <f t="shared" si="10"/>
        <v>0.61067272727272737</v>
      </c>
      <c r="AE64" s="111">
        <v>0.02</v>
      </c>
      <c r="AF64" s="180">
        <f t="shared" si="11"/>
        <v>0.61067272727272737</v>
      </c>
      <c r="AG64" s="111">
        <v>0.02</v>
      </c>
      <c r="AH64" s="112">
        <f t="shared" si="12"/>
        <v>0.61067272727272737</v>
      </c>
      <c r="AI64" s="111">
        <v>0.02</v>
      </c>
      <c r="AJ64" s="112">
        <f t="shared" si="13"/>
        <v>0.61067272727272737</v>
      </c>
      <c r="AK64" s="94">
        <v>0.08</v>
      </c>
      <c r="AL64" s="112">
        <f t="shared" si="14"/>
        <v>2.4426909090909095</v>
      </c>
      <c r="AM64" s="99">
        <f t="shared" si="21"/>
        <v>0.16</v>
      </c>
      <c r="AN64" s="100">
        <f t="shared" si="21"/>
        <v>4.8853818181818189</v>
      </c>
      <c r="AO64" s="277"/>
      <c r="AP64" s="112">
        <f t="shared" si="15"/>
        <v>0</v>
      </c>
      <c r="AQ64" s="99">
        <f t="shared" si="19"/>
        <v>0</v>
      </c>
      <c r="AR64" s="276">
        <f t="shared" si="16"/>
        <v>0</v>
      </c>
      <c r="AS64" s="103">
        <f t="shared" si="22"/>
        <v>0.26</v>
      </c>
      <c r="AT64" s="104">
        <f t="shared" si="22"/>
        <v>7.9387454545454563</v>
      </c>
      <c r="AU64" s="56" t="s">
        <v>155</v>
      </c>
      <c r="AV64" s="56">
        <f t="shared" si="20"/>
        <v>0</v>
      </c>
    </row>
    <row r="65" spans="1:48" ht="15" customHeight="1" x14ac:dyDescent="0.45">
      <c r="A65" s="73"/>
      <c r="B65" s="113" t="s">
        <v>234</v>
      </c>
      <c r="C65" s="105">
        <v>52</v>
      </c>
      <c r="D65" s="172" t="s">
        <v>276</v>
      </c>
      <c r="E65" s="173" t="s">
        <v>277</v>
      </c>
      <c r="F65" s="110" t="s">
        <v>187</v>
      </c>
      <c r="G65" s="93"/>
      <c r="H65" s="94">
        <f t="shared" si="17"/>
        <v>0</v>
      </c>
      <c r="I65" s="94"/>
      <c r="J65" s="94"/>
      <c r="K65" s="80">
        <f t="shared" si="18"/>
        <v>0</v>
      </c>
      <c r="L65" s="270">
        <f t="shared" si="18"/>
        <v>0</v>
      </c>
      <c r="M65" s="112">
        <v>0</v>
      </c>
      <c r="N65" s="112">
        <f t="shared" si="2"/>
        <v>0</v>
      </c>
      <c r="O65" s="112">
        <v>0.01</v>
      </c>
      <c r="P65" s="112">
        <f t="shared" si="3"/>
        <v>0.30533636363636368</v>
      </c>
      <c r="Q65" s="112">
        <v>0.01</v>
      </c>
      <c r="R65" s="112">
        <f t="shared" si="4"/>
        <v>0.30533636363636368</v>
      </c>
      <c r="S65" s="112">
        <v>0.01</v>
      </c>
      <c r="T65" s="112">
        <f t="shared" si="5"/>
        <v>0.30533636363636368</v>
      </c>
      <c r="U65" s="112">
        <v>0.01</v>
      </c>
      <c r="V65" s="112">
        <f t="shared" si="6"/>
        <v>0.30533636363636368</v>
      </c>
      <c r="W65" s="112">
        <v>0.01</v>
      </c>
      <c r="X65" s="112">
        <f t="shared" si="7"/>
        <v>0.30533636363636368</v>
      </c>
      <c r="Y65" s="99">
        <f t="shared" si="8"/>
        <v>0.05</v>
      </c>
      <c r="Z65" s="275">
        <f t="shared" si="8"/>
        <v>1.5266818181818185</v>
      </c>
      <c r="AA65" s="111"/>
      <c r="AB65" s="112">
        <f t="shared" si="9"/>
        <v>0</v>
      </c>
      <c r="AC65" s="111"/>
      <c r="AD65" s="112">
        <f t="shared" si="10"/>
        <v>0</v>
      </c>
      <c r="AE65" s="111"/>
      <c r="AF65" s="112">
        <f t="shared" si="11"/>
        <v>0</v>
      </c>
      <c r="AG65" s="111"/>
      <c r="AH65" s="112">
        <f t="shared" si="12"/>
        <v>0</v>
      </c>
      <c r="AI65" s="111"/>
      <c r="AJ65" s="112">
        <f t="shared" si="13"/>
        <v>0</v>
      </c>
      <c r="AK65" s="94"/>
      <c r="AL65" s="112">
        <f t="shared" si="14"/>
        <v>0</v>
      </c>
      <c r="AM65" s="99">
        <f t="shared" si="21"/>
        <v>0</v>
      </c>
      <c r="AN65" s="100">
        <f t="shared" si="21"/>
        <v>0</v>
      </c>
      <c r="AO65" s="277"/>
      <c r="AP65" s="112">
        <f t="shared" si="15"/>
        <v>0</v>
      </c>
      <c r="AQ65" s="99">
        <f t="shared" si="19"/>
        <v>0</v>
      </c>
      <c r="AR65" s="276">
        <f t="shared" si="16"/>
        <v>0</v>
      </c>
      <c r="AS65" s="103">
        <f t="shared" si="22"/>
        <v>0.05</v>
      </c>
      <c r="AT65" s="104">
        <f t="shared" si="22"/>
        <v>1.5266818181818185</v>
      </c>
      <c r="AU65" s="56" t="s">
        <v>155</v>
      </c>
      <c r="AV65" s="56">
        <f t="shared" si="20"/>
        <v>0</v>
      </c>
    </row>
    <row r="66" spans="1:48" ht="15" customHeight="1" x14ac:dyDescent="0.45">
      <c r="A66" s="73"/>
      <c r="B66" s="185" t="s">
        <v>278</v>
      </c>
      <c r="C66" s="105">
        <v>53</v>
      </c>
      <c r="D66" s="172" t="s">
        <v>279</v>
      </c>
      <c r="E66" s="173" t="s">
        <v>280</v>
      </c>
      <c r="F66" s="110" t="s">
        <v>187</v>
      </c>
      <c r="G66" s="93"/>
      <c r="H66" s="94">
        <f t="shared" si="17"/>
        <v>0</v>
      </c>
      <c r="I66" s="94"/>
      <c r="J66" s="94"/>
      <c r="K66" s="80">
        <f t="shared" si="18"/>
        <v>0</v>
      </c>
      <c r="L66" s="270">
        <f t="shared" si="18"/>
        <v>0</v>
      </c>
      <c r="M66" s="112">
        <v>0</v>
      </c>
      <c r="N66" s="112">
        <f t="shared" si="2"/>
        <v>0</v>
      </c>
      <c r="O66" s="112">
        <v>0.01</v>
      </c>
      <c r="P66" s="112">
        <f t="shared" si="3"/>
        <v>0.30533636363636368</v>
      </c>
      <c r="Q66" s="112">
        <v>0.01</v>
      </c>
      <c r="R66" s="112">
        <f t="shared" si="4"/>
        <v>0.30533636363636368</v>
      </c>
      <c r="S66" s="112">
        <v>0.01</v>
      </c>
      <c r="T66" s="112">
        <f t="shared" si="5"/>
        <v>0.30533636363636368</v>
      </c>
      <c r="U66" s="112">
        <v>0.01</v>
      </c>
      <c r="V66" s="112">
        <f t="shared" si="6"/>
        <v>0.30533636363636368</v>
      </c>
      <c r="W66" s="112">
        <v>0.01</v>
      </c>
      <c r="X66" s="112">
        <f t="shared" si="7"/>
        <v>0.30533636363636368</v>
      </c>
      <c r="Y66" s="99">
        <f t="shared" si="8"/>
        <v>0.05</v>
      </c>
      <c r="Z66" s="275">
        <f t="shared" si="8"/>
        <v>1.5266818181818185</v>
      </c>
      <c r="AA66" s="111"/>
      <c r="AB66" s="112">
        <f t="shared" si="9"/>
        <v>0</v>
      </c>
      <c r="AC66" s="111"/>
      <c r="AD66" s="112">
        <f t="shared" si="10"/>
        <v>0</v>
      </c>
      <c r="AE66" s="111"/>
      <c r="AF66" s="112">
        <f t="shared" si="11"/>
        <v>0</v>
      </c>
      <c r="AG66" s="111"/>
      <c r="AH66" s="112">
        <f t="shared" si="12"/>
        <v>0</v>
      </c>
      <c r="AI66" s="111"/>
      <c r="AJ66" s="112">
        <f t="shared" si="13"/>
        <v>0</v>
      </c>
      <c r="AK66" s="94"/>
      <c r="AL66" s="112">
        <f t="shared" si="14"/>
        <v>0</v>
      </c>
      <c r="AM66" s="99">
        <f t="shared" si="21"/>
        <v>0</v>
      </c>
      <c r="AN66" s="100">
        <f t="shared" si="21"/>
        <v>0</v>
      </c>
      <c r="AO66" s="277"/>
      <c r="AP66" s="112">
        <f t="shared" si="15"/>
        <v>0</v>
      </c>
      <c r="AQ66" s="99">
        <f t="shared" si="19"/>
        <v>0</v>
      </c>
      <c r="AR66" s="276">
        <f t="shared" si="16"/>
        <v>0</v>
      </c>
      <c r="AS66" s="103">
        <f t="shared" si="22"/>
        <v>0.05</v>
      </c>
      <c r="AT66" s="104">
        <f t="shared" si="22"/>
        <v>1.5266818181818185</v>
      </c>
      <c r="AU66" s="56" t="s">
        <v>155</v>
      </c>
      <c r="AV66" s="56">
        <f t="shared" si="20"/>
        <v>0</v>
      </c>
    </row>
    <row r="67" spans="1:48" ht="15" customHeight="1" x14ac:dyDescent="0.45">
      <c r="A67" s="73"/>
      <c r="B67" s="90"/>
      <c r="C67" s="105">
        <v>54</v>
      </c>
      <c r="D67" s="172" t="s">
        <v>281</v>
      </c>
      <c r="E67" s="173" t="s">
        <v>282</v>
      </c>
      <c r="F67" s="110" t="s">
        <v>162</v>
      </c>
      <c r="G67" s="93"/>
      <c r="H67" s="94">
        <f t="shared" si="17"/>
        <v>0</v>
      </c>
      <c r="I67" s="94"/>
      <c r="J67" s="94"/>
      <c r="K67" s="80">
        <f t="shared" si="18"/>
        <v>0</v>
      </c>
      <c r="L67" s="270">
        <f t="shared" si="18"/>
        <v>0</v>
      </c>
      <c r="M67" s="112">
        <v>0</v>
      </c>
      <c r="N67" s="112">
        <f t="shared" si="2"/>
        <v>0</v>
      </c>
      <c r="O67" s="112">
        <v>0.01</v>
      </c>
      <c r="P67" s="112">
        <f t="shared" si="3"/>
        <v>0.30533636363636368</v>
      </c>
      <c r="Q67" s="112">
        <v>0.01</v>
      </c>
      <c r="R67" s="112">
        <f t="shared" si="4"/>
        <v>0.30533636363636368</v>
      </c>
      <c r="S67" s="112">
        <v>0.01</v>
      </c>
      <c r="T67" s="112">
        <f t="shared" si="5"/>
        <v>0.30533636363636368</v>
      </c>
      <c r="U67" s="112">
        <v>0.01</v>
      </c>
      <c r="V67" s="112">
        <f t="shared" si="6"/>
        <v>0.30533636363636368</v>
      </c>
      <c r="W67" s="112">
        <v>0.01</v>
      </c>
      <c r="X67" s="112">
        <f t="shared" si="7"/>
        <v>0.30533636363636368</v>
      </c>
      <c r="Y67" s="99">
        <f t="shared" si="8"/>
        <v>0.05</v>
      </c>
      <c r="Z67" s="275">
        <f t="shared" si="8"/>
        <v>1.5266818181818185</v>
      </c>
      <c r="AA67" s="111">
        <v>0.01</v>
      </c>
      <c r="AB67" s="112">
        <f t="shared" si="9"/>
        <v>0.30533636363636368</v>
      </c>
      <c r="AC67" s="111">
        <v>0.01</v>
      </c>
      <c r="AD67" s="180">
        <f t="shared" si="10"/>
        <v>0.30533636363636368</v>
      </c>
      <c r="AE67" s="111">
        <v>0.01</v>
      </c>
      <c r="AF67" s="180">
        <f t="shared" si="11"/>
        <v>0.30533636363636368</v>
      </c>
      <c r="AG67" s="111">
        <v>0.01</v>
      </c>
      <c r="AH67" s="112">
        <f t="shared" si="12"/>
        <v>0.30533636363636368</v>
      </c>
      <c r="AI67" s="111">
        <v>0.01</v>
      </c>
      <c r="AJ67" s="112">
        <f t="shared" si="13"/>
        <v>0.30533636363636368</v>
      </c>
      <c r="AK67" s="94">
        <v>0.01</v>
      </c>
      <c r="AL67" s="112">
        <f t="shared" si="14"/>
        <v>0.30533636363636368</v>
      </c>
      <c r="AM67" s="99">
        <f t="shared" si="21"/>
        <v>0.05</v>
      </c>
      <c r="AN67" s="100">
        <f t="shared" si="21"/>
        <v>1.5266818181818185</v>
      </c>
      <c r="AO67" s="277"/>
      <c r="AP67" s="112">
        <f t="shared" si="15"/>
        <v>0</v>
      </c>
      <c r="AQ67" s="99">
        <f t="shared" si="19"/>
        <v>0</v>
      </c>
      <c r="AR67" s="276">
        <f t="shared" si="16"/>
        <v>0</v>
      </c>
      <c r="AS67" s="103">
        <f t="shared" si="22"/>
        <v>0.1</v>
      </c>
      <c r="AT67" s="104">
        <f t="shared" si="22"/>
        <v>3.0533636363636369</v>
      </c>
      <c r="AU67" s="56" t="s">
        <v>155</v>
      </c>
      <c r="AV67" s="56">
        <f t="shared" si="20"/>
        <v>0</v>
      </c>
    </row>
    <row r="68" spans="1:48" ht="15" customHeight="1" x14ac:dyDescent="0.45">
      <c r="A68" s="73"/>
      <c r="B68" s="90"/>
      <c r="C68" s="75">
        <v>55</v>
      </c>
      <c r="D68" s="172" t="s">
        <v>283</v>
      </c>
      <c r="E68" s="173" t="s">
        <v>552</v>
      </c>
      <c r="F68" s="110" t="s">
        <v>162</v>
      </c>
      <c r="G68" s="93"/>
      <c r="H68" s="94">
        <f t="shared" si="17"/>
        <v>0</v>
      </c>
      <c r="I68" s="94"/>
      <c r="J68" s="94"/>
      <c r="K68" s="80">
        <f t="shared" si="18"/>
        <v>0</v>
      </c>
      <c r="L68" s="270">
        <f t="shared" si="18"/>
        <v>0</v>
      </c>
      <c r="M68" s="112">
        <v>0.01</v>
      </c>
      <c r="N68" s="112">
        <f t="shared" si="2"/>
        <v>0.30533636363636368</v>
      </c>
      <c r="O68" s="112">
        <v>0.01</v>
      </c>
      <c r="P68" s="112">
        <f t="shared" si="3"/>
        <v>0.30533636363636368</v>
      </c>
      <c r="Q68" s="112">
        <v>0.01</v>
      </c>
      <c r="R68" s="112">
        <f t="shared" si="4"/>
        <v>0.30533636363636368</v>
      </c>
      <c r="S68" s="112">
        <v>0.01</v>
      </c>
      <c r="T68" s="112">
        <f t="shared" si="5"/>
        <v>0.30533636363636368</v>
      </c>
      <c r="U68" s="112">
        <v>0.01</v>
      </c>
      <c r="V68" s="112">
        <f t="shared" si="6"/>
        <v>0.30533636363636368</v>
      </c>
      <c r="W68" s="112">
        <v>0.01</v>
      </c>
      <c r="X68" s="112">
        <f t="shared" si="7"/>
        <v>0.30533636363636368</v>
      </c>
      <c r="Y68" s="99">
        <f t="shared" si="8"/>
        <v>6.0000000000000005E-2</v>
      </c>
      <c r="Z68" s="275">
        <f t="shared" si="8"/>
        <v>1.8320181818181822</v>
      </c>
      <c r="AA68" s="111">
        <v>0.01</v>
      </c>
      <c r="AB68" s="112">
        <f t="shared" si="9"/>
        <v>0.30533636363636368</v>
      </c>
      <c r="AC68" s="111">
        <v>0.01</v>
      </c>
      <c r="AD68" s="180">
        <f t="shared" si="10"/>
        <v>0.30533636363636368</v>
      </c>
      <c r="AE68" s="111">
        <v>0.01</v>
      </c>
      <c r="AF68" s="180">
        <f t="shared" si="11"/>
        <v>0.30533636363636368</v>
      </c>
      <c r="AG68" s="111">
        <v>0.01</v>
      </c>
      <c r="AH68" s="112">
        <f t="shared" si="12"/>
        <v>0.30533636363636368</v>
      </c>
      <c r="AI68" s="111">
        <v>0.01</v>
      </c>
      <c r="AJ68" s="112">
        <f t="shared" si="13"/>
        <v>0.30533636363636368</v>
      </c>
      <c r="AK68" s="94">
        <v>0.01</v>
      </c>
      <c r="AL68" s="112">
        <f t="shared" si="14"/>
        <v>0.30533636363636368</v>
      </c>
      <c r="AM68" s="99">
        <f t="shared" si="21"/>
        <v>0.05</v>
      </c>
      <c r="AN68" s="100">
        <f t="shared" si="21"/>
        <v>1.5266818181818185</v>
      </c>
      <c r="AO68" s="277"/>
      <c r="AP68" s="112">
        <f t="shared" si="15"/>
        <v>0</v>
      </c>
      <c r="AQ68" s="99">
        <f t="shared" si="19"/>
        <v>0</v>
      </c>
      <c r="AR68" s="276">
        <f t="shared" si="16"/>
        <v>0</v>
      </c>
      <c r="AS68" s="103">
        <f t="shared" si="22"/>
        <v>0.11000000000000001</v>
      </c>
      <c r="AT68" s="104">
        <f t="shared" si="22"/>
        <v>3.3587000000000007</v>
      </c>
      <c r="AU68" s="56" t="s">
        <v>155</v>
      </c>
      <c r="AV68" s="56">
        <f t="shared" si="20"/>
        <v>0</v>
      </c>
    </row>
    <row r="69" spans="1:48" ht="15" customHeight="1" x14ac:dyDescent="0.45">
      <c r="A69" s="73"/>
      <c r="B69" s="113" t="s">
        <v>285</v>
      </c>
      <c r="C69" s="105">
        <v>56</v>
      </c>
      <c r="D69" s="172" t="s">
        <v>286</v>
      </c>
      <c r="E69" s="173" t="s">
        <v>287</v>
      </c>
      <c r="F69" s="174" t="s">
        <v>203</v>
      </c>
      <c r="G69" s="93"/>
      <c r="H69" s="94">
        <f t="shared" si="17"/>
        <v>0</v>
      </c>
      <c r="I69" s="94"/>
      <c r="J69" s="94"/>
      <c r="K69" s="80">
        <f t="shared" si="18"/>
        <v>0</v>
      </c>
      <c r="L69" s="270">
        <f t="shared" si="18"/>
        <v>0</v>
      </c>
      <c r="M69" s="112">
        <v>0.01</v>
      </c>
      <c r="N69" s="112">
        <f t="shared" si="2"/>
        <v>0.30533636363636368</v>
      </c>
      <c r="O69" s="112">
        <v>0.01</v>
      </c>
      <c r="P69" s="112">
        <f t="shared" si="3"/>
        <v>0.30533636363636368</v>
      </c>
      <c r="Q69" s="112">
        <v>0.01</v>
      </c>
      <c r="R69" s="112">
        <f t="shared" si="4"/>
        <v>0.30533636363636368</v>
      </c>
      <c r="S69" s="112">
        <v>0.02</v>
      </c>
      <c r="T69" s="112">
        <f t="shared" si="5"/>
        <v>0.61067272727272737</v>
      </c>
      <c r="U69" s="112">
        <v>0.02</v>
      </c>
      <c r="V69" s="112">
        <f t="shared" si="6"/>
        <v>0.61067272727272737</v>
      </c>
      <c r="W69" s="112">
        <v>0.02</v>
      </c>
      <c r="X69" s="112">
        <f t="shared" si="7"/>
        <v>0.61067272727272737</v>
      </c>
      <c r="Y69" s="99">
        <f t="shared" si="8"/>
        <v>9.0000000000000011E-2</v>
      </c>
      <c r="Z69" s="275">
        <f t="shared" si="8"/>
        <v>2.7480272727272732</v>
      </c>
      <c r="AA69" s="111">
        <v>0.01</v>
      </c>
      <c r="AB69" s="112">
        <f t="shared" si="9"/>
        <v>0.30533636363636368</v>
      </c>
      <c r="AC69" s="111">
        <v>0.01</v>
      </c>
      <c r="AD69" s="180">
        <f t="shared" si="10"/>
        <v>0.30533636363636368</v>
      </c>
      <c r="AE69" s="111">
        <v>0.01</v>
      </c>
      <c r="AF69" s="180">
        <f t="shared" si="11"/>
        <v>0.30533636363636368</v>
      </c>
      <c r="AG69" s="111">
        <v>0.01</v>
      </c>
      <c r="AH69" s="112">
        <f t="shared" si="12"/>
        <v>0.30533636363636368</v>
      </c>
      <c r="AI69" s="111">
        <v>0.01</v>
      </c>
      <c r="AJ69" s="112">
        <f t="shared" si="13"/>
        <v>0.30533636363636368</v>
      </c>
      <c r="AK69" s="94">
        <v>0.1</v>
      </c>
      <c r="AL69" s="112">
        <f t="shared" si="14"/>
        <v>3.0533636363636365</v>
      </c>
      <c r="AM69" s="99">
        <f t="shared" si="21"/>
        <v>0.14000000000000001</v>
      </c>
      <c r="AN69" s="100">
        <f t="shared" si="21"/>
        <v>4.2747090909090915</v>
      </c>
      <c r="AO69" s="277"/>
      <c r="AP69" s="112">
        <f t="shared" si="15"/>
        <v>0</v>
      </c>
      <c r="AQ69" s="99">
        <f t="shared" si="19"/>
        <v>0</v>
      </c>
      <c r="AR69" s="276">
        <f t="shared" si="16"/>
        <v>0</v>
      </c>
      <c r="AS69" s="103">
        <f t="shared" si="22"/>
        <v>0.23000000000000004</v>
      </c>
      <c r="AT69" s="104">
        <f t="shared" si="22"/>
        <v>7.0227363636363647</v>
      </c>
      <c r="AU69" s="56" t="s">
        <v>155</v>
      </c>
      <c r="AV69" s="56">
        <f t="shared" si="20"/>
        <v>0</v>
      </c>
    </row>
    <row r="70" spans="1:48" ht="15" customHeight="1" x14ac:dyDescent="0.45">
      <c r="A70" s="73"/>
      <c r="B70" s="90"/>
      <c r="C70" s="105">
        <v>57</v>
      </c>
      <c r="D70" s="172" t="s">
        <v>223</v>
      </c>
      <c r="E70" s="173" t="s">
        <v>224</v>
      </c>
      <c r="F70" s="174" t="s">
        <v>203</v>
      </c>
      <c r="G70" s="93"/>
      <c r="H70" s="94">
        <f t="shared" si="17"/>
        <v>0</v>
      </c>
      <c r="I70" s="94"/>
      <c r="J70" s="94"/>
      <c r="K70" s="80">
        <f t="shared" si="18"/>
        <v>0</v>
      </c>
      <c r="L70" s="270">
        <f t="shared" si="18"/>
        <v>0</v>
      </c>
      <c r="M70" s="112">
        <v>0.01</v>
      </c>
      <c r="N70" s="112">
        <f t="shared" si="2"/>
        <v>0.30533636363636368</v>
      </c>
      <c r="O70" s="112">
        <v>0.01</v>
      </c>
      <c r="P70" s="112">
        <f t="shared" si="3"/>
        <v>0.30533636363636368</v>
      </c>
      <c r="Q70" s="112">
        <v>0.01</v>
      </c>
      <c r="R70" s="112">
        <f t="shared" si="4"/>
        <v>0.30533636363636368</v>
      </c>
      <c r="S70" s="112">
        <v>0.02</v>
      </c>
      <c r="T70" s="112">
        <f t="shared" si="5"/>
        <v>0.61067272727272737</v>
      </c>
      <c r="U70" s="112">
        <v>0.02</v>
      </c>
      <c r="V70" s="112">
        <f t="shared" si="6"/>
        <v>0.61067272727272737</v>
      </c>
      <c r="W70" s="112">
        <v>0.02</v>
      </c>
      <c r="X70" s="112">
        <f t="shared" si="7"/>
        <v>0.61067272727272737</v>
      </c>
      <c r="Y70" s="99">
        <f t="shared" si="8"/>
        <v>9.0000000000000011E-2</v>
      </c>
      <c r="Z70" s="275">
        <f t="shared" si="8"/>
        <v>2.7480272727272732</v>
      </c>
      <c r="AA70" s="111"/>
      <c r="AB70" s="112">
        <f t="shared" si="9"/>
        <v>0</v>
      </c>
      <c r="AC70" s="111"/>
      <c r="AD70" s="112">
        <f t="shared" si="10"/>
        <v>0</v>
      </c>
      <c r="AE70" s="111"/>
      <c r="AF70" s="112">
        <f t="shared" si="11"/>
        <v>0</v>
      </c>
      <c r="AG70" s="111"/>
      <c r="AH70" s="112">
        <f t="shared" si="12"/>
        <v>0</v>
      </c>
      <c r="AI70" s="111"/>
      <c r="AJ70" s="112">
        <f t="shared" si="13"/>
        <v>0</v>
      </c>
      <c r="AK70" s="94"/>
      <c r="AL70" s="112">
        <f t="shared" si="14"/>
        <v>0</v>
      </c>
      <c r="AM70" s="99">
        <f t="shared" si="21"/>
        <v>0</v>
      </c>
      <c r="AN70" s="100">
        <f t="shared" si="21"/>
        <v>0</v>
      </c>
      <c r="AO70" s="277"/>
      <c r="AP70" s="112">
        <f t="shared" si="15"/>
        <v>0</v>
      </c>
      <c r="AQ70" s="99">
        <f t="shared" si="19"/>
        <v>0</v>
      </c>
      <c r="AR70" s="276">
        <f t="shared" si="16"/>
        <v>0</v>
      </c>
      <c r="AS70" s="103">
        <f t="shared" si="22"/>
        <v>9.0000000000000011E-2</v>
      </c>
      <c r="AT70" s="104">
        <f t="shared" si="22"/>
        <v>2.7480272727272732</v>
      </c>
      <c r="AU70" s="56" t="s">
        <v>190</v>
      </c>
      <c r="AV70" s="56">
        <f t="shared" si="20"/>
        <v>2.7480272727272732</v>
      </c>
    </row>
    <row r="71" spans="1:48" ht="15" customHeight="1" x14ac:dyDescent="0.45">
      <c r="A71" s="73"/>
      <c r="B71" s="90"/>
      <c r="C71" s="105">
        <v>58</v>
      </c>
      <c r="D71" s="172" t="s">
        <v>288</v>
      </c>
      <c r="E71" s="173" t="s">
        <v>289</v>
      </c>
      <c r="F71" s="174" t="s">
        <v>203</v>
      </c>
      <c r="G71" s="93"/>
      <c r="H71" s="94">
        <f t="shared" si="17"/>
        <v>0</v>
      </c>
      <c r="I71" s="94"/>
      <c r="J71" s="94"/>
      <c r="K71" s="80">
        <f t="shared" si="18"/>
        <v>0</v>
      </c>
      <c r="L71" s="270">
        <f t="shared" si="18"/>
        <v>0</v>
      </c>
      <c r="M71" s="112"/>
      <c r="N71" s="112">
        <f t="shared" si="2"/>
        <v>0</v>
      </c>
      <c r="O71" s="112"/>
      <c r="P71" s="112">
        <f t="shared" si="3"/>
        <v>0</v>
      </c>
      <c r="Q71" s="112"/>
      <c r="R71" s="112">
        <f t="shared" si="4"/>
        <v>0</v>
      </c>
      <c r="S71" s="112"/>
      <c r="T71" s="112">
        <f t="shared" si="5"/>
        <v>0</v>
      </c>
      <c r="U71" s="112"/>
      <c r="V71" s="112">
        <f t="shared" si="6"/>
        <v>0</v>
      </c>
      <c r="W71" s="112"/>
      <c r="X71" s="112">
        <f t="shared" si="7"/>
        <v>0</v>
      </c>
      <c r="Y71" s="99">
        <f t="shared" si="8"/>
        <v>0</v>
      </c>
      <c r="Z71" s="275">
        <f t="shared" si="8"/>
        <v>0</v>
      </c>
      <c r="AA71" s="111">
        <v>0.19</v>
      </c>
      <c r="AB71" s="112">
        <f t="shared" si="9"/>
        <v>5.8013909090909097</v>
      </c>
      <c r="AC71" s="111">
        <v>0.2</v>
      </c>
      <c r="AD71" s="180">
        <f t="shared" si="10"/>
        <v>6.106727272727273</v>
      </c>
      <c r="AE71" s="111">
        <v>0.19</v>
      </c>
      <c r="AF71" s="180">
        <f t="shared" si="11"/>
        <v>5.8013909090909097</v>
      </c>
      <c r="AG71" s="111">
        <v>0.19</v>
      </c>
      <c r="AH71" s="112">
        <f t="shared" si="12"/>
        <v>5.8013909090909097</v>
      </c>
      <c r="AI71" s="111">
        <v>0.17</v>
      </c>
      <c r="AJ71" s="112">
        <f t="shared" si="13"/>
        <v>5.1907181818181822</v>
      </c>
      <c r="AK71" s="94">
        <v>0.01</v>
      </c>
      <c r="AL71" s="112">
        <f t="shared" si="14"/>
        <v>0.30533636363636368</v>
      </c>
      <c r="AM71" s="99">
        <f t="shared" si="21"/>
        <v>0.78</v>
      </c>
      <c r="AN71" s="100">
        <f t="shared" si="21"/>
        <v>23.816236363636364</v>
      </c>
      <c r="AO71" s="277"/>
      <c r="AP71" s="112">
        <f t="shared" si="15"/>
        <v>0</v>
      </c>
      <c r="AQ71" s="99">
        <f t="shared" si="19"/>
        <v>0</v>
      </c>
      <c r="AR71" s="276">
        <f t="shared" si="16"/>
        <v>0</v>
      </c>
      <c r="AS71" s="103">
        <f t="shared" si="22"/>
        <v>0.78</v>
      </c>
      <c r="AT71" s="104">
        <f t="shared" si="22"/>
        <v>23.816236363636364</v>
      </c>
      <c r="AU71" s="56" t="s">
        <v>155</v>
      </c>
      <c r="AV71" s="56">
        <f t="shared" si="20"/>
        <v>0</v>
      </c>
    </row>
    <row r="72" spans="1:48" ht="15" customHeight="1" x14ac:dyDescent="0.45">
      <c r="A72" s="73"/>
      <c r="B72" s="90"/>
      <c r="C72" s="105">
        <v>59</v>
      </c>
      <c r="D72" s="172" t="s">
        <v>290</v>
      </c>
      <c r="E72" s="173" t="s">
        <v>289</v>
      </c>
      <c r="F72" s="174" t="s">
        <v>291</v>
      </c>
      <c r="G72" s="93"/>
      <c r="H72" s="94">
        <f t="shared" si="17"/>
        <v>0</v>
      </c>
      <c r="I72" s="94"/>
      <c r="J72" s="94"/>
      <c r="K72" s="80">
        <f t="shared" si="18"/>
        <v>0</v>
      </c>
      <c r="L72" s="270">
        <f t="shared" si="18"/>
        <v>0</v>
      </c>
      <c r="M72" s="112">
        <v>0.01</v>
      </c>
      <c r="N72" s="112">
        <f t="shared" si="2"/>
        <v>0.30533636363636368</v>
      </c>
      <c r="O72" s="112"/>
      <c r="P72" s="112">
        <f t="shared" si="3"/>
        <v>0</v>
      </c>
      <c r="Q72" s="112"/>
      <c r="R72" s="112">
        <f t="shared" si="4"/>
        <v>0</v>
      </c>
      <c r="S72" s="112"/>
      <c r="T72" s="112">
        <f t="shared" si="5"/>
        <v>0</v>
      </c>
      <c r="U72" s="112"/>
      <c r="V72" s="112">
        <f t="shared" si="6"/>
        <v>0</v>
      </c>
      <c r="W72" s="112"/>
      <c r="X72" s="112">
        <f t="shared" si="7"/>
        <v>0</v>
      </c>
      <c r="Y72" s="99">
        <f t="shared" si="8"/>
        <v>0.01</v>
      </c>
      <c r="Z72" s="275">
        <f t="shared" si="8"/>
        <v>0.30533636363636368</v>
      </c>
      <c r="AA72" s="111">
        <v>0.01</v>
      </c>
      <c r="AB72" s="112">
        <f t="shared" si="9"/>
        <v>0.30533636363636368</v>
      </c>
      <c r="AC72" s="111">
        <v>0.01</v>
      </c>
      <c r="AD72" s="180">
        <f t="shared" si="10"/>
        <v>0.30533636363636368</v>
      </c>
      <c r="AE72" s="111">
        <v>0.01</v>
      </c>
      <c r="AF72" s="180">
        <f t="shared" si="11"/>
        <v>0.30533636363636368</v>
      </c>
      <c r="AG72" s="111">
        <v>0.01</v>
      </c>
      <c r="AH72" s="112">
        <f t="shared" si="12"/>
        <v>0.30533636363636368</v>
      </c>
      <c r="AI72" s="111">
        <v>0.01</v>
      </c>
      <c r="AJ72" s="112">
        <f t="shared" si="13"/>
        <v>0.30533636363636368</v>
      </c>
      <c r="AK72" s="94">
        <v>0.04</v>
      </c>
      <c r="AL72" s="112">
        <f t="shared" si="14"/>
        <v>1.2213454545454547</v>
      </c>
      <c r="AM72" s="99">
        <f t="shared" si="21"/>
        <v>0.08</v>
      </c>
      <c r="AN72" s="100">
        <f t="shared" si="21"/>
        <v>2.4426909090909095</v>
      </c>
      <c r="AO72" s="277"/>
      <c r="AP72" s="112">
        <f t="shared" si="15"/>
        <v>0</v>
      </c>
      <c r="AQ72" s="99">
        <f t="shared" si="19"/>
        <v>0</v>
      </c>
      <c r="AR72" s="276">
        <f t="shared" si="16"/>
        <v>0</v>
      </c>
      <c r="AS72" s="103">
        <f t="shared" si="22"/>
        <v>0.09</v>
      </c>
      <c r="AT72" s="104">
        <f t="shared" si="22"/>
        <v>2.7480272727272732</v>
      </c>
      <c r="AU72" s="56" t="s">
        <v>155</v>
      </c>
      <c r="AV72" s="56">
        <f t="shared" si="20"/>
        <v>0</v>
      </c>
    </row>
    <row r="73" spans="1:48" ht="15" customHeight="1" x14ac:dyDescent="0.45">
      <c r="A73" s="73"/>
      <c r="B73" s="90"/>
      <c r="C73" s="105">
        <v>60</v>
      </c>
      <c r="D73" s="172" t="s">
        <v>292</v>
      </c>
      <c r="E73" s="173" t="s">
        <v>293</v>
      </c>
      <c r="F73" s="174" t="s">
        <v>203</v>
      </c>
      <c r="G73" s="93">
        <v>0.03</v>
      </c>
      <c r="H73" s="94">
        <f t="shared" si="17"/>
        <v>5.4224999999999994</v>
      </c>
      <c r="I73" s="94"/>
      <c r="J73" s="94"/>
      <c r="K73" s="80">
        <f t="shared" si="18"/>
        <v>0.03</v>
      </c>
      <c r="L73" s="270">
        <f t="shared" si="18"/>
        <v>5.4224999999999994</v>
      </c>
      <c r="M73" s="112">
        <v>0.01</v>
      </c>
      <c r="N73" s="112">
        <f t="shared" si="2"/>
        <v>0.30533636363636368</v>
      </c>
      <c r="O73" s="112">
        <v>0.01</v>
      </c>
      <c r="P73" s="112">
        <f t="shared" si="3"/>
        <v>0.30533636363636368</v>
      </c>
      <c r="Q73" s="112">
        <v>0.01</v>
      </c>
      <c r="R73" s="112">
        <f t="shared" si="4"/>
        <v>0.30533636363636368</v>
      </c>
      <c r="S73" s="112">
        <v>0.01</v>
      </c>
      <c r="T73" s="112">
        <f t="shared" si="5"/>
        <v>0.30533636363636368</v>
      </c>
      <c r="U73" s="112">
        <v>0.01</v>
      </c>
      <c r="V73" s="112">
        <f t="shared" si="6"/>
        <v>0.30533636363636368</v>
      </c>
      <c r="W73" s="112">
        <v>0.01</v>
      </c>
      <c r="X73" s="112">
        <f t="shared" si="7"/>
        <v>0.30533636363636368</v>
      </c>
      <c r="Y73" s="99">
        <f t="shared" si="8"/>
        <v>6.0000000000000005E-2</v>
      </c>
      <c r="Z73" s="275">
        <f t="shared" si="8"/>
        <v>1.8320181818181822</v>
      </c>
      <c r="AA73" s="111">
        <v>0.01</v>
      </c>
      <c r="AB73" s="112">
        <f t="shared" si="9"/>
        <v>0.30533636363636368</v>
      </c>
      <c r="AC73" s="111">
        <v>0.01</v>
      </c>
      <c r="AD73" s="180">
        <f t="shared" si="10"/>
        <v>0.30533636363636368</v>
      </c>
      <c r="AE73" s="111">
        <v>0.01</v>
      </c>
      <c r="AF73" s="180">
        <f t="shared" si="11"/>
        <v>0.30533636363636368</v>
      </c>
      <c r="AG73" s="111">
        <v>0.01</v>
      </c>
      <c r="AH73" s="112">
        <f t="shared" si="12"/>
        <v>0.30533636363636368</v>
      </c>
      <c r="AI73" s="111">
        <v>0.01</v>
      </c>
      <c r="AJ73" s="112">
        <f t="shared" si="13"/>
        <v>0.30533636363636368</v>
      </c>
      <c r="AK73" s="94">
        <v>0.01</v>
      </c>
      <c r="AL73" s="112">
        <f t="shared" si="14"/>
        <v>0.30533636363636368</v>
      </c>
      <c r="AM73" s="99">
        <f t="shared" si="21"/>
        <v>0.05</v>
      </c>
      <c r="AN73" s="100">
        <f t="shared" si="21"/>
        <v>1.5266818181818185</v>
      </c>
      <c r="AO73" s="277"/>
      <c r="AP73" s="112">
        <f t="shared" si="15"/>
        <v>0</v>
      </c>
      <c r="AQ73" s="99">
        <f t="shared" si="19"/>
        <v>0</v>
      </c>
      <c r="AR73" s="276">
        <f t="shared" si="16"/>
        <v>0</v>
      </c>
      <c r="AS73" s="103">
        <f t="shared" si="22"/>
        <v>0.14000000000000001</v>
      </c>
      <c r="AT73" s="104">
        <f t="shared" si="22"/>
        <v>8.7812000000000001</v>
      </c>
      <c r="AU73" s="56" t="s">
        <v>155</v>
      </c>
      <c r="AV73" s="56">
        <f t="shared" si="20"/>
        <v>0</v>
      </c>
    </row>
    <row r="74" spans="1:48" ht="15" customHeight="1" x14ac:dyDescent="0.45">
      <c r="A74" s="73"/>
      <c r="B74" s="90"/>
      <c r="C74" s="105">
        <v>61</v>
      </c>
      <c r="D74" s="172" t="s">
        <v>294</v>
      </c>
      <c r="E74" s="173" t="s">
        <v>295</v>
      </c>
      <c r="F74" s="110" t="s">
        <v>177</v>
      </c>
      <c r="G74" s="93"/>
      <c r="H74" s="94">
        <f t="shared" si="17"/>
        <v>0</v>
      </c>
      <c r="I74" s="94"/>
      <c r="J74" s="94"/>
      <c r="K74" s="80">
        <f t="shared" si="18"/>
        <v>0</v>
      </c>
      <c r="L74" s="270">
        <f t="shared" si="18"/>
        <v>0</v>
      </c>
      <c r="M74" s="112">
        <v>0.01</v>
      </c>
      <c r="N74" s="112">
        <f t="shared" si="2"/>
        <v>0.30533636363636368</v>
      </c>
      <c r="O74" s="112">
        <v>0.01</v>
      </c>
      <c r="P74" s="112">
        <f t="shared" si="3"/>
        <v>0.30533636363636368</v>
      </c>
      <c r="Q74" s="112">
        <v>0.01</v>
      </c>
      <c r="R74" s="112">
        <f t="shared" si="4"/>
        <v>0.30533636363636368</v>
      </c>
      <c r="S74" s="112">
        <v>0.01</v>
      </c>
      <c r="T74" s="112">
        <f t="shared" si="5"/>
        <v>0.30533636363636368</v>
      </c>
      <c r="U74" s="112">
        <v>0.01</v>
      </c>
      <c r="V74" s="112">
        <f t="shared" si="6"/>
        <v>0.30533636363636368</v>
      </c>
      <c r="W74" s="112">
        <v>0.01</v>
      </c>
      <c r="X74" s="112">
        <f t="shared" si="7"/>
        <v>0.30533636363636368</v>
      </c>
      <c r="Y74" s="99">
        <f t="shared" si="8"/>
        <v>6.0000000000000005E-2</v>
      </c>
      <c r="Z74" s="275">
        <f t="shared" si="8"/>
        <v>1.8320181818181822</v>
      </c>
      <c r="AA74" s="111">
        <v>0.03</v>
      </c>
      <c r="AB74" s="112">
        <f t="shared" si="9"/>
        <v>0.91600909090909088</v>
      </c>
      <c r="AC74" s="111">
        <v>0.04</v>
      </c>
      <c r="AD74" s="180">
        <f t="shared" si="10"/>
        <v>1.2213454545454547</v>
      </c>
      <c r="AE74" s="111">
        <v>0.04</v>
      </c>
      <c r="AF74" s="180">
        <f t="shared" si="11"/>
        <v>1.2213454545454547</v>
      </c>
      <c r="AG74" s="111">
        <v>0.04</v>
      </c>
      <c r="AH74" s="112">
        <f t="shared" si="12"/>
        <v>1.2213454545454547</v>
      </c>
      <c r="AI74" s="111">
        <v>0.04</v>
      </c>
      <c r="AJ74" s="112">
        <f t="shared" si="13"/>
        <v>1.2213454545454547</v>
      </c>
      <c r="AK74" s="94">
        <v>0.05</v>
      </c>
      <c r="AL74" s="112">
        <f t="shared" si="14"/>
        <v>1.5266818181818183</v>
      </c>
      <c r="AM74" s="99">
        <f t="shared" si="21"/>
        <v>0.2</v>
      </c>
      <c r="AN74" s="100">
        <f t="shared" si="21"/>
        <v>6.1067272727272739</v>
      </c>
      <c r="AO74" s="277"/>
      <c r="AP74" s="112">
        <f t="shared" si="15"/>
        <v>0</v>
      </c>
      <c r="AQ74" s="99">
        <f t="shared" si="19"/>
        <v>0</v>
      </c>
      <c r="AR74" s="276">
        <f t="shared" si="16"/>
        <v>0</v>
      </c>
      <c r="AS74" s="103">
        <f t="shared" si="22"/>
        <v>0.26</v>
      </c>
      <c r="AT74" s="104">
        <f t="shared" si="22"/>
        <v>7.9387454545454563</v>
      </c>
      <c r="AU74" s="56" t="s">
        <v>155</v>
      </c>
      <c r="AV74" s="56">
        <f t="shared" si="20"/>
        <v>0</v>
      </c>
    </row>
    <row r="75" spans="1:48" ht="15" customHeight="1" x14ac:dyDescent="0.45">
      <c r="A75" s="73"/>
      <c r="B75" s="90"/>
      <c r="C75" s="105">
        <v>62</v>
      </c>
      <c r="D75" s="172" t="s">
        <v>296</v>
      </c>
      <c r="E75" s="173" t="s">
        <v>297</v>
      </c>
      <c r="F75" s="110" t="s">
        <v>187</v>
      </c>
      <c r="G75" s="93"/>
      <c r="H75" s="94">
        <f t="shared" si="17"/>
        <v>0</v>
      </c>
      <c r="I75" s="94"/>
      <c r="J75" s="94"/>
      <c r="K75" s="80">
        <f t="shared" si="18"/>
        <v>0</v>
      </c>
      <c r="L75" s="270">
        <f t="shared" si="18"/>
        <v>0</v>
      </c>
      <c r="M75" s="112">
        <v>0.01</v>
      </c>
      <c r="N75" s="112">
        <f t="shared" si="2"/>
        <v>0.30533636363636368</v>
      </c>
      <c r="O75" s="112">
        <v>0.01</v>
      </c>
      <c r="P75" s="112">
        <f t="shared" si="3"/>
        <v>0.30533636363636368</v>
      </c>
      <c r="Q75" s="112">
        <v>0.01</v>
      </c>
      <c r="R75" s="112">
        <f t="shared" si="4"/>
        <v>0.30533636363636368</v>
      </c>
      <c r="S75" s="112">
        <v>0.01</v>
      </c>
      <c r="T75" s="112">
        <f t="shared" si="5"/>
        <v>0.30533636363636368</v>
      </c>
      <c r="U75" s="112">
        <v>0.01</v>
      </c>
      <c r="V75" s="112">
        <f t="shared" si="6"/>
        <v>0.30533636363636368</v>
      </c>
      <c r="W75" s="112">
        <v>0.01</v>
      </c>
      <c r="X75" s="112">
        <f t="shared" si="7"/>
        <v>0.30533636363636368</v>
      </c>
      <c r="Y75" s="99">
        <f t="shared" si="8"/>
        <v>6.0000000000000005E-2</v>
      </c>
      <c r="Z75" s="275">
        <f t="shared" si="8"/>
        <v>1.8320181818181822</v>
      </c>
      <c r="AA75" s="111">
        <v>0.01</v>
      </c>
      <c r="AB75" s="112">
        <f t="shared" si="9"/>
        <v>0.30533636363636368</v>
      </c>
      <c r="AC75" s="111">
        <v>0.01</v>
      </c>
      <c r="AD75" s="180">
        <f t="shared" si="10"/>
        <v>0.30533636363636368</v>
      </c>
      <c r="AE75" s="111">
        <v>0.01</v>
      </c>
      <c r="AF75" s="180">
        <f t="shared" si="11"/>
        <v>0.30533636363636368</v>
      </c>
      <c r="AG75" s="111">
        <v>0.01</v>
      </c>
      <c r="AH75" s="112">
        <f t="shared" si="12"/>
        <v>0.30533636363636368</v>
      </c>
      <c r="AI75" s="111">
        <v>0.01</v>
      </c>
      <c r="AJ75" s="112">
        <f t="shared" si="13"/>
        <v>0.30533636363636368</v>
      </c>
      <c r="AK75" s="94">
        <v>0.01</v>
      </c>
      <c r="AL75" s="112">
        <f t="shared" si="14"/>
        <v>0.30533636363636368</v>
      </c>
      <c r="AM75" s="99">
        <f t="shared" si="21"/>
        <v>0.05</v>
      </c>
      <c r="AN75" s="100">
        <f t="shared" si="21"/>
        <v>1.5266818181818185</v>
      </c>
      <c r="AO75" s="277"/>
      <c r="AP75" s="112">
        <f t="shared" si="15"/>
        <v>0</v>
      </c>
      <c r="AQ75" s="99">
        <f t="shared" si="19"/>
        <v>0</v>
      </c>
      <c r="AR75" s="276">
        <f t="shared" si="16"/>
        <v>0</v>
      </c>
      <c r="AS75" s="103">
        <f t="shared" si="22"/>
        <v>0.11000000000000001</v>
      </c>
      <c r="AT75" s="104">
        <f t="shared" si="22"/>
        <v>3.3587000000000007</v>
      </c>
      <c r="AU75" s="56" t="s">
        <v>155</v>
      </c>
      <c r="AV75" s="56">
        <f t="shared" si="20"/>
        <v>0</v>
      </c>
    </row>
    <row r="76" spans="1:48" ht="15" customHeight="1" x14ac:dyDescent="0.45">
      <c r="A76" s="73"/>
      <c r="B76" s="90"/>
      <c r="C76" s="91">
        <v>63</v>
      </c>
      <c r="D76" s="172" t="s">
        <v>298</v>
      </c>
      <c r="E76" s="173" t="s">
        <v>299</v>
      </c>
      <c r="F76" s="174" t="s">
        <v>203</v>
      </c>
      <c r="G76" s="93"/>
      <c r="H76" s="94">
        <f t="shared" si="17"/>
        <v>0</v>
      </c>
      <c r="I76" s="94"/>
      <c r="J76" s="94"/>
      <c r="K76" s="80">
        <f t="shared" si="18"/>
        <v>0</v>
      </c>
      <c r="L76" s="270">
        <f t="shared" si="18"/>
        <v>0</v>
      </c>
      <c r="M76" s="112">
        <v>0.03</v>
      </c>
      <c r="N76" s="112">
        <f t="shared" si="2"/>
        <v>0.91600909090909088</v>
      </c>
      <c r="O76" s="112">
        <v>0.01</v>
      </c>
      <c r="P76" s="112">
        <f t="shared" si="3"/>
        <v>0.30533636363636368</v>
      </c>
      <c r="Q76" s="112">
        <v>0.01</v>
      </c>
      <c r="R76" s="112">
        <f t="shared" si="4"/>
        <v>0.30533636363636368</v>
      </c>
      <c r="S76" s="112">
        <v>0.01</v>
      </c>
      <c r="T76" s="112">
        <f t="shared" si="5"/>
        <v>0.30533636363636368</v>
      </c>
      <c r="U76" s="112">
        <v>0.01</v>
      </c>
      <c r="V76" s="112">
        <f t="shared" si="6"/>
        <v>0.30533636363636368</v>
      </c>
      <c r="W76" s="112">
        <v>0.01</v>
      </c>
      <c r="X76" s="112">
        <f t="shared" si="7"/>
        <v>0.30533636363636368</v>
      </c>
      <c r="Y76" s="99">
        <f t="shared" si="8"/>
        <v>0.08</v>
      </c>
      <c r="Z76" s="275">
        <f t="shared" si="8"/>
        <v>2.4426909090909095</v>
      </c>
      <c r="AA76" s="111">
        <v>0.01</v>
      </c>
      <c r="AB76" s="112">
        <f t="shared" si="9"/>
        <v>0.30533636363636368</v>
      </c>
      <c r="AC76" s="111">
        <v>0.01</v>
      </c>
      <c r="AD76" s="180">
        <f t="shared" si="10"/>
        <v>0.30533636363636368</v>
      </c>
      <c r="AE76" s="111">
        <v>0.01</v>
      </c>
      <c r="AF76" s="180">
        <f t="shared" si="11"/>
        <v>0.30533636363636368</v>
      </c>
      <c r="AG76" s="111">
        <v>0.01</v>
      </c>
      <c r="AH76" s="112">
        <f t="shared" si="12"/>
        <v>0.30533636363636368</v>
      </c>
      <c r="AI76" s="111">
        <v>0.01</v>
      </c>
      <c r="AJ76" s="112">
        <f t="shared" si="13"/>
        <v>0.30533636363636368</v>
      </c>
      <c r="AK76" s="94">
        <v>0.03</v>
      </c>
      <c r="AL76" s="112">
        <f t="shared" si="14"/>
        <v>0.91600909090909088</v>
      </c>
      <c r="AM76" s="99">
        <f t="shared" ref="AM76:AN113" si="23">AA76+AC76+AE76+AG76+AK76</f>
        <v>7.0000000000000007E-2</v>
      </c>
      <c r="AN76" s="100">
        <f t="shared" si="23"/>
        <v>2.1373545454545457</v>
      </c>
      <c r="AO76" s="277"/>
      <c r="AP76" s="112">
        <f t="shared" si="15"/>
        <v>0</v>
      </c>
      <c r="AQ76" s="99">
        <f t="shared" si="19"/>
        <v>0</v>
      </c>
      <c r="AR76" s="276">
        <f t="shared" si="16"/>
        <v>0</v>
      </c>
      <c r="AS76" s="103">
        <f t="shared" ref="AS76:AT113" si="24">K76+Y76+AM76+AQ76</f>
        <v>0.15000000000000002</v>
      </c>
      <c r="AT76" s="104">
        <f t="shared" si="24"/>
        <v>4.5800454545454556</v>
      </c>
      <c r="AU76" s="56" t="s">
        <v>155</v>
      </c>
      <c r="AV76" s="56">
        <f t="shared" si="20"/>
        <v>0</v>
      </c>
    </row>
    <row r="77" spans="1:48" ht="15" customHeight="1" x14ac:dyDescent="0.45">
      <c r="A77" s="73"/>
      <c r="B77" s="106" t="s">
        <v>300</v>
      </c>
      <c r="C77" s="521">
        <v>64</v>
      </c>
      <c r="D77" s="172" t="s">
        <v>301</v>
      </c>
      <c r="E77" s="173" t="s">
        <v>302</v>
      </c>
      <c r="F77" s="110" t="s">
        <v>177</v>
      </c>
      <c r="G77" s="93"/>
      <c r="H77" s="94">
        <f t="shared" si="17"/>
        <v>0</v>
      </c>
      <c r="I77" s="94"/>
      <c r="J77" s="94"/>
      <c r="K77" s="80">
        <f t="shared" si="18"/>
        <v>0</v>
      </c>
      <c r="L77" s="270">
        <f t="shared" si="18"/>
        <v>0</v>
      </c>
      <c r="M77" s="112"/>
      <c r="N77" s="112">
        <f t="shared" si="2"/>
        <v>0</v>
      </c>
      <c r="O77" s="112"/>
      <c r="P77" s="112">
        <f t="shared" si="3"/>
        <v>0</v>
      </c>
      <c r="Q77" s="112"/>
      <c r="R77" s="112">
        <f t="shared" si="4"/>
        <v>0</v>
      </c>
      <c r="S77" s="112"/>
      <c r="T77" s="112">
        <f t="shared" si="5"/>
        <v>0</v>
      </c>
      <c r="U77" s="112"/>
      <c r="V77" s="112">
        <f t="shared" si="6"/>
        <v>0</v>
      </c>
      <c r="W77" s="112"/>
      <c r="X77" s="112">
        <f t="shared" si="7"/>
        <v>0</v>
      </c>
      <c r="Y77" s="99">
        <f t="shared" ref="Y77:Z113" si="25">M77+O77+Q77+S77+U77+W77</f>
        <v>0</v>
      </c>
      <c r="Z77" s="275">
        <f t="shared" si="25"/>
        <v>0</v>
      </c>
      <c r="AA77" s="111">
        <v>0.03</v>
      </c>
      <c r="AB77" s="112">
        <f t="shared" si="9"/>
        <v>0.91600909090909088</v>
      </c>
      <c r="AC77" s="111">
        <v>0.03</v>
      </c>
      <c r="AD77" s="180">
        <f t="shared" si="10"/>
        <v>0.91600909090909088</v>
      </c>
      <c r="AE77" s="111">
        <v>0.03</v>
      </c>
      <c r="AF77" s="180">
        <f t="shared" si="11"/>
        <v>0.91600909090909088</v>
      </c>
      <c r="AG77" s="111">
        <v>0.03</v>
      </c>
      <c r="AH77" s="112">
        <f t="shared" si="12"/>
        <v>0.91600909090909088</v>
      </c>
      <c r="AI77" s="111">
        <v>0.03</v>
      </c>
      <c r="AJ77" s="112">
        <f t="shared" si="13"/>
        <v>0.91600909090909088</v>
      </c>
      <c r="AK77" s="94">
        <v>0.05</v>
      </c>
      <c r="AL77" s="112">
        <f t="shared" si="14"/>
        <v>1.5266818181818183</v>
      </c>
      <c r="AM77" s="99">
        <f t="shared" si="23"/>
        <v>0.16999999999999998</v>
      </c>
      <c r="AN77" s="100">
        <f t="shared" si="23"/>
        <v>5.1907181818181822</v>
      </c>
      <c r="AO77" s="277"/>
      <c r="AP77" s="112">
        <f t="shared" si="15"/>
        <v>0</v>
      </c>
      <c r="AQ77" s="99">
        <f t="shared" si="19"/>
        <v>0</v>
      </c>
      <c r="AR77" s="276">
        <f t="shared" si="19"/>
        <v>0</v>
      </c>
      <c r="AS77" s="103">
        <f t="shared" si="24"/>
        <v>0.16999999999999998</v>
      </c>
      <c r="AT77" s="104">
        <f t="shared" si="24"/>
        <v>5.1907181818181822</v>
      </c>
      <c r="AU77" s="56" t="s">
        <v>155</v>
      </c>
      <c r="AV77" s="56">
        <f t="shared" si="20"/>
        <v>0</v>
      </c>
    </row>
    <row r="78" spans="1:48" ht="15" customHeight="1" x14ac:dyDescent="0.45">
      <c r="A78" s="73"/>
      <c r="B78" s="90" t="s">
        <v>303</v>
      </c>
      <c r="C78" s="105">
        <v>65</v>
      </c>
      <c r="D78" s="172" t="s">
        <v>304</v>
      </c>
      <c r="E78" s="173" t="s">
        <v>305</v>
      </c>
      <c r="F78" s="174" t="s">
        <v>203</v>
      </c>
      <c r="G78" s="93"/>
      <c r="H78" s="94">
        <f t="shared" si="17"/>
        <v>0</v>
      </c>
      <c r="I78" s="94"/>
      <c r="J78" s="94"/>
      <c r="K78" s="80">
        <f t="shared" ref="K78:L114" si="26">G78+I78</f>
        <v>0</v>
      </c>
      <c r="L78" s="270">
        <f t="shared" si="26"/>
        <v>0</v>
      </c>
      <c r="M78" s="112"/>
      <c r="N78" s="112">
        <f t="shared" ref="N78:N113" si="27">N$13/M$13*M78</f>
        <v>0</v>
      </c>
      <c r="O78" s="112"/>
      <c r="P78" s="112">
        <f t="shared" ref="P78:P113" si="28">P$13/O$13*O78</f>
        <v>0</v>
      </c>
      <c r="Q78" s="112"/>
      <c r="R78" s="112">
        <f t="shared" ref="R78:R113" si="29">R$13/Q$13*Q78</f>
        <v>0</v>
      </c>
      <c r="S78" s="112"/>
      <c r="T78" s="112">
        <f t="shared" ref="T78:T113" si="30">T$13/S$13*S78</f>
        <v>0</v>
      </c>
      <c r="U78" s="112"/>
      <c r="V78" s="112">
        <f t="shared" ref="V78:V113" si="31">V$13/U$13*U78</f>
        <v>0</v>
      </c>
      <c r="W78" s="112"/>
      <c r="X78" s="112">
        <f t="shared" ref="X78:X113" si="32">X$13/W$13*W78</f>
        <v>0</v>
      </c>
      <c r="Y78" s="99">
        <f t="shared" si="25"/>
        <v>0</v>
      </c>
      <c r="Z78" s="275">
        <f t="shared" si="25"/>
        <v>0</v>
      </c>
      <c r="AA78" s="111">
        <v>0.01</v>
      </c>
      <c r="AB78" s="112">
        <f t="shared" ref="AB78:AB113" si="33">AB$13/AA$13*AA78</f>
        <v>0.30533636363636368</v>
      </c>
      <c r="AC78" s="111">
        <v>0.01</v>
      </c>
      <c r="AD78" s="180">
        <f t="shared" ref="AD78:AD113" si="34">AD$13/AC$13*AC78</f>
        <v>0.30533636363636368</v>
      </c>
      <c r="AE78" s="111">
        <v>0.01</v>
      </c>
      <c r="AF78" s="180">
        <f t="shared" ref="AF78:AF113" si="35">AF$13/AE$13*AE78</f>
        <v>0.30533636363636368</v>
      </c>
      <c r="AG78" s="111">
        <v>0.02</v>
      </c>
      <c r="AH78" s="112">
        <f t="shared" ref="AH78:AH113" si="36">AH$13/AG$13*AG78</f>
        <v>0.61067272727272737</v>
      </c>
      <c r="AI78" s="111">
        <v>0.03</v>
      </c>
      <c r="AJ78" s="112">
        <f t="shared" ref="AJ78:AJ113" si="37">AJ$13/AI$13*AI78</f>
        <v>0.91600909090909088</v>
      </c>
      <c r="AK78" s="94">
        <v>0.01</v>
      </c>
      <c r="AL78" s="112">
        <f t="shared" ref="AL78:AL113" si="38">AL$13/AK$13*AK78</f>
        <v>0.30533636363636368</v>
      </c>
      <c r="AM78" s="99">
        <f t="shared" si="23"/>
        <v>6.0000000000000005E-2</v>
      </c>
      <c r="AN78" s="100">
        <f t="shared" si="23"/>
        <v>1.832018181818182</v>
      </c>
      <c r="AO78" s="277"/>
      <c r="AP78" s="112">
        <f t="shared" ref="AP78:AP113" si="39">AP$13/AO$13*AO78</f>
        <v>0</v>
      </c>
      <c r="AQ78" s="99">
        <f t="shared" ref="AQ78:AR113" si="40">AO78</f>
        <v>0</v>
      </c>
      <c r="AR78" s="276">
        <f t="shared" si="40"/>
        <v>0</v>
      </c>
      <c r="AS78" s="103">
        <f t="shared" si="24"/>
        <v>6.0000000000000005E-2</v>
      </c>
      <c r="AT78" s="104">
        <f t="shared" si="24"/>
        <v>1.832018181818182</v>
      </c>
      <c r="AU78" s="56" t="s">
        <v>155</v>
      </c>
      <c r="AV78" s="56">
        <f t="shared" si="20"/>
        <v>0</v>
      </c>
    </row>
    <row r="79" spans="1:48" ht="15" customHeight="1" x14ac:dyDescent="0.45">
      <c r="A79" s="73"/>
      <c r="B79" s="90"/>
      <c r="C79" s="105">
        <v>66</v>
      </c>
      <c r="D79" s="172" t="s">
        <v>306</v>
      </c>
      <c r="E79" s="173" t="s">
        <v>307</v>
      </c>
      <c r="F79" s="174" t="s">
        <v>203</v>
      </c>
      <c r="G79" s="93"/>
      <c r="H79" s="94">
        <f t="shared" ref="H79:H113" si="41">H$13/G$13*G79</f>
        <v>0</v>
      </c>
      <c r="I79" s="94"/>
      <c r="J79" s="94"/>
      <c r="K79" s="80">
        <f t="shared" si="26"/>
        <v>0</v>
      </c>
      <c r="L79" s="270">
        <f t="shared" si="26"/>
        <v>0</v>
      </c>
      <c r="M79" s="112"/>
      <c r="N79" s="112">
        <f t="shared" si="27"/>
        <v>0</v>
      </c>
      <c r="O79" s="112"/>
      <c r="P79" s="112">
        <f t="shared" si="28"/>
        <v>0</v>
      </c>
      <c r="Q79" s="112"/>
      <c r="R79" s="112">
        <f t="shared" si="29"/>
        <v>0</v>
      </c>
      <c r="S79" s="112"/>
      <c r="T79" s="112">
        <f t="shared" si="30"/>
        <v>0</v>
      </c>
      <c r="U79" s="112"/>
      <c r="V79" s="112">
        <f t="shared" si="31"/>
        <v>0</v>
      </c>
      <c r="W79" s="112"/>
      <c r="X79" s="112">
        <f t="shared" si="32"/>
        <v>0</v>
      </c>
      <c r="Y79" s="99">
        <f t="shared" si="25"/>
        <v>0</v>
      </c>
      <c r="Z79" s="275">
        <f t="shared" si="25"/>
        <v>0</v>
      </c>
      <c r="AA79" s="111">
        <v>0.01</v>
      </c>
      <c r="AB79" s="112">
        <f t="shared" si="33"/>
        <v>0.30533636363636368</v>
      </c>
      <c r="AC79" s="111">
        <v>0.01</v>
      </c>
      <c r="AD79" s="180">
        <f t="shared" si="34"/>
        <v>0.30533636363636368</v>
      </c>
      <c r="AE79" s="111">
        <v>0.01</v>
      </c>
      <c r="AF79" s="180">
        <f t="shared" si="35"/>
        <v>0.30533636363636368</v>
      </c>
      <c r="AG79" s="111">
        <v>0.01</v>
      </c>
      <c r="AH79" s="112">
        <f t="shared" si="36"/>
        <v>0.30533636363636368</v>
      </c>
      <c r="AI79" s="111">
        <v>0.03</v>
      </c>
      <c r="AJ79" s="112">
        <f t="shared" si="37"/>
        <v>0.91600909090909088</v>
      </c>
      <c r="AK79" s="94">
        <v>0.01</v>
      </c>
      <c r="AL79" s="112">
        <f t="shared" si="38"/>
        <v>0.30533636363636368</v>
      </c>
      <c r="AM79" s="99">
        <f t="shared" si="23"/>
        <v>0.05</v>
      </c>
      <c r="AN79" s="100">
        <f t="shared" si="23"/>
        <v>1.5266818181818185</v>
      </c>
      <c r="AO79" s="277"/>
      <c r="AP79" s="112">
        <f t="shared" si="39"/>
        <v>0</v>
      </c>
      <c r="AQ79" s="99">
        <f t="shared" si="40"/>
        <v>0</v>
      </c>
      <c r="AR79" s="276">
        <f t="shared" si="40"/>
        <v>0</v>
      </c>
      <c r="AS79" s="103">
        <f t="shared" si="24"/>
        <v>0.05</v>
      </c>
      <c r="AT79" s="104">
        <f t="shared" si="24"/>
        <v>1.5266818181818185</v>
      </c>
      <c r="AU79" s="56" t="s">
        <v>155</v>
      </c>
      <c r="AV79" s="56">
        <f t="shared" ref="AV79:AV113" si="42">IF(AU79="●",AT79,0)</f>
        <v>0</v>
      </c>
    </row>
    <row r="80" spans="1:48" ht="15" customHeight="1" x14ac:dyDescent="0.45">
      <c r="A80" s="73"/>
      <c r="B80" s="90"/>
      <c r="C80" s="91">
        <v>67</v>
      </c>
      <c r="D80" s="172" t="s">
        <v>308</v>
      </c>
      <c r="E80" s="173" t="s">
        <v>309</v>
      </c>
      <c r="F80" s="174" t="s">
        <v>203</v>
      </c>
      <c r="G80" s="93"/>
      <c r="H80" s="94">
        <f t="shared" si="41"/>
        <v>0</v>
      </c>
      <c r="I80" s="94"/>
      <c r="J80" s="94"/>
      <c r="K80" s="80">
        <f t="shared" si="26"/>
        <v>0</v>
      </c>
      <c r="L80" s="270">
        <f t="shared" si="26"/>
        <v>0</v>
      </c>
      <c r="M80" s="112"/>
      <c r="N80" s="112">
        <f t="shared" si="27"/>
        <v>0</v>
      </c>
      <c r="O80" s="112"/>
      <c r="P80" s="112">
        <f t="shared" si="28"/>
        <v>0</v>
      </c>
      <c r="Q80" s="112"/>
      <c r="R80" s="112">
        <f t="shared" si="29"/>
        <v>0</v>
      </c>
      <c r="S80" s="112"/>
      <c r="T80" s="112">
        <f t="shared" si="30"/>
        <v>0</v>
      </c>
      <c r="U80" s="112"/>
      <c r="V80" s="112">
        <f t="shared" si="31"/>
        <v>0</v>
      </c>
      <c r="W80" s="112"/>
      <c r="X80" s="112">
        <f t="shared" si="32"/>
        <v>0</v>
      </c>
      <c r="Y80" s="99">
        <f t="shared" si="25"/>
        <v>0</v>
      </c>
      <c r="Z80" s="275">
        <f t="shared" si="25"/>
        <v>0</v>
      </c>
      <c r="AA80" s="111">
        <v>0.01</v>
      </c>
      <c r="AB80" s="112">
        <f t="shared" si="33"/>
        <v>0.30533636363636368</v>
      </c>
      <c r="AC80" s="111">
        <v>0.01</v>
      </c>
      <c r="AD80" s="180">
        <f t="shared" si="34"/>
        <v>0.30533636363636368</v>
      </c>
      <c r="AE80" s="111">
        <v>0.02</v>
      </c>
      <c r="AF80" s="180">
        <f t="shared" si="35"/>
        <v>0.61067272727272737</v>
      </c>
      <c r="AG80" s="111">
        <v>0.01</v>
      </c>
      <c r="AH80" s="112">
        <f t="shared" si="36"/>
        <v>0.30533636363636368</v>
      </c>
      <c r="AI80" s="111">
        <v>0.02</v>
      </c>
      <c r="AJ80" s="112">
        <f t="shared" si="37"/>
        <v>0.61067272727272737</v>
      </c>
      <c r="AK80" s="94">
        <v>0.01</v>
      </c>
      <c r="AL80" s="112">
        <f t="shared" si="38"/>
        <v>0.30533636363636368</v>
      </c>
      <c r="AM80" s="99">
        <f t="shared" si="23"/>
        <v>6.0000000000000005E-2</v>
      </c>
      <c r="AN80" s="100">
        <f t="shared" si="23"/>
        <v>1.8320181818181822</v>
      </c>
      <c r="AO80" s="277"/>
      <c r="AP80" s="112">
        <f t="shared" si="39"/>
        <v>0</v>
      </c>
      <c r="AQ80" s="99">
        <f t="shared" si="40"/>
        <v>0</v>
      </c>
      <c r="AR80" s="276">
        <f t="shared" si="40"/>
        <v>0</v>
      </c>
      <c r="AS80" s="103">
        <f t="shared" si="24"/>
        <v>6.0000000000000005E-2</v>
      </c>
      <c r="AT80" s="104">
        <f t="shared" si="24"/>
        <v>1.8320181818181822</v>
      </c>
      <c r="AU80" s="56" t="s">
        <v>155</v>
      </c>
      <c r="AV80" s="56">
        <f t="shared" si="42"/>
        <v>0</v>
      </c>
    </row>
    <row r="81" spans="1:48" ht="15" customHeight="1" x14ac:dyDescent="0.45">
      <c r="A81" s="73"/>
      <c r="B81" s="90"/>
      <c r="C81" s="105">
        <v>68</v>
      </c>
      <c r="D81" s="172" t="s">
        <v>310</v>
      </c>
      <c r="E81" s="173" t="s">
        <v>311</v>
      </c>
      <c r="F81" s="174" t="s">
        <v>203</v>
      </c>
      <c r="G81" s="93"/>
      <c r="H81" s="94">
        <f t="shared" si="41"/>
        <v>0</v>
      </c>
      <c r="I81" s="94"/>
      <c r="J81" s="94"/>
      <c r="K81" s="80">
        <f t="shared" si="26"/>
        <v>0</v>
      </c>
      <c r="L81" s="270">
        <f t="shared" si="26"/>
        <v>0</v>
      </c>
      <c r="M81" s="112"/>
      <c r="N81" s="112">
        <f t="shared" si="27"/>
        <v>0</v>
      </c>
      <c r="O81" s="112"/>
      <c r="P81" s="112">
        <f t="shared" si="28"/>
        <v>0</v>
      </c>
      <c r="Q81" s="112"/>
      <c r="R81" s="112">
        <f t="shared" si="29"/>
        <v>0</v>
      </c>
      <c r="S81" s="112"/>
      <c r="T81" s="112">
        <f t="shared" si="30"/>
        <v>0</v>
      </c>
      <c r="U81" s="112"/>
      <c r="V81" s="112">
        <f t="shared" si="31"/>
        <v>0</v>
      </c>
      <c r="W81" s="112"/>
      <c r="X81" s="112">
        <f t="shared" si="32"/>
        <v>0</v>
      </c>
      <c r="Y81" s="99">
        <f t="shared" si="25"/>
        <v>0</v>
      </c>
      <c r="Z81" s="275">
        <f t="shared" si="25"/>
        <v>0</v>
      </c>
      <c r="AA81" s="111">
        <v>0.01</v>
      </c>
      <c r="AB81" s="112">
        <f t="shared" si="33"/>
        <v>0.30533636363636368</v>
      </c>
      <c r="AC81" s="111">
        <v>0.01</v>
      </c>
      <c r="AD81" s="180">
        <f t="shared" si="34"/>
        <v>0.30533636363636368</v>
      </c>
      <c r="AE81" s="111">
        <v>0.01</v>
      </c>
      <c r="AF81" s="180">
        <f t="shared" si="35"/>
        <v>0.30533636363636368</v>
      </c>
      <c r="AG81" s="111">
        <v>0.01</v>
      </c>
      <c r="AH81" s="112">
        <f t="shared" si="36"/>
        <v>0.30533636363636368</v>
      </c>
      <c r="AI81" s="111">
        <v>0.01</v>
      </c>
      <c r="AJ81" s="112">
        <f t="shared" si="37"/>
        <v>0.30533636363636368</v>
      </c>
      <c r="AK81" s="94"/>
      <c r="AL81" s="112">
        <f t="shared" si="38"/>
        <v>0</v>
      </c>
      <c r="AM81" s="99">
        <f t="shared" si="23"/>
        <v>0.04</v>
      </c>
      <c r="AN81" s="100">
        <f t="shared" si="23"/>
        <v>1.2213454545454547</v>
      </c>
      <c r="AO81" s="277"/>
      <c r="AP81" s="112">
        <f t="shared" si="39"/>
        <v>0</v>
      </c>
      <c r="AQ81" s="99">
        <f t="shared" si="40"/>
        <v>0</v>
      </c>
      <c r="AR81" s="276">
        <f t="shared" si="40"/>
        <v>0</v>
      </c>
      <c r="AS81" s="103">
        <f t="shared" si="24"/>
        <v>0.04</v>
      </c>
      <c r="AT81" s="104">
        <f t="shared" si="24"/>
        <v>1.2213454545454547</v>
      </c>
      <c r="AU81" s="56" t="s">
        <v>155</v>
      </c>
      <c r="AV81" s="56">
        <f t="shared" si="42"/>
        <v>0</v>
      </c>
    </row>
    <row r="82" spans="1:48" ht="15" customHeight="1" x14ac:dyDescent="0.45">
      <c r="A82" s="73"/>
      <c r="B82" s="90"/>
      <c r="C82" s="105">
        <v>69</v>
      </c>
      <c r="D82" s="172" t="s">
        <v>312</v>
      </c>
      <c r="E82" s="173" t="s">
        <v>313</v>
      </c>
      <c r="F82" s="110" t="s">
        <v>177</v>
      </c>
      <c r="G82" s="93"/>
      <c r="H82" s="94">
        <f t="shared" si="41"/>
        <v>0</v>
      </c>
      <c r="I82" s="94"/>
      <c r="J82" s="94"/>
      <c r="K82" s="80">
        <f t="shared" si="26"/>
        <v>0</v>
      </c>
      <c r="L82" s="270">
        <f t="shared" si="26"/>
        <v>0</v>
      </c>
      <c r="M82" s="112"/>
      <c r="N82" s="112">
        <f t="shared" si="27"/>
        <v>0</v>
      </c>
      <c r="O82" s="112"/>
      <c r="P82" s="112">
        <f t="shared" si="28"/>
        <v>0</v>
      </c>
      <c r="Q82" s="112"/>
      <c r="R82" s="112">
        <f t="shared" si="29"/>
        <v>0</v>
      </c>
      <c r="S82" s="112"/>
      <c r="T82" s="112">
        <f t="shared" si="30"/>
        <v>0</v>
      </c>
      <c r="U82" s="112"/>
      <c r="V82" s="112">
        <f t="shared" si="31"/>
        <v>0</v>
      </c>
      <c r="W82" s="112"/>
      <c r="X82" s="112">
        <f t="shared" si="32"/>
        <v>0</v>
      </c>
      <c r="Y82" s="99">
        <f t="shared" si="25"/>
        <v>0</v>
      </c>
      <c r="Z82" s="275">
        <f t="shared" si="25"/>
        <v>0</v>
      </c>
      <c r="AA82" s="111">
        <v>0.01</v>
      </c>
      <c r="AB82" s="112">
        <f t="shared" si="33"/>
        <v>0.30533636363636368</v>
      </c>
      <c r="AC82" s="111">
        <v>0.01</v>
      </c>
      <c r="AD82" s="180">
        <f t="shared" si="34"/>
        <v>0.30533636363636368</v>
      </c>
      <c r="AE82" s="111">
        <v>0.01</v>
      </c>
      <c r="AF82" s="180">
        <f t="shared" si="35"/>
        <v>0.30533636363636368</v>
      </c>
      <c r="AG82" s="111">
        <v>0.01</v>
      </c>
      <c r="AH82" s="112">
        <f t="shared" si="36"/>
        <v>0.30533636363636368</v>
      </c>
      <c r="AI82" s="111">
        <v>0.01</v>
      </c>
      <c r="AJ82" s="112">
        <f t="shared" si="37"/>
        <v>0.30533636363636368</v>
      </c>
      <c r="AK82" s="94"/>
      <c r="AL82" s="112">
        <f t="shared" si="38"/>
        <v>0</v>
      </c>
      <c r="AM82" s="99">
        <f t="shared" si="23"/>
        <v>0.04</v>
      </c>
      <c r="AN82" s="100">
        <f t="shared" si="23"/>
        <v>1.2213454545454547</v>
      </c>
      <c r="AO82" s="277"/>
      <c r="AP82" s="112">
        <f t="shared" si="39"/>
        <v>0</v>
      </c>
      <c r="AQ82" s="99">
        <f t="shared" si="40"/>
        <v>0</v>
      </c>
      <c r="AR82" s="276">
        <f t="shared" si="40"/>
        <v>0</v>
      </c>
      <c r="AS82" s="103">
        <f t="shared" si="24"/>
        <v>0.04</v>
      </c>
      <c r="AT82" s="104">
        <f t="shared" si="24"/>
        <v>1.2213454545454547</v>
      </c>
      <c r="AU82" s="56" t="s">
        <v>155</v>
      </c>
      <c r="AV82" s="56">
        <f t="shared" si="42"/>
        <v>0</v>
      </c>
    </row>
    <row r="83" spans="1:48" ht="15" customHeight="1" x14ac:dyDescent="0.45">
      <c r="A83" s="73"/>
      <c r="B83" s="90"/>
      <c r="C83" s="105">
        <v>70</v>
      </c>
      <c r="D83" s="172" t="s">
        <v>314</v>
      </c>
      <c r="E83" s="173" t="s">
        <v>315</v>
      </c>
      <c r="F83" s="110" t="s">
        <v>187</v>
      </c>
      <c r="G83" s="93"/>
      <c r="H83" s="94">
        <f t="shared" si="41"/>
        <v>0</v>
      </c>
      <c r="I83" s="94"/>
      <c r="J83" s="94"/>
      <c r="K83" s="80">
        <f t="shared" si="26"/>
        <v>0</v>
      </c>
      <c r="L83" s="270">
        <f t="shared" si="26"/>
        <v>0</v>
      </c>
      <c r="M83" s="112"/>
      <c r="N83" s="112">
        <f t="shared" si="27"/>
        <v>0</v>
      </c>
      <c r="O83" s="112"/>
      <c r="P83" s="112">
        <f t="shared" si="28"/>
        <v>0</v>
      </c>
      <c r="Q83" s="112"/>
      <c r="R83" s="112">
        <f t="shared" si="29"/>
        <v>0</v>
      </c>
      <c r="S83" s="112"/>
      <c r="T83" s="112">
        <f t="shared" si="30"/>
        <v>0</v>
      </c>
      <c r="U83" s="112"/>
      <c r="V83" s="112">
        <f t="shared" si="31"/>
        <v>0</v>
      </c>
      <c r="W83" s="112"/>
      <c r="X83" s="112">
        <f t="shared" si="32"/>
        <v>0</v>
      </c>
      <c r="Y83" s="99">
        <f t="shared" si="25"/>
        <v>0</v>
      </c>
      <c r="Z83" s="275">
        <f t="shared" si="25"/>
        <v>0</v>
      </c>
      <c r="AA83" s="111">
        <v>0.01</v>
      </c>
      <c r="AB83" s="112">
        <f t="shared" si="33"/>
        <v>0.30533636363636368</v>
      </c>
      <c r="AC83" s="111">
        <v>0.01</v>
      </c>
      <c r="AD83" s="180">
        <f t="shared" si="34"/>
        <v>0.30533636363636368</v>
      </c>
      <c r="AE83" s="111">
        <v>0.01</v>
      </c>
      <c r="AF83" s="180">
        <f t="shared" si="35"/>
        <v>0.30533636363636368</v>
      </c>
      <c r="AG83" s="111">
        <v>0.01</v>
      </c>
      <c r="AH83" s="112">
        <f t="shared" si="36"/>
        <v>0.30533636363636368</v>
      </c>
      <c r="AI83" s="111">
        <v>0.01</v>
      </c>
      <c r="AJ83" s="112">
        <f t="shared" si="37"/>
        <v>0.30533636363636368</v>
      </c>
      <c r="AK83" s="94">
        <v>0.01</v>
      </c>
      <c r="AL83" s="112">
        <f t="shared" si="38"/>
        <v>0.30533636363636368</v>
      </c>
      <c r="AM83" s="99">
        <f t="shared" si="23"/>
        <v>0.05</v>
      </c>
      <c r="AN83" s="100">
        <f t="shared" si="23"/>
        <v>1.5266818181818185</v>
      </c>
      <c r="AO83" s="277"/>
      <c r="AP83" s="112">
        <f t="shared" si="39"/>
        <v>0</v>
      </c>
      <c r="AQ83" s="99">
        <f t="shared" si="40"/>
        <v>0</v>
      </c>
      <c r="AR83" s="276">
        <f t="shared" si="40"/>
        <v>0</v>
      </c>
      <c r="AS83" s="103">
        <f t="shared" si="24"/>
        <v>0.05</v>
      </c>
      <c r="AT83" s="104">
        <f t="shared" si="24"/>
        <v>1.5266818181818185</v>
      </c>
      <c r="AU83" s="56" t="s">
        <v>155</v>
      </c>
      <c r="AV83" s="56">
        <f t="shared" si="42"/>
        <v>0</v>
      </c>
    </row>
    <row r="84" spans="1:48" ht="15" customHeight="1" thickBot="1" x14ac:dyDescent="0.5">
      <c r="A84" s="150"/>
      <c r="B84" s="151"/>
      <c r="C84" s="91">
        <v>71</v>
      </c>
      <c r="D84" s="187" t="s">
        <v>316</v>
      </c>
      <c r="E84" s="188" t="s">
        <v>317</v>
      </c>
      <c r="F84" s="155" t="s">
        <v>187</v>
      </c>
      <c r="G84" s="93"/>
      <c r="H84" s="94">
        <f t="shared" si="41"/>
        <v>0</v>
      </c>
      <c r="I84" s="94"/>
      <c r="J84" s="94"/>
      <c r="K84" s="80">
        <f t="shared" si="26"/>
        <v>0</v>
      </c>
      <c r="L84" s="270">
        <f t="shared" si="26"/>
        <v>0</v>
      </c>
      <c r="M84" s="112"/>
      <c r="N84" s="112">
        <f t="shared" si="27"/>
        <v>0</v>
      </c>
      <c r="O84" s="112"/>
      <c r="P84" s="112">
        <f t="shared" si="28"/>
        <v>0</v>
      </c>
      <c r="Q84" s="112"/>
      <c r="R84" s="112">
        <f t="shared" si="29"/>
        <v>0</v>
      </c>
      <c r="S84" s="112"/>
      <c r="T84" s="112">
        <f t="shared" si="30"/>
        <v>0</v>
      </c>
      <c r="U84" s="112"/>
      <c r="V84" s="112">
        <f t="shared" si="31"/>
        <v>0</v>
      </c>
      <c r="W84" s="112"/>
      <c r="X84" s="112">
        <f t="shared" si="32"/>
        <v>0</v>
      </c>
      <c r="Y84" s="99">
        <f t="shared" si="25"/>
        <v>0</v>
      </c>
      <c r="Z84" s="275">
        <f t="shared" si="25"/>
        <v>0</v>
      </c>
      <c r="AA84" s="111">
        <v>0.01</v>
      </c>
      <c r="AB84" s="112">
        <f t="shared" si="33"/>
        <v>0.30533636363636368</v>
      </c>
      <c r="AC84" s="111">
        <v>0.01</v>
      </c>
      <c r="AD84" s="180">
        <f t="shared" si="34"/>
        <v>0.30533636363636368</v>
      </c>
      <c r="AE84" s="111">
        <v>0.02</v>
      </c>
      <c r="AF84" s="180">
        <f t="shared" si="35"/>
        <v>0.61067272727272737</v>
      </c>
      <c r="AG84" s="111">
        <v>0.02</v>
      </c>
      <c r="AH84" s="112">
        <f t="shared" si="36"/>
        <v>0.61067272727272737</v>
      </c>
      <c r="AI84" s="111">
        <v>0.01</v>
      </c>
      <c r="AJ84" s="112">
        <f t="shared" si="37"/>
        <v>0.30533636363636368</v>
      </c>
      <c r="AK84" s="94"/>
      <c r="AL84" s="112">
        <f t="shared" si="38"/>
        <v>0</v>
      </c>
      <c r="AM84" s="99">
        <f t="shared" si="23"/>
        <v>0.06</v>
      </c>
      <c r="AN84" s="100">
        <f t="shared" si="23"/>
        <v>1.832018181818182</v>
      </c>
      <c r="AO84" s="277"/>
      <c r="AP84" s="112">
        <f t="shared" si="39"/>
        <v>0</v>
      </c>
      <c r="AQ84" s="99">
        <f t="shared" si="40"/>
        <v>0</v>
      </c>
      <c r="AR84" s="276">
        <f t="shared" si="40"/>
        <v>0</v>
      </c>
      <c r="AS84" s="103">
        <f t="shared" si="24"/>
        <v>0.06</v>
      </c>
      <c r="AT84" s="104">
        <f t="shared" si="24"/>
        <v>1.832018181818182</v>
      </c>
      <c r="AU84" s="130" t="s">
        <v>155</v>
      </c>
      <c r="AV84" s="56">
        <f t="shared" si="42"/>
        <v>0</v>
      </c>
    </row>
    <row r="85" spans="1:48" ht="15" customHeight="1" thickTop="1" x14ac:dyDescent="0.45">
      <c r="A85" s="73" t="s">
        <v>318</v>
      </c>
      <c r="B85" s="90" t="s">
        <v>318</v>
      </c>
      <c r="C85" s="189">
        <v>72</v>
      </c>
      <c r="D85" s="108" t="s">
        <v>319</v>
      </c>
      <c r="E85" s="109" t="s">
        <v>320</v>
      </c>
      <c r="F85" s="110" t="s">
        <v>203</v>
      </c>
      <c r="G85" s="93"/>
      <c r="H85" s="94">
        <f t="shared" si="41"/>
        <v>0</v>
      </c>
      <c r="I85" s="94"/>
      <c r="J85" s="94"/>
      <c r="K85" s="80">
        <f t="shared" si="26"/>
        <v>0</v>
      </c>
      <c r="L85" s="270">
        <f t="shared" si="26"/>
        <v>0</v>
      </c>
      <c r="M85" s="112">
        <v>0</v>
      </c>
      <c r="N85" s="112">
        <f t="shared" si="27"/>
        <v>0</v>
      </c>
      <c r="O85" s="112">
        <v>0.01</v>
      </c>
      <c r="P85" s="112">
        <f t="shared" si="28"/>
        <v>0.30533636363636368</v>
      </c>
      <c r="Q85" s="112">
        <v>0.01</v>
      </c>
      <c r="R85" s="112">
        <f t="shared" si="29"/>
        <v>0.30533636363636368</v>
      </c>
      <c r="S85" s="112">
        <v>0.01</v>
      </c>
      <c r="T85" s="112">
        <f t="shared" si="30"/>
        <v>0.30533636363636368</v>
      </c>
      <c r="U85" s="112">
        <v>0.01</v>
      </c>
      <c r="V85" s="112">
        <f t="shared" si="31"/>
        <v>0.30533636363636368</v>
      </c>
      <c r="W85" s="112">
        <v>0.01</v>
      </c>
      <c r="X85" s="112">
        <f t="shared" si="32"/>
        <v>0.30533636363636368</v>
      </c>
      <c r="Y85" s="99">
        <f t="shared" si="25"/>
        <v>0.05</v>
      </c>
      <c r="Z85" s="275">
        <f t="shared" si="25"/>
        <v>1.5266818181818185</v>
      </c>
      <c r="AA85" s="111"/>
      <c r="AB85" s="112">
        <f t="shared" si="33"/>
        <v>0</v>
      </c>
      <c r="AC85" s="111"/>
      <c r="AD85" s="112">
        <f t="shared" si="34"/>
        <v>0</v>
      </c>
      <c r="AE85" s="111"/>
      <c r="AF85" s="112">
        <f t="shared" si="35"/>
        <v>0</v>
      </c>
      <c r="AG85" s="111"/>
      <c r="AH85" s="112">
        <f t="shared" si="36"/>
        <v>0</v>
      </c>
      <c r="AI85" s="111"/>
      <c r="AJ85" s="112">
        <f t="shared" si="37"/>
        <v>0</v>
      </c>
      <c r="AK85" s="94"/>
      <c r="AL85" s="112">
        <f t="shared" si="38"/>
        <v>0</v>
      </c>
      <c r="AM85" s="99">
        <f t="shared" si="23"/>
        <v>0</v>
      </c>
      <c r="AN85" s="100">
        <f t="shared" si="23"/>
        <v>0</v>
      </c>
      <c r="AO85" s="277"/>
      <c r="AP85" s="112">
        <f t="shared" si="39"/>
        <v>0</v>
      </c>
      <c r="AQ85" s="99">
        <f t="shared" si="40"/>
        <v>0</v>
      </c>
      <c r="AR85" s="276">
        <f t="shared" si="40"/>
        <v>0</v>
      </c>
      <c r="AS85" s="103">
        <f t="shared" si="24"/>
        <v>0.05</v>
      </c>
      <c r="AT85" s="104">
        <f t="shared" si="24"/>
        <v>1.5266818181818185</v>
      </c>
      <c r="AU85" s="149" t="s">
        <v>155</v>
      </c>
      <c r="AV85" s="56">
        <f t="shared" si="42"/>
        <v>0</v>
      </c>
    </row>
    <row r="86" spans="1:48" ht="15" customHeight="1" x14ac:dyDescent="0.45">
      <c r="A86" s="73"/>
      <c r="B86" s="90"/>
      <c r="C86" s="105">
        <v>73</v>
      </c>
      <c r="D86" s="181" t="s">
        <v>236</v>
      </c>
      <c r="E86" s="182" t="s">
        <v>321</v>
      </c>
      <c r="F86" s="174" t="s">
        <v>203</v>
      </c>
      <c r="G86" s="93"/>
      <c r="H86" s="94">
        <f t="shared" si="41"/>
        <v>0</v>
      </c>
      <c r="I86" s="94"/>
      <c r="J86" s="94"/>
      <c r="K86" s="80">
        <f t="shared" si="26"/>
        <v>0</v>
      </c>
      <c r="L86" s="270">
        <f t="shared" si="26"/>
        <v>0</v>
      </c>
      <c r="M86" s="112">
        <v>0</v>
      </c>
      <c r="N86" s="112">
        <f t="shared" si="27"/>
        <v>0</v>
      </c>
      <c r="O86" s="112">
        <v>0.01</v>
      </c>
      <c r="P86" s="112">
        <f t="shared" si="28"/>
        <v>0.30533636363636368</v>
      </c>
      <c r="Q86" s="112">
        <v>0.01</v>
      </c>
      <c r="R86" s="112">
        <f t="shared" si="29"/>
        <v>0.30533636363636368</v>
      </c>
      <c r="S86" s="112">
        <v>0.01</v>
      </c>
      <c r="T86" s="112">
        <f t="shared" si="30"/>
        <v>0.30533636363636368</v>
      </c>
      <c r="U86" s="112">
        <v>0.01</v>
      </c>
      <c r="V86" s="112">
        <f t="shared" si="31"/>
        <v>0.30533636363636368</v>
      </c>
      <c r="W86" s="112">
        <v>0.01</v>
      </c>
      <c r="X86" s="112">
        <f t="shared" si="32"/>
        <v>0.30533636363636368</v>
      </c>
      <c r="Y86" s="99">
        <f t="shared" si="25"/>
        <v>0.05</v>
      </c>
      <c r="Z86" s="275">
        <f t="shared" si="25"/>
        <v>1.5266818181818185</v>
      </c>
      <c r="AA86" s="111"/>
      <c r="AB86" s="112">
        <f t="shared" si="33"/>
        <v>0</v>
      </c>
      <c r="AC86" s="111"/>
      <c r="AD86" s="112">
        <f t="shared" si="34"/>
        <v>0</v>
      </c>
      <c r="AE86" s="111"/>
      <c r="AF86" s="112">
        <f t="shared" si="35"/>
        <v>0</v>
      </c>
      <c r="AG86" s="111"/>
      <c r="AH86" s="112">
        <f t="shared" si="36"/>
        <v>0</v>
      </c>
      <c r="AI86" s="111"/>
      <c r="AJ86" s="112">
        <f t="shared" si="37"/>
        <v>0</v>
      </c>
      <c r="AK86" s="94"/>
      <c r="AL86" s="112">
        <f t="shared" si="38"/>
        <v>0</v>
      </c>
      <c r="AM86" s="99">
        <f t="shared" si="23"/>
        <v>0</v>
      </c>
      <c r="AN86" s="100">
        <f t="shared" si="23"/>
        <v>0</v>
      </c>
      <c r="AO86" s="277"/>
      <c r="AP86" s="112">
        <f t="shared" si="39"/>
        <v>0</v>
      </c>
      <c r="AQ86" s="99">
        <f t="shared" si="40"/>
        <v>0</v>
      </c>
      <c r="AR86" s="276">
        <f t="shared" si="40"/>
        <v>0</v>
      </c>
      <c r="AS86" s="103">
        <f t="shared" si="24"/>
        <v>0.05</v>
      </c>
      <c r="AT86" s="104">
        <f t="shared" si="24"/>
        <v>1.5266818181818185</v>
      </c>
      <c r="AU86" s="56" t="s">
        <v>155</v>
      </c>
      <c r="AV86" s="56">
        <f t="shared" si="42"/>
        <v>0</v>
      </c>
    </row>
    <row r="87" spans="1:48" ht="15" customHeight="1" thickBot="1" x14ac:dyDescent="0.5">
      <c r="A87" s="73"/>
      <c r="B87" s="90"/>
      <c r="C87" s="520">
        <v>74</v>
      </c>
      <c r="D87" s="181" t="s">
        <v>322</v>
      </c>
      <c r="E87" s="182" t="s">
        <v>323</v>
      </c>
      <c r="F87" s="183" t="s">
        <v>165</v>
      </c>
      <c r="G87" s="93">
        <v>0.1</v>
      </c>
      <c r="H87" s="94">
        <f t="shared" si="41"/>
        <v>18.074999999999999</v>
      </c>
      <c r="I87" s="94"/>
      <c r="J87" s="94"/>
      <c r="K87" s="80">
        <f t="shared" si="26"/>
        <v>0.1</v>
      </c>
      <c r="L87" s="270">
        <f t="shared" si="26"/>
        <v>18.074999999999999</v>
      </c>
      <c r="M87" s="112">
        <v>0</v>
      </c>
      <c r="N87" s="112">
        <f t="shared" si="27"/>
        <v>0</v>
      </c>
      <c r="O87" s="112">
        <v>0.02</v>
      </c>
      <c r="P87" s="112">
        <f t="shared" si="28"/>
        <v>0.61067272727272737</v>
      </c>
      <c r="Q87" s="112">
        <v>0.01</v>
      </c>
      <c r="R87" s="112">
        <f t="shared" si="29"/>
        <v>0.30533636363636368</v>
      </c>
      <c r="S87" s="112">
        <v>0.01</v>
      </c>
      <c r="T87" s="112">
        <f t="shared" si="30"/>
        <v>0.30533636363636368</v>
      </c>
      <c r="U87" s="112">
        <v>0.01</v>
      </c>
      <c r="V87" s="112">
        <f t="shared" si="31"/>
        <v>0.30533636363636368</v>
      </c>
      <c r="W87" s="112">
        <v>0.01</v>
      </c>
      <c r="X87" s="112">
        <f t="shared" si="32"/>
        <v>0.30533636363636368</v>
      </c>
      <c r="Y87" s="99">
        <f t="shared" si="25"/>
        <v>6.0000000000000005E-2</v>
      </c>
      <c r="Z87" s="275">
        <f t="shared" si="25"/>
        <v>1.8320181818181822</v>
      </c>
      <c r="AA87" s="111"/>
      <c r="AB87" s="112">
        <f t="shared" si="33"/>
        <v>0</v>
      </c>
      <c r="AC87" s="111"/>
      <c r="AD87" s="112">
        <f t="shared" si="34"/>
        <v>0</v>
      </c>
      <c r="AE87" s="111"/>
      <c r="AF87" s="112">
        <f t="shared" si="35"/>
        <v>0</v>
      </c>
      <c r="AG87" s="111"/>
      <c r="AH87" s="112">
        <f t="shared" si="36"/>
        <v>0</v>
      </c>
      <c r="AI87" s="111"/>
      <c r="AJ87" s="112">
        <f t="shared" si="37"/>
        <v>0</v>
      </c>
      <c r="AK87" s="94"/>
      <c r="AL87" s="112">
        <f t="shared" si="38"/>
        <v>0</v>
      </c>
      <c r="AM87" s="99">
        <f t="shared" si="23"/>
        <v>0</v>
      </c>
      <c r="AN87" s="100">
        <f t="shared" si="23"/>
        <v>0</v>
      </c>
      <c r="AO87" s="277"/>
      <c r="AP87" s="112">
        <f t="shared" si="39"/>
        <v>0</v>
      </c>
      <c r="AQ87" s="99">
        <f t="shared" si="40"/>
        <v>0</v>
      </c>
      <c r="AR87" s="276">
        <f t="shared" si="40"/>
        <v>0</v>
      </c>
      <c r="AS87" s="103">
        <f t="shared" si="24"/>
        <v>0.16</v>
      </c>
      <c r="AT87" s="104">
        <f t="shared" si="24"/>
        <v>19.907018181818181</v>
      </c>
      <c r="AU87" s="130" t="s">
        <v>155</v>
      </c>
      <c r="AV87" s="56">
        <f t="shared" si="42"/>
        <v>0</v>
      </c>
    </row>
    <row r="88" spans="1:48" ht="15" customHeight="1" thickTop="1" x14ac:dyDescent="0.45">
      <c r="A88" s="131" t="s">
        <v>324</v>
      </c>
      <c r="B88" s="132" t="s">
        <v>325</v>
      </c>
      <c r="C88" s="189">
        <v>75</v>
      </c>
      <c r="D88" s="190" t="s">
        <v>326</v>
      </c>
      <c r="E88" s="191" t="s">
        <v>553</v>
      </c>
      <c r="F88" s="192" t="s">
        <v>162</v>
      </c>
      <c r="G88" s="93"/>
      <c r="H88" s="94">
        <f t="shared" si="41"/>
        <v>0</v>
      </c>
      <c r="I88" s="94"/>
      <c r="J88" s="94"/>
      <c r="K88" s="80">
        <f t="shared" si="26"/>
        <v>0</v>
      </c>
      <c r="L88" s="270">
        <f t="shared" si="26"/>
        <v>0</v>
      </c>
      <c r="M88" s="277">
        <v>0.02</v>
      </c>
      <c r="N88" s="112">
        <f t="shared" si="27"/>
        <v>0.61067272727272737</v>
      </c>
      <c r="O88" s="112"/>
      <c r="P88" s="112">
        <f t="shared" si="28"/>
        <v>0</v>
      </c>
      <c r="Q88" s="112"/>
      <c r="R88" s="112">
        <f t="shared" si="29"/>
        <v>0</v>
      </c>
      <c r="S88" s="112"/>
      <c r="T88" s="112">
        <f t="shared" si="30"/>
        <v>0</v>
      </c>
      <c r="U88" s="112"/>
      <c r="V88" s="112">
        <f t="shared" si="31"/>
        <v>0</v>
      </c>
      <c r="W88" s="112"/>
      <c r="X88" s="112">
        <f t="shared" si="32"/>
        <v>0</v>
      </c>
      <c r="Y88" s="99">
        <f t="shared" si="25"/>
        <v>0.02</v>
      </c>
      <c r="Z88" s="275">
        <f t="shared" si="25"/>
        <v>0.61067272727272737</v>
      </c>
      <c r="AA88" s="111"/>
      <c r="AB88" s="112">
        <f t="shared" si="33"/>
        <v>0</v>
      </c>
      <c r="AC88" s="111"/>
      <c r="AD88" s="112">
        <f t="shared" si="34"/>
        <v>0</v>
      </c>
      <c r="AE88" s="111"/>
      <c r="AF88" s="112">
        <f t="shared" si="35"/>
        <v>0</v>
      </c>
      <c r="AG88" s="111"/>
      <c r="AH88" s="112">
        <f t="shared" si="36"/>
        <v>0</v>
      </c>
      <c r="AI88" s="111"/>
      <c r="AJ88" s="112">
        <f t="shared" si="37"/>
        <v>0</v>
      </c>
      <c r="AK88" s="94"/>
      <c r="AL88" s="112">
        <f t="shared" si="38"/>
        <v>0</v>
      </c>
      <c r="AM88" s="99">
        <f t="shared" si="23"/>
        <v>0</v>
      </c>
      <c r="AN88" s="100">
        <f t="shared" si="23"/>
        <v>0</v>
      </c>
      <c r="AO88" s="494"/>
      <c r="AP88" s="492">
        <f t="shared" si="39"/>
        <v>0</v>
      </c>
      <c r="AQ88" s="99">
        <f t="shared" si="40"/>
        <v>0</v>
      </c>
      <c r="AR88" s="276">
        <f t="shared" si="40"/>
        <v>0</v>
      </c>
      <c r="AS88" s="103">
        <f t="shared" si="24"/>
        <v>0.02</v>
      </c>
      <c r="AT88" s="104">
        <f t="shared" si="24"/>
        <v>0.61067272727272737</v>
      </c>
      <c r="AU88" s="149" t="s">
        <v>155</v>
      </c>
      <c r="AV88" s="56">
        <f t="shared" si="42"/>
        <v>0</v>
      </c>
    </row>
    <row r="89" spans="1:48" ht="15" customHeight="1" thickBot="1" x14ac:dyDescent="0.5">
      <c r="A89" s="150"/>
      <c r="B89" s="196" t="s">
        <v>328</v>
      </c>
      <c r="C89" s="105">
        <v>76</v>
      </c>
      <c r="D89" s="196" t="s">
        <v>329</v>
      </c>
      <c r="E89" s="198" t="s">
        <v>159</v>
      </c>
      <c r="F89" s="199" t="s">
        <v>154</v>
      </c>
      <c r="G89" s="93">
        <v>0.01</v>
      </c>
      <c r="H89" s="94">
        <f t="shared" si="41"/>
        <v>1.8075000000000001</v>
      </c>
      <c r="I89" s="94"/>
      <c r="J89" s="94"/>
      <c r="K89" s="80">
        <f t="shared" si="26"/>
        <v>0.01</v>
      </c>
      <c r="L89" s="270">
        <f t="shared" si="26"/>
        <v>1.8075000000000001</v>
      </c>
      <c r="M89" s="277">
        <v>0.03</v>
      </c>
      <c r="N89" s="112">
        <f t="shared" si="27"/>
        <v>0.91600909090909088</v>
      </c>
      <c r="O89" s="112"/>
      <c r="P89" s="112">
        <f t="shared" si="28"/>
        <v>0</v>
      </c>
      <c r="Q89" s="112"/>
      <c r="R89" s="112">
        <f t="shared" si="29"/>
        <v>0</v>
      </c>
      <c r="S89" s="112"/>
      <c r="T89" s="112">
        <f t="shared" si="30"/>
        <v>0</v>
      </c>
      <c r="U89" s="112"/>
      <c r="V89" s="112">
        <f t="shared" si="31"/>
        <v>0</v>
      </c>
      <c r="W89" s="112"/>
      <c r="X89" s="112">
        <f t="shared" si="32"/>
        <v>0</v>
      </c>
      <c r="Y89" s="99">
        <f t="shared" si="25"/>
        <v>0.03</v>
      </c>
      <c r="Z89" s="275">
        <f t="shared" si="25"/>
        <v>0.91600909090909088</v>
      </c>
      <c r="AA89" s="111"/>
      <c r="AB89" s="112">
        <f t="shared" si="33"/>
        <v>0</v>
      </c>
      <c r="AC89" s="111"/>
      <c r="AD89" s="112">
        <f t="shared" si="34"/>
        <v>0</v>
      </c>
      <c r="AE89" s="111"/>
      <c r="AF89" s="112">
        <f t="shared" si="35"/>
        <v>0</v>
      </c>
      <c r="AG89" s="111"/>
      <c r="AH89" s="112">
        <f t="shared" si="36"/>
        <v>0</v>
      </c>
      <c r="AI89" s="111"/>
      <c r="AJ89" s="112">
        <f t="shared" si="37"/>
        <v>0</v>
      </c>
      <c r="AK89" s="94"/>
      <c r="AL89" s="112">
        <f t="shared" si="38"/>
        <v>0</v>
      </c>
      <c r="AM89" s="99">
        <f t="shared" si="23"/>
        <v>0</v>
      </c>
      <c r="AN89" s="100">
        <f t="shared" si="23"/>
        <v>0</v>
      </c>
      <c r="AO89" s="494"/>
      <c r="AP89" s="492">
        <f t="shared" si="39"/>
        <v>0</v>
      </c>
      <c r="AQ89" s="99">
        <f t="shared" si="40"/>
        <v>0</v>
      </c>
      <c r="AR89" s="276">
        <f t="shared" si="40"/>
        <v>0</v>
      </c>
      <c r="AS89" s="103">
        <f t="shared" si="24"/>
        <v>0.04</v>
      </c>
      <c r="AT89" s="104">
        <f t="shared" si="24"/>
        <v>2.7235090909090909</v>
      </c>
      <c r="AU89" s="168" t="s">
        <v>155</v>
      </c>
      <c r="AV89" s="56">
        <f t="shared" si="42"/>
        <v>0</v>
      </c>
    </row>
    <row r="90" spans="1:48" ht="15" customHeight="1" thickTop="1" x14ac:dyDescent="0.45">
      <c r="A90" s="203" t="s">
        <v>330</v>
      </c>
      <c r="B90" s="185" t="s">
        <v>331</v>
      </c>
      <c r="C90" s="189">
        <v>77</v>
      </c>
      <c r="D90" s="24" t="s">
        <v>332</v>
      </c>
      <c r="E90" s="204" t="s">
        <v>333</v>
      </c>
      <c r="F90" s="77" t="s">
        <v>203</v>
      </c>
      <c r="G90" s="93"/>
      <c r="H90" s="94">
        <f t="shared" si="41"/>
        <v>0</v>
      </c>
      <c r="I90" s="94"/>
      <c r="J90" s="94"/>
      <c r="K90" s="80">
        <f t="shared" si="26"/>
        <v>0</v>
      </c>
      <c r="L90" s="270">
        <f t="shared" si="26"/>
        <v>0</v>
      </c>
      <c r="M90" s="112"/>
      <c r="N90" s="112">
        <f t="shared" si="27"/>
        <v>0</v>
      </c>
      <c r="O90" s="112"/>
      <c r="P90" s="112">
        <f t="shared" si="28"/>
        <v>0</v>
      </c>
      <c r="Q90" s="112"/>
      <c r="R90" s="112">
        <f t="shared" si="29"/>
        <v>0</v>
      </c>
      <c r="S90" s="112"/>
      <c r="T90" s="112">
        <f t="shared" si="30"/>
        <v>0</v>
      </c>
      <c r="U90" s="112"/>
      <c r="V90" s="112">
        <f t="shared" si="31"/>
        <v>0</v>
      </c>
      <c r="W90" s="112"/>
      <c r="X90" s="112">
        <f t="shared" si="32"/>
        <v>0</v>
      </c>
      <c r="Y90" s="99">
        <f t="shared" si="25"/>
        <v>0</v>
      </c>
      <c r="Z90" s="275">
        <f t="shared" si="25"/>
        <v>0</v>
      </c>
      <c r="AA90" s="111">
        <v>0.01</v>
      </c>
      <c r="AB90" s="112">
        <f t="shared" si="33"/>
        <v>0.30533636363636368</v>
      </c>
      <c r="AC90" s="111">
        <v>0.01</v>
      </c>
      <c r="AD90" s="180">
        <f t="shared" si="34"/>
        <v>0.30533636363636368</v>
      </c>
      <c r="AE90" s="111">
        <v>0.01</v>
      </c>
      <c r="AF90" s="180">
        <f t="shared" si="35"/>
        <v>0.30533636363636368</v>
      </c>
      <c r="AG90" s="111">
        <v>0.01</v>
      </c>
      <c r="AH90" s="112">
        <f t="shared" si="36"/>
        <v>0.30533636363636368</v>
      </c>
      <c r="AI90" s="111">
        <v>0.01</v>
      </c>
      <c r="AJ90" s="112">
        <f t="shared" si="37"/>
        <v>0.30533636363636368</v>
      </c>
      <c r="AK90" s="94"/>
      <c r="AL90" s="112">
        <f t="shared" si="38"/>
        <v>0</v>
      </c>
      <c r="AM90" s="99">
        <f t="shared" si="23"/>
        <v>0.04</v>
      </c>
      <c r="AN90" s="100">
        <f t="shared" si="23"/>
        <v>1.2213454545454547</v>
      </c>
      <c r="AO90" s="494"/>
      <c r="AP90" s="492">
        <f t="shared" si="39"/>
        <v>0</v>
      </c>
      <c r="AQ90" s="99">
        <f t="shared" si="40"/>
        <v>0</v>
      </c>
      <c r="AR90" s="276">
        <f t="shared" si="40"/>
        <v>0</v>
      </c>
      <c r="AS90" s="103">
        <f t="shared" si="24"/>
        <v>0.04</v>
      </c>
      <c r="AT90" s="104">
        <f t="shared" si="24"/>
        <v>1.2213454545454547</v>
      </c>
      <c r="AU90" s="171" t="s">
        <v>155</v>
      </c>
      <c r="AV90" s="56">
        <f t="shared" si="42"/>
        <v>0</v>
      </c>
    </row>
    <row r="91" spans="1:48" ht="15" customHeight="1" x14ac:dyDescent="0.45">
      <c r="A91" s="203"/>
      <c r="B91" s="185"/>
      <c r="C91" s="105">
        <v>78</v>
      </c>
      <c r="D91" s="206" t="s">
        <v>334</v>
      </c>
      <c r="E91" s="206" t="s">
        <v>335</v>
      </c>
      <c r="F91" s="92" t="s">
        <v>203</v>
      </c>
      <c r="G91" s="93"/>
      <c r="H91" s="94">
        <f t="shared" si="41"/>
        <v>0</v>
      </c>
      <c r="I91" s="94"/>
      <c r="J91" s="94"/>
      <c r="K91" s="80">
        <f t="shared" si="26"/>
        <v>0</v>
      </c>
      <c r="L91" s="270">
        <f t="shared" si="26"/>
        <v>0</v>
      </c>
      <c r="M91" s="112">
        <v>0.01</v>
      </c>
      <c r="N91" s="112">
        <f t="shared" si="27"/>
        <v>0.30533636363636368</v>
      </c>
      <c r="O91" s="112"/>
      <c r="P91" s="112">
        <f t="shared" si="28"/>
        <v>0</v>
      </c>
      <c r="Q91" s="112"/>
      <c r="R91" s="112">
        <f t="shared" si="29"/>
        <v>0</v>
      </c>
      <c r="S91" s="112"/>
      <c r="T91" s="112">
        <f t="shared" si="30"/>
        <v>0</v>
      </c>
      <c r="U91" s="112"/>
      <c r="V91" s="112">
        <f t="shared" si="31"/>
        <v>0</v>
      </c>
      <c r="W91" s="112"/>
      <c r="X91" s="112">
        <f t="shared" si="32"/>
        <v>0</v>
      </c>
      <c r="Y91" s="99">
        <f t="shared" si="25"/>
        <v>0.01</v>
      </c>
      <c r="Z91" s="275">
        <f t="shared" si="25"/>
        <v>0.30533636363636368</v>
      </c>
      <c r="AA91" s="111">
        <v>0.01</v>
      </c>
      <c r="AB91" s="112">
        <f t="shared" si="33"/>
        <v>0.30533636363636368</v>
      </c>
      <c r="AC91" s="111">
        <v>0.01</v>
      </c>
      <c r="AD91" s="180">
        <f t="shared" si="34"/>
        <v>0.30533636363636368</v>
      </c>
      <c r="AE91" s="111">
        <v>0.01</v>
      </c>
      <c r="AF91" s="180">
        <f t="shared" si="35"/>
        <v>0.30533636363636368</v>
      </c>
      <c r="AG91" s="111">
        <v>0.01</v>
      </c>
      <c r="AH91" s="112">
        <f t="shared" si="36"/>
        <v>0.30533636363636368</v>
      </c>
      <c r="AI91" s="111">
        <v>0.01</v>
      </c>
      <c r="AJ91" s="112">
        <f t="shared" si="37"/>
        <v>0.30533636363636368</v>
      </c>
      <c r="AK91" s="94">
        <v>0.01</v>
      </c>
      <c r="AL91" s="112">
        <f t="shared" si="38"/>
        <v>0.30533636363636368</v>
      </c>
      <c r="AM91" s="99">
        <f t="shared" si="23"/>
        <v>0.05</v>
      </c>
      <c r="AN91" s="100">
        <f t="shared" si="23"/>
        <v>1.5266818181818185</v>
      </c>
      <c r="AO91" s="494"/>
      <c r="AP91" s="492">
        <f t="shared" si="39"/>
        <v>0</v>
      </c>
      <c r="AQ91" s="99">
        <f t="shared" si="40"/>
        <v>0</v>
      </c>
      <c r="AR91" s="276">
        <f t="shared" si="40"/>
        <v>0</v>
      </c>
      <c r="AS91" s="103">
        <f t="shared" si="24"/>
        <v>6.0000000000000005E-2</v>
      </c>
      <c r="AT91" s="104">
        <f t="shared" si="24"/>
        <v>1.8320181818181822</v>
      </c>
      <c r="AU91" s="56" t="s">
        <v>155</v>
      </c>
      <c r="AV91" s="56">
        <f t="shared" si="42"/>
        <v>0</v>
      </c>
    </row>
    <row r="92" spans="1:48" ht="15" customHeight="1" x14ac:dyDescent="0.45">
      <c r="A92" s="203"/>
      <c r="B92" s="185"/>
      <c r="C92" s="91">
        <v>79</v>
      </c>
      <c r="D92" s="206" t="s">
        <v>336</v>
      </c>
      <c r="E92" s="206" t="s">
        <v>337</v>
      </c>
      <c r="F92" s="92" t="s">
        <v>203</v>
      </c>
      <c r="G92" s="93"/>
      <c r="H92" s="94">
        <f t="shared" si="41"/>
        <v>0</v>
      </c>
      <c r="I92" s="94"/>
      <c r="J92" s="94"/>
      <c r="K92" s="80">
        <f t="shared" si="26"/>
        <v>0</v>
      </c>
      <c r="L92" s="270">
        <f t="shared" si="26"/>
        <v>0</v>
      </c>
      <c r="M92" s="112">
        <v>0.01</v>
      </c>
      <c r="N92" s="112">
        <f t="shared" si="27"/>
        <v>0.30533636363636368</v>
      </c>
      <c r="O92" s="112"/>
      <c r="P92" s="112">
        <f t="shared" si="28"/>
        <v>0</v>
      </c>
      <c r="Q92" s="112"/>
      <c r="R92" s="112">
        <f t="shared" si="29"/>
        <v>0</v>
      </c>
      <c r="S92" s="112"/>
      <c r="T92" s="112">
        <f t="shared" si="30"/>
        <v>0</v>
      </c>
      <c r="U92" s="112"/>
      <c r="V92" s="112">
        <f t="shared" si="31"/>
        <v>0</v>
      </c>
      <c r="W92" s="112">
        <v>0.01</v>
      </c>
      <c r="X92" s="112">
        <f t="shared" si="32"/>
        <v>0.30533636363636368</v>
      </c>
      <c r="Y92" s="99">
        <f t="shared" si="25"/>
        <v>0.02</v>
      </c>
      <c r="Z92" s="275">
        <f t="shared" si="25"/>
        <v>0.61067272727272737</v>
      </c>
      <c r="AA92" s="111">
        <v>0.01</v>
      </c>
      <c r="AB92" s="112">
        <f t="shared" si="33"/>
        <v>0.30533636363636368</v>
      </c>
      <c r="AC92" s="111">
        <v>0.01</v>
      </c>
      <c r="AD92" s="180">
        <f t="shared" si="34"/>
        <v>0.30533636363636368</v>
      </c>
      <c r="AE92" s="111">
        <v>0.01</v>
      </c>
      <c r="AF92" s="180">
        <f t="shared" si="35"/>
        <v>0.30533636363636368</v>
      </c>
      <c r="AG92" s="111">
        <v>0.01</v>
      </c>
      <c r="AH92" s="112">
        <f t="shared" si="36"/>
        <v>0.30533636363636368</v>
      </c>
      <c r="AI92" s="111">
        <v>0.01</v>
      </c>
      <c r="AJ92" s="112">
        <f t="shared" si="37"/>
        <v>0.30533636363636368</v>
      </c>
      <c r="AK92" s="94">
        <v>0.01</v>
      </c>
      <c r="AL92" s="112">
        <f t="shared" si="38"/>
        <v>0.30533636363636368</v>
      </c>
      <c r="AM92" s="99">
        <f t="shared" si="23"/>
        <v>0.05</v>
      </c>
      <c r="AN92" s="100">
        <f t="shared" si="23"/>
        <v>1.5266818181818185</v>
      </c>
      <c r="AO92" s="494"/>
      <c r="AP92" s="492">
        <f t="shared" si="39"/>
        <v>0</v>
      </c>
      <c r="AQ92" s="99">
        <f t="shared" si="40"/>
        <v>0</v>
      </c>
      <c r="AR92" s="276">
        <f t="shared" si="40"/>
        <v>0</v>
      </c>
      <c r="AS92" s="103">
        <f t="shared" si="24"/>
        <v>7.0000000000000007E-2</v>
      </c>
      <c r="AT92" s="104">
        <f t="shared" si="24"/>
        <v>2.1373545454545457</v>
      </c>
      <c r="AU92" s="56" t="s">
        <v>155</v>
      </c>
      <c r="AV92" s="56">
        <f t="shared" si="42"/>
        <v>0</v>
      </c>
    </row>
    <row r="93" spans="1:48" ht="15" customHeight="1" x14ac:dyDescent="0.45">
      <c r="A93" s="203"/>
      <c r="B93" s="185"/>
      <c r="C93" s="105">
        <v>80</v>
      </c>
      <c r="D93" s="24" t="s">
        <v>338</v>
      </c>
      <c r="E93" s="204" t="s">
        <v>339</v>
      </c>
      <c r="F93" s="208" t="s">
        <v>203</v>
      </c>
      <c r="G93" s="93">
        <v>0.01</v>
      </c>
      <c r="H93" s="94">
        <f t="shared" si="41"/>
        <v>1.8075000000000001</v>
      </c>
      <c r="I93" s="94"/>
      <c r="J93" s="94"/>
      <c r="K93" s="80">
        <f t="shared" si="26"/>
        <v>0.01</v>
      </c>
      <c r="L93" s="270">
        <f t="shared" si="26"/>
        <v>1.8075000000000001</v>
      </c>
      <c r="M93" s="112">
        <v>0.03</v>
      </c>
      <c r="N93" s="112">
        <f t="shared" si="27"/>
        <v>0.91600909090909088</v>
      </c>
      <c r="O93" s="112">
        <v>0.01</v>
      </c>
      <c r="P93" s="112">
        <f t="shared" si="28"/>
        <v>0.30533636363636368</v>
      </c>
      <c r="Q93" s="112">
        <v>0.01</v>
      </c>
      <c r="R93" s="112">
        <f t="shared" si="29"/>
        <v>0.30533636363636368</v>
      </c>
      <c r="S93" s="112">
        <v>0.01</v>
      </c>
      <c r="T93" s="112">
        <f t="shared" si="30"/>
        <v>0.30533636363636368</v>
      </c>
      <c r="U93" s="112">
        <v>0.01</v>
      </c>
      <c r="V93" s="112">
        <f t="shared" si="31"/>
        <v>0.30533636363636368</v>
      </c>
      <c r="W93" s="112">
        <v>0.01</v>
      </c>
      <c r="X93" s="112">
        <f t="shared" si="32"/>
        <v>0.30533636363636368</v>
      </c>
      <c r="Y93" s="99">
        <f t="shared" si="25"/>
        <v>0.08</v>
      </c>
      <c r="Z93" s="275">
        <f t="shared" si="25"/>
        <v>2.4426909090909095</v>
      </c>
      <c r="AA93" s="111">
        <v>0.01</v>
      </c>
      <c r="AB93" s="112">
        <f t="shared" si="33"/>
        <v>0.30533636363636368</v>
      </c>
      <c r="AC93" s="111">
        <v>0.01</v>
      </c>
      <c r="AD93" s="180">
        <f t="shared" si="34"/>
        <v>0.30533636363636368</v>
      </c>
      <c r="AE93" s="111">
        <v>0.01</v>
      </c>
      <c r="AF93" s="180">
        <f t="shared" si="35"/>
        <v>0.30533636363636368</v>
      </c>
      <c r="AG93" s="111">
        <v>0.01</v>
      </c>
      <c r="AH93" s="112">
        <f t="shared" si="36"/>
        <v>0.30533636363636368</v>
      </c>
      <c r="AI93" s="111">
        <v>0.06</v>
      </c>
      <c r="AJ93" s="112">
        <f t="shared" si="37"/>
        <v>1.8320181818181818</v>
      </c>
      <c r="AK93" s="94"/>
      <c r="AL93" s="112">
        <f t="shared" si="38"/>
        <v>0</v>
      </c>
      <c r="AM93" s="99">
        <f t="shared" si="23"/>
        <v>0.04</v>
      </c>
      <c r="AN93" s="100">
        <f t="shared" si="23"/>
        <v>1.2213454545454547</v>
      </c>
      <c r="AO93" s="494"/>
      <c r="AP93" s="492">
        <f t="shared" si="39"/>
        <v>0</v>
      </c>
      <c r="AQ93" s="99">
        <f t="shared" si="40"/>
        <v>0</v>
      </c>
      <c r="AR93" s="276">
        <f t="shared" si="40"/>
        <v>0</v>
      </c>
      <c r="AS93" s="103">
        <f t="shared" si="24"/>
        <v>0.13</v>
      </c>
      <c r="AT93" s="104">
        <f t="shared" si="24"/>
        <v>5.4715363636363641</v>
      </c>
      <c r="AU93" s="56" t="s">
        <v>155</v>
      </c>
      <c r="AV93" s="56">
        <f t="shared" si="42"/>
        <v>0</v>
      </c>
    </row>
    <row r="94" spans="1:48" ht="15" customHeight="1" x14ac:dyDescent="0.45">
      <c r="A94" s="203"/>
      <c r="B94" s="185"/>
      <c r="C94" s="75">
        <v>81</v>
      </c>
      <c r="D94" s="209" t="s">
        <v>340</v>
      </c>
      <c r="E94" s="206" t="s">
        <v>341</v>
      </c>
      <c r="F94" s="92" t="s">
        <v>342</v>
      </c>
      <c r="G94" s="93"/>
      <c r="H94" s="94">
        <f t="shared" si="41"/>
        <v>0</v>
      </c>
      <c r="I94" s="94"/>
      <c r="J94" s="94"/>
      <c r="K94" s="80">
        <f t="shared" si="26"/>
        <v>0</v>
      </c>
      <c r="L94" s="270">
        <f t="shared" si="26"/>
        <v>0</v>
      </c>
      <c r="M94" s="112">
        <v>0.01</v>
      </c>
      <c r="N94" s="112">
        <f t="shared" si="27"/>
        <v>0.30533636363636368</v>
      </c>
      <c r="O94" s="112">
        <v>0.01</v>
      </c>
      <c r="P94" s="112">
        <f t="shared" si="28"/>
        <v>0.30533636363636368</v>
      </c>
      <c r="Q94" s="112">
        <v>0.01</v>
      </c>
      <c r="R94" s="112">
        <f t="shared" si="29"/>
        <v>0.30533636363636368</v>
      </c>
      <c r="S94" s="112">
        <v>0.01</v>
      </c>
      <c r="T94" s="112">
        <f t="shared" si="30"/>
        <v>0.30533636363636368</v>
      </c>
      <c r="U94" s="112">
        <v>0.01</v>
      </c>
      <c r="V94" s="112">
        <f t="shared" si="31"/>
        <v>0.30533636363636368</v>
      </c>
      <c r="W94" s="112">
        <v>0.01</v>
      </c>
      <c r="X94" s="112">
        <f t="shared" si="32"/>
        <v>0.30533636363636368</v>
      </c>
      <c r="Y94" s="99">
        <f t="shared" si="25"/>
        <v>6.0000000000000005E-2</v>
      </c>
      <c r="Z94" s="275">
        <f t="shared" si="25"/>
        <v>1.8320181818181822</v>
      </c>
      <c r="AA94" s="111"/>
      <c r="AB94" s="112">
        <f t="shared" si="33"/>
        <v>0</v>
      </c>
      <c r="AC94" s="111"/>
      <c r="AD94" s="112">
        <f t="shared" si="34"/>
        <v>0</v>
      </c>
      <c r="AE94" s="111"/>
      <c r="AF94" s="112">
        <f t="shared" si="35"/>
        <v>0</v>
      </c>
      <c r="AG94" s="111"/>
      <c r="AH94" s="112">
        <f t="shared" si="36"/>
        <v>0</v>
      </c>
      <c r="AI94" s="111"/>
      <c r="AJ94" s="112">
        <f t="shared" si="37"/>
        <v>0</v>
      </c>
      <c r="AK94" s="94"/>
      <c r="AL94" s="112">
        <f t="shared" si="38"/>
        <v>0</v>
      </c>
      <c r="AM94" s="99">
        <f t="shared" si="23"/>
        <v>0</v>
      </c>
      <c r="AN94" s="100">
        <f t="shared" si="23"/>
        <v>0</v>
      </c>
      <c r="AO94" s="494"/>
      <c r="AP94" s="492">
        <f t="shared" si="39"/>
        <v>0</v>
      </c>
      <c r="AQ94" s="99">
        <f t="shared" si="40"/>
        <v>0</v>
      </c>
      <c r="AR94" s="276">
        <f t="shared" si="40"/>
        <v>0</v>
      </c>
      <c r="AS94" s="103">
        <f t="shared" si="24"/>
        <v>6.0000000000000005E-2</v>
      </c>
      <c r="AT94" s="104">
        <f t="shared" si="24"/>
        <v>1.8320181818181822</v>
      </c>
      <c r="AU94" s="56" t="s">
        <v>155</v>
      </c>
      <c r="AV94" s="56">
        <f t="shared" si="42"/>
        <v>0</v>
      </c>
    </row>
    <row r="95" spans="1:48" ht="15" customHeight="1" x14ac:dyDescent="0.45">
      <c r="A95" s="203"/>
      <c r="B95" s="113" t="s">
        <v>343</v>
      </c>
      <c r="C95" s="91">
        <v>82</v>
      </c>
      <c r="D95" s="24" t="s">
        <v>344</v>
      </c>
      <c r="E95" s="204" t="s">
        <v>345</v>
      </c>
      <c r="F95" s="92" t="s">
        <v>165</v>
      </c>
      <c r="G95" s="93">
        <v>7.0000000000000007E-2</v>
      </c>
      <c r="H95" s="94">
        <f t="shared" si="41"/>
        <v>12.652500000000002</v>
      </c>
      <c r="I95" s="94"/>
      <c r="J95" s="94"/>
      <c r="K95" s="80">
        <f>G95+I95</f>
        <v>7.0000000000000007E-2</v>
      </c>
      <c r="L95" s="270">
        <f t="shared" si="26"/>
        <v>12.652500000000002</v>
      </c>
      <c r="M95" s="112">
        <v>0.03</v>
      </c>
      <c r="N95" s="112">
        <f t="shared" si="27"/>
        <v>0.91600909090909088</v>
      </c>
      <c r="O95" s="112">
        <v>0.01</v>
      </c>
      <c r="P95" s="112">
        <f t="shared" si="28"/>
        <v>0.30533636363636368</v>
      </c>
      <c r="Q95" s="112">
        <v>0.01</v>
      </c>
      <c r="R95" s="112">
        <f t="shared" si="29"/>
        <v>0.30533636363636368</v>
      </c>
      <c r="S95" s="112">
        <v>0.01</v>
      </c>
      <c r="T95" s="112">
        <f t="shared" si="30"/>
        <v>0.30533636363636368</v>
      </c>
      <c r="U95" s="112">
        <v>0.01</v>
      </c>
      <c r="V95" s="112">
        <f t="shared" si="31"/>
        <v>0.30533636363636368</v>
      </c>
      <c r="W95" s="112">
        <v>0.01</v>
      </c>
      <c r="X95" s="112">
        <f t="shared" si="32"/>
        <v>0.30533636363636368</v>
      </c>
      <c r="Y95" s="99">
        <f t="shared" si="25"/>
        <v>0.08</v>
      </c>
      <c r="Z95" s="275">
        <f t="shared" si="25"/>
        <v>2.4426909090909095</v>
      </c>
      <c r="AA95" s="111"/>
      <c r="AB95" s="112">
        <f t="shared" si="33"/>
        <v>0</v>
      </c>
      <c r="AC95" s="111"/>
      <c r="AD95" s="112">
        <f t="shared" si="34"/>
        <v>0</v>
      </c>
      <c r="AE95" s="111"/>
      <c r="AF95" s="112">
        <f t="shared" si="35"/>
        <v>0</v>
      </c>
      <c r="AG95" s="111"/>
      <c r="AH95" s="112">
        <f t="shared" si="36"/>
        <v>0</v>
      </c>
      <c r="AI95" s="111"/>
      <c r="AJ95" s="112">
        <f t="shared" si="37"/>
        <v>0</v>
      </c>
      <c r="AK95" s="94"/>
      <c r="AL95" s="112">
        <f t="shared" si="38"/>
        <v>0</v>
      </c>
      <c r="AM95" s="99">
        <f t="shared" si="23"/>
        <v>0</v>
      </c>
      <c r="AN95" s="100">
        <f t="shared" si="23"/>
        <v>0</v>
      </c>
      <c r="AO95" s="494"/>
      <c r="AP95" s="492">
        <f t="shared" si="39"/>
        <v>0</v>
      </c>
      <c r="AQ95" s="99">
        <f t="shared" si="40"/>
        <v>0</v>
      </c>
      <c r="AR95" s="276">
        <f t="shared" si="40"/>
        <v>0</v>
      </c>
      <c r="AS95" s="103">
        <f t="shared" si="24"/>
        <v>0.15000000000000002</v>
      </c>
      <c r="AT95" s="104">
        <f t="shared" si="24"/>
        <v>15.095190909090912</v>
      </c>
      <c r="AU95" s="56" t="s">
        <v>155</v>
      </c>
      <c r="AV95" s="56">
        <f t="shared" si="42"/>
        <v>0</v>
      </c>
    </row>
    <row r="96" spans="1:48" ht="15" customHeight="1" x14ac:dyDescent="0.45">
      <c r="A96" s="203"/>
      <c r="B96" s="185"/>
      <c r="C96" s="91">
        <v>83</v>
      </c>
      <c r="D96" s="206" t="s">
        <v>346</v>
      </c>
      <c r="E96" s="206" t="s">
        <v>347</v>
      </c>
      <c r="F96" s="92" t="s">
        <v>165</v>
      </c>
      <c r="G96" s="93"/>
      <c r="H96" s="94">
        <f t="shared" si="41"/>
        <v>0</v>
      </c>
      <c r="I96" s="94"/>
      <c r="J96" s="94"/>
      <c r="K96" s="80">
        <f t="shared" si="26"/>
        <v>0</v>
      </c>
      <c r="L96" s="270">
        <f t="shared" si="26"/>
        <v>0</v>
      </c>
      <c r="M96" s="112">
        <v>0.01</v>
      </c>
      <c r="N96" s="112">
        <f t="shared" si="27"/>
        <v>0.30533636363636368</v>
      </c>
      <c r="O96" s="112">
        <v>0.01</v>
      </c>
      <c r="P96" s="112">
        <f t="shared" si="28"/>
        <v>0.30533636363636368</v>
      </c>
      <c r="Q96" s="112">
        <v>0.01</v>
      </c>
      <c r="R96" s="112">
        <f t="shared" si="29"/>
        <v>0.30533636363636368</v>
      </c>
      <c r="S96" s="112">
        <v>0.01</v>
      </c>
      <c r="T96" s="112">
        <f t="shared" si="30"/>
        <v>0.30533636363636368</v>
      </c>
      <c r="U96" s="112">
        <v>0.01</v>
      </c>
      <c r="V96" s="112">
        <f t="shared" si="31"/>
        <v>0.30533636363636368</v>
      </c>
      <c r="W96" s="112">
        <v>0.01</v>
      </c>
      <c r="X96" s="112">
        <f t="shared" si="32"/>
        <v>0.30533636363636368</v>
      </c>
      <c r="Y96" s="99">
        <f t="shared" si="25"/>
        <v>6.0000000000000005E-2</v>
      </c>
      <c r="Z96" s="275">
        <f t="shared" si="25"/>
        <v>1.8320181818181822</v>
      </c>
      <c r="AA96" s="111">
        <v>0.01</v>
      </c>
      <c r="AB96" s="112">
        <f t="shared" si="33"/>
        <v>0.30533636363636368</v>
      </c>
      <c r="AC96" s="111">
        <v>0.02</v>
      </c>
      <c r="AD96" s="112">
        <f t="shared" si="34"/>
        <v>0.61067272727272737</v>
      </c>
      <c r="AE96" s="111">
        <v>0.01</v>
      </c>
      <c r="AF96" s="112">
        <f t="shared" si="35"/>
        <v>0.30533636363636368</v>
      </c>
      <c r="AG96" s="111">
        <v>0.01</v>
      </c>
      <c r="AH96" s="112">
        <f t="shared" si="36"/>
        <v>0.30533636363636368</v>
      </c>
      <c r="AI96" s="111">
        <v>0.01</v>
      </c>
      <c r="AJ96" s="112">
        <f t="shared" si="37"/>
        <v>0.30533636363636368</v>
      </c>
      <c r="AK96" s="94"/>
      <c r="AL96" s="112">
        <f t="shared" si="38"/>
        <v>0</v>
      </c>
      <c r="AM96" s="99">
        <f t="shared" si="23"/>
        <v>0.05</v>
      </c>
      <c r="AN96" s="100">
        <f t="shared" si="23"/>
        <v>1.5266818181818185</v>
      </c>
      <c r="AO96" s="494"/>
      <c r="AP96" s="492">
        <f t="shared" si="39"/>
        <v>0</v>
      </c>
      <c r="AQ96" s="99">
        <f t="shared" si="40"/>
        <v>0</v>
      </c>
      <c r="AR96" s="276">
        <f t="shared" si="40"/>
        <v>0</v>
      </c>
      <c r="AS96" s="103">
        <f t="shared" si="24"/>
        <v>0.11000000000000001</v>
      </c>
      <c r="AT96" s="104">
        <f t="shared" si="24"/>
        <v>3.3587000000000007</v>
      </c>
      <c r="AU96" s="56" t="s">
        <v>155</v>
      </c>
      <c r="AV96" s="56">
        <f t="shared" si="42"/>
        <v>0</v>
      </c>
    </row>
    <row r="97" spans="1:48" ht="15" customHeight="1" x14ac:dyDescent="0.45">
      <c r="A97" s="203"/>
      <c r="B97" s="185"/>
      <c r="C97" s="105">
        <v>84</v>
      </c>
      <c r="D97" s="206" t="s">
        <v>348</v>
      </c>
      <c r="E97" s="206" t="s">
        <v>349</v>
      </c>
      <c r="F97" s="92"/>
      <c r="G97" s="93">
        <v>0.05</v>
      </c>
      <c r="H97" s="94">
        <f t="shared" si="41"/>
        <v>9.0374999999999996</v>
      </c>
      <c r="I97" s="94"/>
      <c r="J97" s="94"/>
      <c r="K97" s="80">
        <f t="shared" si="26"/>
        <v>0.05</v>
      </c>
      <c r="L97" s="270">
        <f t="shared" si="26"/>
        <v>9.0374999999999996</v>
      </c>
      <c r="M97" s="112"/>
      <c r="N97" s="112">
        <f t="shared" si="27"/>
        <v>0</v>
      </c>
      <c r="O97" s="112"/>
      <c r="P97" s="112">
        <f t="shared" si="28"/>
        <v>0</v>
      </c>
      <c r="Q97" s="112"/>
      <c r="R97" s="112">
        <f t="shared" si="29"/>
        <v>0</v>
      </c>
      <c r="S97" s="112"/>
      <c r="T97" s="112">
        <f t="shared" si="30"/>
        <v>0</v>
      </c>
      <c r="U97" s="112"/>
      <c r="V97" s="112">
        <f t="shared" si="31"/>
        <v>0</v>
      </c>
      <c r="W97" s="112"/>
      <c r="X97" s="112">
        <f t="shared" si="32"/>
        <v>0</v>
      </c>
      <c r="Y97" s="99">
        <f t="shared" si="25"/>
        <v>0</v>
      </c>
      <c r="Z97" s="275">
        <f t="shared" si="25"/>
        <v>0</v>
      </c>
      <c r="AA97" s="111"/>
      <c r="AB97" s="112">
        <f t="shared" si="33"/>
        <v>0</v>
      </c>
      <c r="AC97" s="111"/>
      <c r="AD97" s="112">
        <f t="shared" si="34"/>
        <v>0</v>
      </c>
      <c r="AE97" s="111"/>
      <c r="AF97" s="112">
        <f t="shared" si="35"/>
        <v>0</v>
      </c>
      <c r="AG97" s="111"/>
      <c r="AH97" s="112">
        <f t="shared" si="36"/>
        <v>0</v>
      </c>
      <c r="AI97" s="111"/>
      <c r="AJ97" s="112">
        <f t="shared" si="37"/>
        <v>0</v>
      </c>
      <c r="AK97" s="94"/>
      <c r="AL97" s="112">
        <f t="shared" si="38"/>
        <v>0</v>
      </c>
      <c r="AM97" s="99">
        <f t="shared" si="23"/>
        <v>0</v>
      </c>
      <c r="AN97" s="100">
        <f t="shared" si="23"/>
        <v>0</v>
      </c>
      <c r="AO97" s="494"/>
      <c r="AP97" s="492">
        <f t="shared" si="39"/>
        <v>0</v>
      </c>
      <c r="AQ97" s="99">
        <f t="shared" si="40"/>
        <v>0</v>
      </c>
      <c r="AR97" s="276">
        <f t="shared" si="40"/>
        <v>0</v>
      </c>
      <c r="AS97" s="103">
        <f t="shared" si="24"/>
        <v>0.05</v>
      </c>
      <c r="AT97" s="104">
        <f t="shared" si="24"/>
        <v>9.0374999999999996</v>
      </c>
      <c r="AU97" s="56" t="s">
        <v>155</v>
      </c>
      <c r="AV97" s="56">
        <f t="shared" si="42"/>
        <v>0</v>
      </c>
    </row>
    <row r="98" spans="1:48" ht="15" customHeight="1" x14ac:dyDescent="0.45">
      <c r="A98" s="203"/>
      <c r="B98" s="185"/>
      <c r="C98" s="75">
        <v>85</v>
      </c>
      <c r="D98" s="24" t="s">
        <v>350</v>
      </c>
      <c r="E98" s="204" t="s">
        <v>351</v>
      </c>
      <c r="F98" s="77" t="s">
        <v>165</v>
      </c>
      <c r="G98" s="93">
        <v>0.01</v>
      </c>
      <c r="H98" s="94">
        <f t="shared" si="41"/>
        <v>1.8075000000000001</v>
      </c>
      <c r="I98" s="94"/>
      <c r="J98" s="94"/>
      <c r="K98" s="80">
        <f t="shared" si="26"/>
        <v>0.01</v>
      </c>
      <c r="L98" s="270">
        <f t="shared" si="26"/>
        <v>1.8075000000000001</v>
      </c>
      <c r="M98" s="112">
        <v>0.03</v>
      </c>
      <c r="N98" s="112">
        <f t="shared" si="27"/>
        <v>0.91600909090909088</v>
      </c>
      <c r="O98" s="112">
        <v>0.01</v>
      </c>
      <c r="P98" s="112">
        <f t="shared" si="28"/>
        <v>0.30533636363636368</v>
      </c>
      <c r="Q98" s="112">
        <v>0.01</v>
      </c>
      <c r="R98" s="112">
        <f t="shared" si="29"/>
        <v>0.30533636363636368</v>
      </c>
      <c r="S98" s="112">
        <v>0.01</v>
      </c>
      <c r="T98" s="112">
        <f t="shared" si="30"/>
        <v>0.30533636363636368</v>
      </c>
      <c r="U98" s="112">
        <v>0.01</v>
      </c>
      <c r="V98" s="112">
        <f t="shared" si="31"/>
        <v>0.30533636363636368</v>
      </c>
      <c r="W98" s="112">
        <v>0.01</v>
      </c>
      <c r="X98" s="112">
        <f t="shared" si="32"/>
        <v>0.30533636363636368</v>
      </c>
      <c r="Y98" s="99">
        <f t="shared" si="25"/>
        <v>0.08</v>
      </c>
      <c r="Z98" s="275">
        <f t="shared" si="25"/>
        <v>2.4426909090909095</v>
      </c>
      <c r="AA98" s="111"/>
      <c r="AB98" s="112">
        <f t="shared" si="33"/>
        <v>0</v>
      </c>
      <c r="AC98" s="111"/>
      <c r="AD98" s="112">
        <f t="shared" si="34"/>
        <v>0</v>
      </c>
      <c r="AE98" s="111"/>
      <c r="AF98" s="112">
        <f t="shared" si="35"/>
        <v>0</v>
      </c>
      <c r="AG98" s="111"/>
      <c r="AH98" s="112">
        <f t="shared" si="36"/>
        <v>0</v>
      </c>
      <c r="AI98" s="111"/>
      <c r="AJ98" s="112">
        <f t="shared" si="37"/>
        <v>0</v>
      </c>
      <c r="AK98" s="94"/>
      <c r="AL98" s="112">
        <f t="shared" si="38"/>
        <v>0</v>
      </c>
      <c r="AM98" s="99">
        <f t="shared" si="23"/>
        <v>0</v>
      </c>
      <c r="AN98" s="100">
        <f t="shared" si="23"/>
        <v>0</v>
      </c>
      <c r="AO98" s="494"/>
      <c r="AP98" s="492">
        <f t="shared" si="39"/>
        <v>0</v>
      </c>
      <c r="AQ98" s="99">
        <f t="shared" si="40"/>
        <v>0</v>
      </c>
      <c r="AR98" s="276">
        <f t="shared" si="40"/>
        <v>0</v>
      </c>
      <c r="AS98" s="103">
        <f t="shared" si="24"/>
        <v>0.09</v>
      </c>
      <c r="AT98" s="104">
        <f t="shared" si="24"/>
        <v>4.2501909090909091</v>
      </c>
      <c r="AU98" s="56" t="s">
        <v>155</v>
      </c>
      <c r="AV98" s="56">
        <f t="shared" si="42"/>
        <v>0</v>
      </c>
    </row>
    <row r="99" spans="1:48" ht="15" customHeight="1" x14ac:dyDescent="0.45">
      <c r="A99" s="203"/>
      <c r="B99" s="185"/>
      <c r="C99" s="91">
        <v>86</v>
      </c>
      <c r="D99" s="206" t="s">
        <v>352</v>
      </c>
      <c r="E99" s="206" t="s">
        <v>353</v>
      </c>
      <c r="F99" s="92" t="s">
        <v>165</v>
      </c>
      <c r="G99" s="93">
        <v>0.01</v>
      </c>
      <c r="H99" s="94">
        <f t="shared" si="41"/>
        <v>1.8075000000000001</v>
      </c>
      <c r="I99" s="94"/>
      <c r="J99" s="94"/>
      <c r="K99" s="80">
        <f t="shared" si="26"/>
        <v>0.01</v>
      </c>
      <c r="L99" s="270">
        <f t="shared" si="26"/>
        <v>1.8075000000000001</v>
      </c>
      <c r="M99" s="112">
        <v>0.02</v>
      </c>
      <c r="N99" s="112">
        <f t="shared" si="27"/>
        <v>0.61067272727272737</v>
      </c>
      <c r="O99" s="112">
        <v>0</v>
      </c>
      <c r="P99" s="112">
        <f t="shared" si="28"/>
        <v>0</v>
      </c>
      <c r="Q99" s="112">
        <v>0</v>
      </c>
      <c r="R99" s="112">
        <f t="shared" si="29"/>
        <v>0</v>
      </c>
      <c r="S99" s="112">
        <v>0</v>
      </c>
      <c r="T99" s="112">
        <f t="shared" si="30"/>
        <v>0</v>
      </c>
      <c r="U99" s="112">
        <v>0</v>
      </c>
      <c r="V99" s="112">
        <f t="shared" si="31"/>
        <v>0</v>
      </c>
      <c r="W99" s="112">
        <v>0</v>
      </c>
      <c r="X99" s="112">
        <f t="shared" si="32"/>
        <v>0</v>
      </c>
      <c r="Y99" s="99">
        <f t="shared" si="25"/>
        <v>0.02</v>
      </c>
      <c r="Z99" s="275">
        <f t="shared" si="25"/>
        <v>0.61067272727272737</v>
      </c>
      <c r="AA99" s="111"/>
      <c r="AB99" s="112">
        <f t="shared" si="33"/>
        <v>0</v>
      </c>
      <c r="AC99" s="111"/>
      <c r="AD99" s="112">
        <f t="shared" si="34"/>
        <v>0</v>
      </c>
      <c r="AE99" s="111"/>
      <c r="AF99" s="112">
        <f t="shared" si="35"/>
        <v>0</v>
      </c>
      <c r="AG99" s="111"/>
      <c r="AH99" s="112">
        <f t="shared" si="36"/>
        <v>0</v>
      </c>
      <c r="AI99" s="111"/>
      <c r="AJ99" s="112">
        <f t="shared" si="37"/>
        <v>0</v>
      </c>
      <c r="AK99" s="94"/>
      <c r="AL99" s="112">
        <f t="shared" si="38"/>
        <v>0</v>
      </c>
      <c r="AM99" s="99">
        <f t="shared" si="23"/>
        <v>0</v>
      </c>
      <c r="AN99" s="100">
        <f t="shared" si="23"/>
        <v>0</v>
      </c>
      <c r="AO99" s="494"/>
      <c r="AP99" s="492">
        <f t="shared" si="39"/>
        <v>0</v>
      </c>
      <c r="AQ99" s="99">
        <f t="shared" si="40"/>
        <v>0</v>
      </c>
      <c r="AR99" s="276">
        <f t="shared" si="40"/>
        <v>0</v>
      </c>
      <c r="AS99" s="103">
        <f t="shared" si="24"/>
        <v>0.03</v>
      </c>
      <c r="AT99" s="104">
        <f t="shared" si="24"/>
        <v>2.4181727272727276</v>
      </c>
      <c r="AU99" s="56" t="s">
        <v>155</v>
      </c>
      <c r="AV99" s="56">
        <f t="shared" si="42"/>
        <v>0</v>
      </c>
    </row>
    <row r="100" spans="1:48" ht="15" customHeight="1" x14ac:dyDescent="0.45">
      <c r="A100" s="203"/>
      <c r="B100" s="185"/>
      <c r="C100" s="91">
        <v>87</v>
      </c>
      <c r="D100" s="24" t="s">
        <v>354</v>
      </c>
      <c r="E100" s="204" t="s">
        <v>355</v>
      </c>
      <c r="F100" s="92" t="s">
        <v>165</v>
      </c>
      <c r="G100" s="93">
        <v>0.05</v>
      </c>
      <c r="H100" s="94">
        <f t="shared" si="41"/>
        <v>9.0374999999999996</v>
      </c>
      <c r="I100" s="94"/>
      <c r="J100" s="94"/>
      <c r="K100" s="80">
        <f t="shared" si="26"/>
        <v>0.05</v>
      </c>
      <c r="L100" s="270">
        <f t="shared" si="26"/>
        <v>9.0374999999999996</v>
      </c>
      <c r="M100" s="112">
        <v>0.03</v>
      </c>
      <c r="N100" s="112">
        <f t="shared" si="27"/>
        <v>0.91600909090909088</v>
      </c>
      <c r="O100" s="112">
        <v>0.02</v>
      </c>
      <c r="P100" s="112">
        <f t="shared" si="28"/>
        <v>0.61067272727272737</v>
      </c>
      <c r="Q100" s="112">
        <v>0.02</v>
      </c>
      <c r="R100" s="112">
        <f t="shared" si="29"/>
        <v>0.61067272727272737</v>
      </c>
      <c r="S100" s="112">
        <v>0.02</v>
      </c>
      <c r="T100" s="112">
        <f t="shared" si="30"/>
        <v>0.61067272727272737</v>
      </c>
      <c r="U100" s="112">
        <v>0.02</v>
      </c>
      <c r="V100" s="112">
        <f t="shared" si="31"/>
        <v>0.61067272727272737</v>
      </c>
      <c r="W100" s="112">
        <v>0.02</v>
      </c>
      <c r="X100" s="112">
        <f t="shared" si="32"/>
        <v>0.61067272727272737</v>
      </c>
      <c r="Y100" s="99">
        <f t="shared" si="25"/>
        <v>0.13</v>
      </c>
      <c r="Z100" s="275">
        <f t="shared" si="25"/>
        <v>3.9693727272727282</v>
      </c>
      <c r="AA100" s="111"/>
      <c r="AB100" s="112">
        <f t="shared" si="33"/>
        <v>0</v>
      </c>
      <c r="AC100" s="111"/>
      <c r="AD100" s="180">
        <f t="shared" si="34"/>
        <v>0</v>
      </c>
      <c r="AE100" s="111"/>
      <c r="AF100" s="180">
        <f t="shared" si="35"/>
        <v>0</v>
      </c>
      <c r="AG100" s="111"/>
      <c r="AH100" s="112">
        <f t="shared" si="36"/>
        <v>0</v>
      </c>
      <c r="AI100" s="111"/>
      <c r="AJ100" s="112">
        <f t="shared" si="37"/>
        <v>0</v>
      </c>
      <c r="AK100" s="94"/>
      <c r="AL100" s="112">
        <f t="shared" si="38"/>
        <v>0</v>
      </c>
      <c r="AM100" s="99">
        <f t="shared" si="23"/>
        <v>0</v>
      </c>
      <c r="AN100" s="100">
        <f t="shared" si="23"/>
        <v>0</v>
      </c>
      <c r="AO100" s="494"/>
      <c r="AP100" s="492">
        <f t="shared" si="39"/>
        <v>0</v>
      </c>
      <c r="AQ100" s="99">
        <f t="shared" si="40"/>
        <v>0</v>
      </c>
      <c r="AR100" s="276">
        <f t="shared" si="40"/>
        <v>0</v>
      </c>
      <c r="AS100" s="103">
        <f t="shared" si="24"/>
        <v>0.18</v>
      </c>
      <c r="AT100" s="104">
        <f t="shared" si="24"/>
        <v>13.006872727272729</v>
      </c>
      <c r="AU100" s="56" t="s">
        <v>155</v>
      </c>
      <c r="AV100" s="56">
        <f t="shared" si="42"/>
        <v>0</v>
      </c>
    </row>
    <row r="101" spans="1:48" ht="15" customHeight="1" x14ac:dyDescent="0.45">
      <c r="A101" s="203"/>
      <c r="B101" s="185"/>
      <c r="C101" s="105">
        <v>88</v>
      </c>
      <c r="D101" s="206" t="s">
        <v>356</v>
      </c>
      <c r="E101" s="206" t="s">
        <v>554</v>
      </c>
      <c r="F101" s="92" t="s">
        <v>165</v>
      </c>
      <c r="G101" s="93"/>
      <c r="H101" s="94">
        <f t="shared" si="41"/>
        <v>0</v>
      </c>
      <c r="I101" s="94"/>
      <c r="J101" s="94"/>
      <c r="K101" s="80">
        <f t="shared" si="26"/>
        <v>0</v>
      </c>
      <c r="L101" s="270">
        <f t="shared" si="26"/>
        <v>0</v>
      </c>
      <c r="M101" s="112">
        <v>0.01</v>
      </c>
      <c r="N101" s="112">
        <f t="shared" si="27"/>
        <v>0.30533636363636368</v>
      </c>
      <c r="O101" s="112">
        <v>0.01</v>
      </c>
      <c r="P101" s="112">
        <f t="shared" si="28"/>
        <v>0.30533636363636368</v>
      </c>
      <c r="Q101" s="112">
        <v>0.01</v>
      </c>
      <c r="R101" s="112">
        <f t="shared" si="29"/>
        <v>0.30533636363636368</v>
      </c>
      <c r="S101" s="112">
        <v>0.01</v>
      </c>
      <c r="T101" s="112">
        <f t="shared" si="30"/>
        <v>0.30533636363636368</v>
      </c>
      <c r="U101" s="112">
        <v>0.01</v>
      </c>
      <c r="V101" s="112">
        <f t="shared" si="31"/>
        <v>0.30533636363636368</v>
      </c>
      <c r="W101" s="112">
        <v>0.01</v>
      </c>
      <c r="X101" s="112">
        <f t="shared" si="32"/>
        <v>0.30533636363636368</v>
      </c>
      <c r="Y101" s="99">
        <f t="shared" si="25"/>
        <v>6.0000000000000005E-2</v>
      </c>
      <c r="Z101" s="275">
        <f t="shared" si="25"/>
        <v>1.8320181818181822</v>
      </c>
      <c r="AA101" s="111">
        <v>0.01</v>
      </c>
      <c r="AB101" s="112">
        <f t="shared" si="33"/>
        <v>0.30533636363636368</v>
      </c>
      <c r="AC101" s="111">
        <v>0.01</v>
      </c>
      <c r="AD101" s="180">
        <f t="shared" si="34"/>
        <v>0.30533636363636368</v>
      </c>
      <c r="AE101" s="111">
        <v>0.01</v>
      </c>
      <c r="AF101" s="180">
        <f t="shared" si="35"/>
        <v>0.30533636363636368</v>
      </c>
      <c r="AG101" s="111">
        <v>0.01</v>
      </c>
      <c r="AH101" s="112">
        <f t="shared" si="36"/>
        <v>0.30533636363636368</v>
      </c>
      <c r="AI101" s="111">
        <v>0.01</v>
      </c>
      <c r="AJ101" s="112">
        <f t="shared" si="37"/>
        <v>0.30533636363636368</v>
      </c>
      <c r="AK101" s="94"/>
      <c r="AL101" s="112">
        <f t="shared" si="38"/>
        <v>0</v>
      </c>
      <c r="AM101" s="99">
        <f t="shared" si="23"/>
        <v>0.04</v>
      </c>
      <c r="AN101" s="100">
        <f t="shared" si="23"/>
        <v>1.2213454545454547</v>
      </c>
      <c r="AO101" s="494"/>
      <c r="AP101" s="492">
        <f t="shared" si="39"/>
        <v>0</v>
      </c>
      <c r="AQ101" s="99">
        <f t="shared" si="40"/>
        <v>0</v>
      </c>
      <c r="AR101" s="276">
        <f t="shared" si="40"/>
        <v>0</v>
      </c>
      <c r="AS101" s="103">
        <f t="shared" si="24"/>
        <v>0.1</v>
      </c>
      <c r="AT101" s="104">
        <f t="shared" si="24"/>
        <v>3.0533636363636369</v>
      </c>
      <c r="AU101" s="56" t="s">
        <v>155</v>
      </c>
      <c r="AV101" s="56">
        <f t="shared" si="42"/>
        <v>0</v>
      </c>
    </row>
    <row r="102" spans="1:48" ht="15" customHeight="1" x14ac:dyDescent="0.45">
      <c r="A102" s="203"/>
      <c r="B102" s="113" t="s">
        <v>358</v>
      </c>
      <c r="C102" s="521">
        <v>89</v>
      </c>
      <c r="D102" s="206" t="s">
        <v>359</v>
      </c>
      <c r="E102" s="206" t="s">
        <v>360</v>
      </c>
      <c r="F102" s="92" t="s">
        <v>154</v>
      </c>
      <c r="G102" s="93">
        <v>0.02</v>
      </c>
      <c r="H102" s="94">
        <f t="shared" si="41"/>
        <v>3.6150000000000002</v>
      </c>
      <c r="I102" s="94"/>
      <c r="J102" s="94"/>
      <c r="K102" s="80">
        <f t="shared" si="26"/>
        <v>0.02</v>
      </c>
      <c r="L102" s="270">
        <f t="shared" si="26"/>
        <v>3.6150000000000002</v>
      </c>
      <c r="M102" s="112">
        <v>0.03</v>
      </c>
      <c r="N102" s="112">
        <f t="shared" si="27"/>
        <v>0.91600909090909088</v>
      </c>
      <c r="O102" s="112">
        <v>0.01</v>
      </c>
      <c r="P102" s="112">
        <f t="shared" si="28"/>
        <v>0.30533636363636368</v>
      </c>
      <c r="Q102" s="112">
        <v>0.01</v>
      </c>
      <c r="R102" s="112">
        <f t="shared" si="29"/>
        <v>0.30533636363636368</v>
      </c>
      <c r="S102" s="112">
        <v>0.01</v>
      </c>
      <c r="T102" s="112">
        <f t="shared" si="30"/>
        <v>0.30533636363636368</v>
      </c>
      <c r="U102" s="112">
        <v>0.01</v>
      </c>
      <c r="V102" s="112">
        <f t="shared" si="31"/>
        <v>0.30533636363636368</v>
      </c>
      <c r="W102" s="112">
        <v>0.01</v>
      </c>
      <c r="X102" s="112">
        <f t="shared" si="32"/>
        <v>0.30533636363636368</v>
      </c>
      <c r="Y102" s="99">
        <f t="shared" si="25"/>
        <v>0.08</v>
      </c>
      <c r="Z102" s="275">
        <f t="shared" si="25"/>
        <v>2.4426909090909095</v>
      </c>
      <c r="AA102" s="111">
        <v>0.01</v>
      </c>
      <c r="AB102" s="112">
        <f t="shared" si="33"/>
        <v>0.30533636363636368</v>
      </c>
      <c r="AC102" s="111">
        <v>0.01</v>
      </c>
      <c r="AD102" s="180">
        <f t="shared" si="34"/>
        <v>0.30533636363636368</v>
      </c>
      <c r="AE102" s="111">
        <v>0.01</v>
      </c>
      <c r="AF102" s="180">
        <f t="shared" si="35"/>
        <v>0.30533636363636368</v>
      </c>
      <c r="AG102" s="111">
        <v>0.01</v>
      </c>
      <c r="AH102" s="112">
        <f t="shared" si="36"/>
        <v>0.30533636363636368</v>
      </c>
      <c r="AI102" s="111">
        <v>0.01</v>
      </c>
      <c r="AJ102" s="112">
        <f t="shared" si="37"/>
        <v>0.30533636363636368</v>
      </c>
      <c r="AK102" s="94"/>
      <c r="AL102" s="112">
        <f t="shared" si="38"/>
        <v>0</v>
      </c>
      <c r="AM102" s="99">
        <f t="shared" si="23"/>
        <v>0.04</v>
      </c>
      <c r="AN102" s="100">
        <f t="shared" si="23"/>
        <v>1.2213454545454547</v>
      </c>
      <c r="AO102" s="494"/>
      <c r="AP102" s="492">
        <f t="shared" si="39"/>
        <v>0</v>
      </c>
      <c r="AQ102" s="99">
        <f t="shared" si="40"/>
        <v>0</v>
      </c>
      <c r="AR102" s="276">
        <f t="shared" si="40"/>
        <v>0</v>
      </c>
      <c r="AS102" s="103">
        <f t="shared" si="24"/>
        <v>0.14000000000000001</v>
      </c>
      <c r="AT102" s="104">
        <f t="shared" si="24"/>
        <v>7.2790363636363651</v>
      </c>
      <c r="AU102" s="56" t="s">
        <v>155</v>
      </c>
      <c r="AV102" s="56">
        <f t="shared" si="42"/>
        <v>0</v>
      </c>
    </row>
    <row r="103" spans="1:48" ht="15" customHeight="1" x14ac:dyDescent="0.45">
      <c r="A103" s="203"/>
      <c r="B103" s="185"/>
      <c r="C103" s="105">
        <v>90</v>
      </c>
      <c r="D103" s="24" t="s">
        <v>361</v>
      </c>
      <c r="E103" s="206" t="s">
        <v>362</v>
      </c>
      <c r="F103" s="92" t="s">
        <v>154</v>
      </c>
      <c r="G103" s="93"/>
      <c r="H103" s="94">
        <f t="shared" si="41"/>
        <v>0</v>
      </c>
      <c r="I103" s="94"/>
      <c r="J103" s="94"/>
      <c r="K103" s="80">
        <f t="shared" si="26"/>
        <v>0</v>
      </c>
      <c r="L103" s="270">
        <f t="shared" si="26"/>
        <v>0</v>
      </c>
      <c r="M103" s="112">
        <v>0</v>
      </c>
      <c r="N103" s="112">
        <f t="shared" si="27"/>
        <v>0</v>
      </c>
      <c r="O103" s="112">
        <v>0.01</v>
      </c>
      <c r="P103" s="112">
        <f t="shared" si="28"/>
        <v>0.30533636363636368</v>
      </c>
      <c r="Q103" s="112">
        <v>0.01</v>
      </c>
      <c r="R103" s="112">
        <f t="shared" si="29"/>
        <v>0.30533636363636368</v>
      </c>
      <c r="S103" s="112">
        <v>0.01</v>
      </c>
      <c r="T103" s="112">
        <f t="shared" si="30"/>
        <v>0.30533636363636368</v>
      </c>
      <c r="U103" s="112">
        <v>0.01</v>
      </c>
      <c r="V103" s="112">
        <f t="shared" si="31"/>
        <v>0.30533636363636368</v>
      </c>
      <c r="W103" s="112">
        <v>0.01</v>
      </c>
      <c r="X103" s="112">
        <f t="shared" si="32"/>
        <v>0.30533636363636368</v>
      </c>
      <c r="Y103" s="99">
        <f t="shared" si="25"/>
        <v>0.05</v>
      </c>
      <c r="Z103" s="275">
        <f t="shared" si="25"/>
        <v>1.5266818181818185</v>
      </c>
      <c r="AA103" s="111"/>
      <c r="AB103" s="112">
        <f t="shared" si="33"/>
        <v>0</v>
      </c>
      <c r="AC103" s="111"/>
      <c r="AD103" s="112">
        <f t="shared" si="34"/>
        <v>0</v>
      </c>
      <c r="AE103" s="111"/>
      <c r="AF103" s="112">
        <f t="shared" si="35"/>
        <v>0</v>
      </c>
      <c r="AG103" s="111"/>
      <c r="AH103" s="112">
        <f t="shared" si="36"/>
        <v>0</v>
      </c>
      <c r="AI103" s="111"/>
      <c r="AJ103" s="112">
        <f t="shared" si="37"/>
        <v>0</v>
      </c>
      <c r="AK103" s="94"/>
      <c r="AL103" s="112">
        <f t="shared" si="38"/>
        <v>0</v>
      </c>
      <c r="AM103" s="99">
        <f t="shared" si="23"/>
        <v>0</v>
      </c>
      <c r="AN103" s="100">
        <f t="shared" si="23"/>
        <v>0</v>
      </c>
      <c r="AO103" s="494"/>
      <c r="AP103" s="492">
        <f t="shared" si="39"/>
        <v>0</v>
      </c>
      <c r="AQ103" s="99">
        <f t="shared" si="40"/>
        <v>0</v>
      </c>
      <c r="AR103" s="276">
        <f t="shared" si="40"/>
        <v>0</v>
      </c>
      <c r="AS103" s="103">
        <f t="shared" si="24"/>
        <v>0.05</v>
      </c>
      <c r="AT103" s="104">
        <f t="shared" si="24"/>
        <v>1.5266818181818185</v>
      </c>
      <c r="AU103" s="56" t="s">
        <v>155</v>
      </c>
      <c r="AV103" s="56">
        <f t="shared" si="42"/>
        <v>0</v>
      </c>
    </row>
    <row r="104" spans="1:48" ht="15" customHeight="1" x14ac:dyDescent="0.45">
      <c r="A104" s="203"/>
      <c r="B104" s="185"/>
      <c r="C104" s="91">
        <v>91</v>
      </c>
      <c r="D104" s="206" t="s">
        <v>363</v>
      </c>
      <c r="E104" s="76" t="s">
        <v>364</v>
      </c>
      <c r="F104" s="92" t="s">
        <v>154</v>
      </c>
      <c r="G104" s="93">
        <v>0.03</v>
      </c>
      <c r="H104" s="94">
        <f t="shared" si="41"/>
        <v>5.4224999999999994</v>
      </c>
      <c r="I104" s="94"/>
      <c r="J104" s="94"/>
      <c r="K104" s="80">
        <f t="shared" si="26"/>
        <v>0.03</v>
      </c>
      <c r="L104" s="270">
        <f t="shared" si="26"/>
        <v>5.4224999999999994</v>
      </c>
      <c r="M104" s="277">
        <v>0.02</v>
      </c>
      <c r="N104" s="112">
        <f t="shared" si="27"/>
        <v>0.61067272727272737</v>
      </c>
      <c r="O104" s="112"/>
      <c r="P104" s="112">
        <f t="shared" si="28"/>
        <v>0</v>
      </c>
      <c r="Q104" s="112"/>
      <c r="R104" s="112">
        <f t="shared" si="29"/>
        <v>0</v>
      </c>
      <c r="S104" s="112"/>
      <c r="T104" s="112">
        <f t="shared" si="30"/>
        <v>0</v>
      </c>
      <c r="U104" s="112"/>
      <c r="V104" s="112">
        <f t="shared" si="31"/>
        <v>0</v>
      </c>
      <c r="W104" s="112"/>
      <c r="X104" s="112">
        <f t="shared" si="32"/>
        <v>0</v>
      </c>
      <c r="Y104" s="99">
        <f t="shared" si="25"/>
        <v>0.02</v>
      </c>
      <c r="Z104" s="275">
        <f t="shared" si="25"/>
        <v>0.61067272727272737</v>
      </c>
      <c r="AA104" s="111"/>
      <c r="AB104" s="112">
        <f t="shared" si="33"/>
        <v>0</v>
      </c>
      <c r="AC104" s="111"/>
      <c r="AD104" s="112">
        <f t="shared" si="34"/>
        <v>0</v>
      </c>
      <c r="AE104" s="111"/>
      <c r="AF104" s="112">
        <f t="shared" si="35"/>
        <v>0</v>
      </c>
      <c r="AG104" s="111"/>
      <c r="AH104" s="112">
        <f t="shared" si="36"/>
        <v>0</v>
      </c>
      <c r="AI104" s="111"/>
      <c r="AJ104" s="112">
        <f t="shared" si="37"/>
        <v>0</v>
      </c>
      <c r="AK104" s="94"/>
      <c r="AL104" s="112">
        <f t="shared" si="38"/>
        <v>0</v>
      </c>
      <c r="AM104" s="99">
        <f t="shared" si="23"/>
        <v>0</v>
      </c>
      <c r="AN104" s="100">
        <f t="shared" si="23"/>
        <v>0</v>
      </c>
      <c r="AO104" s="494"/>
      <c r="AP104" s="492">
        <f t="shared" si="39"/>
        <v>0</v>
      </c>
      <c r="AQ104" s="99">
        <f t="shared" si="40"/>
        <v>0</v>
      </c>
      <c r="AR104" s="276">
        <f t="shared" si="40"/>
        <v>0</v>
      </c>
      <c r="AS104" s="103">
        <f t="shared" si="24"/>
        <v>0.05</v>
      </c>
      <c r="AT104" s="104">
        <f t="shared" si="24"/>
        <v>6.0331727272727269</v>
      </c>
      <c r="AU104" s="56" t="s">
        <v>155</v>
      </c>
      <c r="AV104" s="56">
        <f t="shared" si="42"/>
        <v>0</v>
      </c>
    </row>
    <row r="105" spans="1:48" ht="15" customHeight="1" x14ac:dyDescent="0.45">
      <c r="A105" s="203"/>
      <c r="B105" s="185"/>
      <c r="C105" s="105">
        <v>92</v>
      </c>
      <c r="D105" s="211" t="s">
        <v>365</v>
      </c>
      <c r="E105" s="204" t="s">
        <v>366</v>
      </c>
      <c r="F105" s="92" t="s">
        <v>154</v>
      </c>
      <c r="G105" s="93">
        <v>0.05</v>
      </c>
      <c r="H105" s="94">
        <f t="shared" si="41"/>
        <v>9.0374999999999996</v>
      </c>
      <c r="I105" s="94"/>
      <c r="J105" s="94"/>
      <c r="K105" s="80">
        <f t="shared" si="26"/>
        <v>0.05</v>
      </c>
      <c r="L105" s="270">
        <f t="shared" si="26"/>
        <v>9.0374999999999996</v>
      </c>
      <c r="M105" s="277">
        <v>0.02</v>
      </c>
      <c r="N105" s="112">
        <f t="shared" si="27"/>
        <v>0.61067272727272737</v>
      </c>
      <c r="O105" s="112"/>
      <c r="P105" s="112">
        <f t="shared" si="28"/>
        <v>0</v>
      </c>
      <c r="Q105" s="112"/>
      <c r="R105" s="112">
        <f t="shared" si="29"/>
        <v>0</v>
      </c>
      <c r="S105" s="112"/>
      <c r="T105" s="112">
        <f t="shared" si="30"/>
        <v>0</v>
      </c>
      <c r="U105" s="112"/>
      <c r="V105" s="112">
        <f t="shared" si="31"/>
        <v>0</v>
      </c>
      <c r="W105" s="112"/>
      <c r="X105" s="112">
        <f t="shared" si="32"/>
        <v>0</v>
      </c>
      <c r="Y105" s="99">
        <f t="shared" si="25"/>
        <v>0.02</v>
      </c>
      <c r="Z105" s="275">
        <f t="shared" si="25"/>
        <v>0.61067272727272737</v>
      </c>
      <c r="AA105" s="111"/>
      <c r="AB105" s="112">
        <f t="shared" si="33"/>
        <v>0</v>
      </c>
      <c r="AC105" s="111"/>
      <c r="AD105" s="112">
        <f t="shared" si="34"/>
        <v>0</v>
      </c>
      <c r="AE105" s="111"/>
      <c r="AF105" s="112">
        <f t="shared" si="35"/>
        <v>0</v>
      </c>
      <c r="AG105" s="111"/>
      <c r="AH105" s="112">
        <f t="shared" si="36"/>
        <v>0</v>
      </c>
      <c r="AI105" s="111"/>
      <c r="AJ105" s="112">
        <f t="shared" si="37"/>
        <v>0</v>
      </c>
      <c r="AK105" s="94"/>
      <c r="AL105" s="112">
        <f t="shared" si="38"/>
        <v>0</v>
      </c>
      <c r="AM105" s="99">
        <f t="shared" si="23"/>
        <v>0</v>
      </c>
      <c r="AN105" s="100">
        <f t="shared" si="23"/>
        <v>0</v>
      </c>
      <c r="AO105" s="494"/>
      <c r="AP105" s="492">
        <f t="shared" si="39"/>
        <v>0</v>
      </c>
      <c r="AQ105" s="99">
        <f t="shared" si="40"/>
        <v>0</v>
      </c>
      <c r="AR105" s="276">
        <f t="shared" si="40"/>
        <v>0</v>
      </c>
      <c r="AS105" s="103">
        <f t="shared" si="24"/>
        <v>7.0000000000000007E-2</v>
      </c>
      <c r="AT105" s="104">
        <f t="shared" si="24"/>
        <v>9.6481727272727262</v>
      </c>
      <c r="AU105" s="56" t="s">
        <v>155</v>
      </c>
      <c r="AV105" s="56">
        <f t="shared" si="42"/>
        <v>0</v>
      </c>
    </row>
    <row r="106" spans="1:48" ht="15" customHeight="1" x14ac:dyDescent="0.45">
      <c r="A106" s="203"/>
      <c r="B106" s="185"/>
      <c r="C106" s="75">
        <v>93</v>
      </c>
      <c r="D106" s="24" t="s">
        <v>367</v>
      </c>
      <c r="E106" s="206" t="s">
        <v>368</v>
      </c>
      <c r="F106" s="92" t="s">
        <v>154</v>
      </c>
      <c r="G106" s="93"/>
      <c r="H106" s="94">
        <f t="shared" si="41"/>
        <v>0</v>
      </c>
      <c r="I106" s="94"/>
      <c r="J106" s="94"/>
      <c r="K106" s="80">
        <f t="shared" si="26"/>
        <v>0</v>
      </c>
      <c r="L106" s="270">
        <f t="shared" si="26"/>
        <v>0</v>
      </c>
      <c r="M106" s="112">
        <v>0.01</v>
      </c>
      <c r="N106" s="112">
        <f t="shared" si="27"/>
        <v>0.30533636363636368</v>
      </c>
      <c r="O106" s="112"/>
      <c r="P106" s="112">
        <f t="shared" si="28"/>
        <v>0</v>
      </c>
      <c r="Q106" s="112"/>
      <c r="R106" s="112">
        <f t="shared" si="29"/>
        <v>0</v>
      </c>
      <c r="S106" s="112"/>
      <c r="T106" s="112">
        <f t="shared" si="30"/>
        <v>0</v>
      </c>
      <c r="U106" s="112"/>
      <c r="V106" s="112">
        <f t="shared" si="31"/>
        <v>0</v>
      </c>
      <c r="W106" s="112"/>
      <c r="X106" s="112">
        <f t="shared" si="32"/>
        <v>0</v>
      </c>
      <c r="Y106" s="99">
        <f t="shared" si="25"/>
        <v>0.01</v>
      </c>
      <c r="Z106" s="275">
        <f t="shared" si="25"/>
        <v>0.30533636363636368</v>
      </c>
      <c r="AA106" s="111"/>
      <c r="AB106" s="112">
        <f t="shared" si="33"/>
        <v>0</v>
      </c>
      <c r="AC106" s="111"/>
      <c r="AD106" s="112">
        <f t="shared" si="34"/>
        <v>0</v>
      </c>
      <c r="AE106" s="111"/>
      <c r="AF106" s="112">
        <f t="shared" si="35"/>
        <v>0</v>
      </c>
      <c r="AG106" s="111"/>
      <c r="AH106" s="112">
        <f t="shared" si="36"/>
        <v>0</v>
      </c>
      <c r="AI106" s="111"/>
      <c r="AJ106" s="112">
        <f t="shared" si="37"/>
        <v>0</v>
      </c>
      <c r="AK106" s="94"/>
      <c r="AL106" s="112">
        <f t="shared" si="38"/>
        <v>0</v>
      </c>
      <c r="AM106" s="99">
        <f t="shared" si="23"/>
        <v>0</v>
      </c>
      <c r="AN106" s="100">
        <f t="shared" si="23"/>
        <v>0</v>
      </c>
      <c r="AO106" s="494"/>
      <c r="AP106" s="492">
        <f t="shared" si="39"/>
        <v>0</v>
      </c>
      <c r="AQ106" s="99">
        <f t="shared" si="40"/>
        <v>0</v>
      </c>
      <c r="AR106" s="276">
        <f t="shared" si="40"/>
        <v>0</v>
      </c>
      <c r="AS106" s="103">
        <f t="shared" si="24"/>
        <v>0.01</v>
      </c>
      <c r="AT106" s="104">
        <f t="shared" si="24"/>
        <v>0.30533636363636368</v>
      </c>
      <c r="AU106" s="56" t="s">
        <v>155</v>
      </c>
      <c r="AV106" s="56">
        <f t="shared" si="42"/>
        <v>0</v>
      </c>
    </row>
    <row r="107" spans="1:48" ht="15" customHeight="1" x14ac:dyDescent="0.45">
      <c r="A107" s="203"/>
      <c r="B107" s="185"/>
      <c r="C107" s="91">
        <v>94</v>
      </c>
      <c r="D107" s="206" t="s">
        <v>369</v>
      </c>
      <c r="E107" s="204" t="s">
        <v>370</v>
      </c>
      <c r="F107" s="92" t="s">
        <v>154</v>
      </c>
      <c r="G107" s="93">
        <v>0.02</v>
      </c>
      <c r="H107" s="94">
        <f t="shared" si="41"/>
        <v>3.6150000000000002</v>
      </c>
      <c r="I107" s="94"/>
      <c r="J107" s="94"/>
      <c r="K107" s="80">
        <f t="shared" si="26"/>
        <v>0.02</v>
      </c>
      <c r="L107" s="270">
        <f t="shared" si="26"/>
        <v>3.6150000000000002</v>
      </c>
      <c r="M107" s="112">
        <v>0</v>
      </c>
      <c r="N107" s="112">
        <f t="shared" si="27"/>
        <v>0</v>
      </c>
      <c r="O107" s="112"/>
      <c r="P107" s="112">
        <f t="shared" si="28"/>
        <v>0</v>
      </c>
      <c r="Q107" s="112"/>
      <c r="R107" s="112">
        <f t="shared" si="29"/>
        <v>0</v>
      </c>
      <c r="S107" s="112"/>
      <c r="T107" s="112">
        <f t="shared" si="30"/>
        <v>0</v>
      </c>
      <c r="U107" s="112"/>
      <c r="V107" s="112">
        <f t="shared" si="31"/>
        <v>0</v>
      </c>
      <c r="W107" s="112"/>
      <c r="X107" s="112">
        <f t="shared" si="32"/>
        <v>0</v>
      </c>
      <c r="Y107" s="99">
        <f t="shared" si="25"/>
        <v>0</v>
      </c>
      <c r="Z107" s="275">
        <f t="shared" si="25"/>
        <v>0</v>
      </c>
      <c r="AA107" s="111"/>
      <c r="AB107" s="112">
        <f t="shared" si="33"/>
        <v>0</v>
      </c>
      <c r="AC107" s="111"/>
      <c r="AD107" s="112">
        <f t="shared" si="34"/>
        <v>0</v>
      </c>
      <c r="AE107" s="111"/>
      <c r="AF107" s="112">
        <f t="shared" si="35"/>
        <v>0</v>
      </c>
      <c r="AG107" s="111"/>
      <c r="AH107" s="112">
        <f t="shared" si="36"/>
        <v>0</v>
      </c>
      <c r="AI107" s="111"/>
      <c r="AJ107" s="112">
        <f t="shared" si="37"/>
        <v>0</v>
      </c>
      <c r="AK107" s="94"/>
      <c r="AL107" s="112">
        <f t="shared" si="38"/>
        <v>0</v>
      </c>
      <c r="AM107" s="99">
        <f t="shared" si="23"/>
        <v>0</v>
      </c>
      <c r="AN107" s="100">
        <f t="shared" si="23"/>
        <v>0</v>
      </c>
      <c r="AO107" s="494"/>
      <c r="AP107" s="492">
        <f t="shared" si="39"/>
        <v>0</v>
      </c>
      <c r="AQ107" s="99">
        <f t="shared" si="40"/>
        <v>0</v>
      </c>
      <c r="AR107" s="276">
        <f t="shared" si="40"/>
        <v>0</v>
      </c>
      <c r="AS107" s="103">
        <f t="shared" si="24"/>
        <v>0.02</v>
      </c>
      <c r="AT107" s="104">
        <f t="shared" si="24"/>
        <v>3.6150000000000002</v>
      </c>
      <c r="AU107" s="56" t="s">
        <v>155</v>
      </c>
      <c r="AV107" s="56">
        <f t="shared" si="42"/>
        <v>0</v>
      </c>
    </row>
    <row r="108" spans="1:48" ht="15" customHeight="1" x14ac:dyDescent="0.45">
      <c r="A108" s="203"/>
      <c r="B108" s="185"/>
      <c r="C108" s="91">
        <v>95</v>
      </c>
      <c r="D108" s="211" t="s">
        <v>371</v>
      </c>
      <c r="E108" s="206" t="s">
        <v>372</v>
      </c>
      <c r="F108" s="92" t="s">
        <v>154</v>
      </c>
      <c r="G108" s="93"/>
      <c r="H108" s="94">
        <f t="shared" si="41"/>
        <v>0</v>
      </c>
      <c r="I108" s="94"/>
      <c r="J108" s="94"/>
      <c r="K108" s="80">
        <f t="shared" si="26"/>
        <v>0</v>
      </c>
      <c r="L108" s="270">
        <f t="shared" si="26"/>
        <v>0</v>
      </c>
      <c r="M108" s="492">
        <v>0</v>
      </c>
      <c r="N108" s="492">
        <f t="shared" si="27"/>
        <v>0</v>
      </c>
      <c r="O108" s="492">
        <v>0.01</v>
      </c>
      <c r="P108" s="492">
        <f t="shared" si="28"/>
        <v>0.30533636363636368</v>
      </c>
      <c r="Q108" s="492">
        <v>0.01</v>
      </c>
      <c r="R108" s="492">
        <f t="shared" si="29"/>
        <v>0.30533636363636368</v>
      </c>
      <c r="S108" s="492">
        <v>0.01</v>
      </c>
      <c r="T108" s="492">
        <f t="shared" si="30"/>
        <v>0.30533636363636368</v>
      </c>
      <c r="U108" s="492">
        <v>0.01</v>
      </c>
      <c r="V108" s="492">
        <f t="shared" si="31"/>
        <v>0.30533636363636368</v>
      </c>
      <c r="W108" s="492">
        <v>0.01</v>
      </c>
      <c r="X108" s="492">
        <f t="shared" si="32"/>
        <v>0.30533636363636368</v>
      </c>
      <c r="Y108" s="99">
        <f t="shared" si="25"/>
        <v>0.05</v>
      </c>
      <c r="Z108" s="275">
        <f t="shared" si="25"/>
        <v>1.5266818181818185</v>
      </c>
      <c r="AA108" s="97"/>
      <c r="AB108" s="492">
        <f t="shared" si="33"/>
        <v>0</v>
      </c>
      <c r="AC108" s="97"/>
      <c r="AD108" s="492">
        <f t="shared" si="34"/>
        <v>0</v>
      </c>
      <c r="AE108" s="97"/>
      <c r="AF108" s="492">
        <f t="shared" si="35"/>
        <v>0</v>
      </c>
      <c r="AG108" s="97"/>
      <c r="AH108" s="492">
        <f t="shared" si="36"/>
        <v>0</v>
      </c>
      <c r="AI108" s="97"/>
      <c r="AJ108" s="492">
        <f t="shared" si="37"/>
        <v>0</v>
      </c>
      <c r="AK108" s="94"/>
      <c r="AL108" s="492">
        <f t="shared" si="38"/>
        <v>0</v>
      </c>
      <c r="AM108" s="99">
        <f t="shared" si="23"/>
        <v>0</v>
      </c>
      <c r="AN108" s="100">
        <f t="shared" si="23"/>
        <v>0</v>
      </c>
      <c r="AO108" s="494"/>
      <c r="AP108" s="492">
        <f t="shared" si="39"/>
        <v>0</v>
      </c>
      <c r="AQ108" s="99">
        <f t="shared" si="40"/>
        <v>0</v>
      </c>
      <c r="AR108" s="276">
        <f t="shared" si="40"/>
        <v>0</v>
      </c>
      <c r="AS108" s="103">
        <f t="shared" si="24"/>
        <v>0.05</v>
      </c>
      <c r="AT108" s="104">
        <f t="shared" si="24"/>
        <v>1.5266818181818185</v>
      </c>
      <c r="AU108" s="56" t="s">
        <v>155</v>
      </c>
      <c r="AV108" s="56">
        <f t="shared" si="42"/>
        <v>0</v>
      </c>
    </row>
    <row r="109" spans="1:48" ht="15" customHeight="1" x14ac:dyDescent="0.45">
      <c r="A109" s="203"/>
      <c r="B109" s="185"/>
      <c r="C109" s="105">
        <v>96</v>
      </c>
      <c r="D109" s="76" t="s">
        <v>373</v>
      </c>
      <c r="E109" s="76" t="s">
        <v>374</v>
      </c>
      <c r="F109" s="92" t="s">
        <v>154</v>
      </c>
      <c r="G109" s="93"/>
      <c r="H109" s="94">
        <f t="shared" si="41"/>
        <v>0</v>
      </c>
      <c r="I109" s="94"/>
      <c r="J109" s="94"/>
      <c r="K109" s="80">
        <f t="shared" si="26"/>
        <v>0</v>
      </c>
      <c r="L109" s="270">
        <f t="shared" si="26"/>
        <v>0</v>
      </c>
      <c r="M109" s="492">
        <v>0.02</v>
      </c>
      <c r="N109" s="492">
        <f t="shared" si="27"/>
        <v>0.61067272727272737</v>
      </c>
      <c r="O109" s="492"/>
      <c r="P109" s="492">
        <f t="shared" si="28"/>
        <v>0</v>
      </c>
      <c r="Q109" s="492"/>
      <c r="R109" s="492">
        <f t="shared" si="29"/>
        <v>0</v>
      </c>
      <c r="S109" s="492"/>
      <c r="T109" s="492">
        <f t="shared" si="30"/>
        <v>0</v>
      </c>
      <c r="U109" s="492"/>
      <c r="V109" s="492">
        <f t="shared" si="31"/>
        <v>0</v>
      </c>
      <c r="W109" s="492">
        <v>0.01</v>
      </c>
      <c r="X109" s="492">
        <f t="shared" si="32"/>
        <v>0.30533636363636368</v>
      </c>
      <c r="Y109" s="99">
        <f t="shared" si="25"/>
        <v>0.03</v>
      </c>
      <c r="Z109" s="275">
        <f t="shared" si="25"/>
        <v>0.91600909090909099</v>
      </c>
      <c r="AA109" s="97"/>
      <c r="AB109" s="492">
        <f t="shared" si="33"/>
        <v>0</v>
      </c>
      <c r="AC109" s="97"/>
      <c r="AD109" s="492">
        <f t="shared" si="34"/>
        <v>0</v>
      </c>
      <c r="AE109" s="97"/>
      <c r="AF109" s="492">
        <f t="shared" si="35"/>
        <v>0</v>
      </c>
      <c r="AG109" s="97"/>
      <c r="AH109" s="492">
        <f t="shared" si="36"/>
        <v>0</v>
      </c>
      <c r="AI109" s="97"/>
      <c r="AJ109" s="492">
        <f t="shared" si="37"/>
        <v>0</v>
      </c>
      <c r="AK109" s="94"/>
      <c r="AL109" s="492">
        <f t="shared" si="38"/>
        <v>0</v>
      </c>
      <c r="AM109" s="99">
        <f t="shared" si="23"/>
        <v>0</v>
      </c>
      <c r="AN109" s="100">
        <f t="shared" si="23"/>
        <v>0</v>
      </c>
      <c r="AO109" s="494"/>
      <c r="AP109" s="492">
        <f t="shared" si="39"/>
        <v>0</v>
      </c>
      <c r="AQ109" s="99">
        <f t="shared" si="40"/>
        <v>0</v>
      </c>
      <c r="AR109" s="276">
        <f t="shared" si="40"/>
        <v>0</v>
      </c>
      <c r="AS109" s="103">
        <f t="shared" si="24"/>
        <v>0.03</v>
      </c>
      <c r="AT109" s="104">
        <f t="shared" si="24"/>
        <v>0.91600909090909099</v>
      </c>
      <c r="AU109" s="56" t="s">
        <v>155</v>
      </c>
      <c r="AV109" s="56">
        <f t="shared" si="42"/>
        <v>0</v>
      </c>
    </row>
    <row r="110" spans="1:48" ht="15" customHeight="1" x14ac:dyDescent="0.45">
      <c r="A110" s="203"/>
      <c r="B110" s="185"/>
      <c r="C110" s="75">
        <v>97</v>
      </c>
      <c r="D110" s="519" t="s">
        <v>555</v>
      </c>
      <c r="E110" s="519" t="s">
        <v>556</v>
      </c>
      <c r="F110" s="92" t="s">
        <v>154</v>
      </c>
      <c r="G110" s="93"/>
      <c r="H110" s="94">
        <f t="shared" si="41"/>
        <v>0</v>
      </c>
      <c r="I110" s="94"/>
      <c r="J110" s="94"/>
      <c r="K110" s="80">
        <f t="shared" si="26"/>
        <v>0</v>
      </c>
      <c r="L110" s="270">
        <f t="shared" si="26"/>
        <v>0</v>
      </c>
      <c r="M110" s="492">
        <v>0.02</v>
      </c>
      <c r="N110" s="492">
        <f t="shared" si="27"/>
        <v>0.61067272727272737</v>
      </c>
      <c r="O110" s="492"/>
      <c r="P110" s="492">
        <f t="shared" si="28"/>
        <v>0</v>
      </c>
      <c r="Q110" s="492"/>
      <c r="R110" s="492">
        <f t="shared" si="29"/>
        <v>0</v>
      </c>
      <c r="S110" s="492">
        <v>0.01</v>
      </c>
      <c r="T110" s="492">
        <f t="shared" si="30"/>
        <v>0.30533636363636368</v>
      </c>
      <c r="U110" s="492"/>
      <c r="V110" s="492">
        <f t="shared" si="31"/>
        <v>0</v>
      </c>
      <c r="W110" s="492">
        <v>0.01</v>
      </c>
      <c r="X110" s="492">
        <f t="shared" si="32"/>
        <v>0.30533636363636368</v>
      </c>
      <c r="Y110" s="99">
        <f t="shared" si="25"/>
        <v>0.04</v>
      </c>
      <c r="Z110" s="275">
        <f t="shared" si="25"/>
        <v>1.2213454545454547</v>
      </c>
      <c r="AA110" s="97"/>
      <c r="AB110" s="492">
        <f t="shared" si="33"/>
        <v>0</v>
      </c>
      <c r="AC110" s="97"/>
      <c r="AD110" s="492">
        <f t="shared" si="34"/>
        <v>0</v>
      </c>
      <c r="AE110" s="97"/>
      <c r="AF110" s="492">
        <f t="shared" si="35"/>
        <v>0</v>
      </c>
      <c r="AG110" s="97"/>
      <c r="AH110" s="492">
        <f t="shared" si="36"/>
        <v>0</v>
      </c>
      <c r="AI110" s="97"/>
      <c r="AJ110" s="492">
        <f t="shared" si="37"/>
        <v>0</v>
      </c>
      <c r="AK110" s="94"/>
      <c r="AL110" s="492">
        <f t="shared" si="38"/>
        <v>0</v>
      </c>
      <c r="AM110" s="99">
        <f t="shared" si="23"/>
        <v>0</v>
      </c>
      <c r="AN110" s="100">
        <f t="shared" si="23"/>
        <v>0</v>
      </c>
      <c r="AO110" s="494"/>
      <c r="AP110" s="492">
        <f t="shared" si="39"/>
        <v>0</v>
      </c>
      <c r="AQ110" s="99">
        <f t="shared" si="40"/>
        <v>0</v>
      </c>
      <c r="AR110" s="276">
        <f t="shared" si="40"/>
        <v>0</v>
      </c>
      <c r="AS110" s="103">
        <f t="shared" si="24"/>
        <v>0.04</v>
      </c>
      <c r="AT110" s="104">
        <f t="shared" si="24"/>
        <v>1.2213454545454547</v>
      </c>
      <c r="AU110" s="56" t="s">
        <v>155</v>
      </c>
      <c r="AV110" s="56">
        <f t="shared" si="42"/>
        <v>0</v>
      </c>
    </row>
    <row r="111" spans="1:48" ht="15" customHeight="1" x14ac:dyDescent="0.45">
      <c r="A111" s="203"/>
      <c r="B111" s="185"/>
      <c r="C111" s="91">
        <v>98</v>
      </c>
      <c r="D111" s="76" t="s">
        <v>373</v>
      </c>
      <c r="E111" s="206" t="s">
        <v>375</v>
      </c>
      <c r="F111" s="92" t="s">
        <v>154</v>
      </c>
      <c r="G111" s="93"/>
      <c r="H111" s="94">
        <f t="shared" si="41"/>
        <v>0</v>
      </c>
      <c r="I111" s="94"/>
      <c r="J111" s="94"/>
      <c r="K111" s="80">
        <f t="shared" si="26"/>
        <v>0</v>
      </c>
      <c r="L111" s="270">
        <f t="shared" si="26"/>
        <v>0</v>
      </c>
      <c r="M111" s="492">
        <v>0.02</v>
      </c>
      <c r="N111" s="492">
        <f t="shared" si="27"/>
        <v>0.61067272727272737</v>
      </c>
      <c r="O111" s="492"/>
      <c r="P111" s="492">
        <f t="shared" si="28"/>
        <v>0</v>
      </c>
      <c r="Q111" s="492"/>
      <c r="R111" s="492">
        <f t="shared" si="29"/>
        <v>0</v>
      </c>
      <c r="S111" s="492"/>
      <c r="T111" s="492">
        <f t="shared" si="30"/>
        <v>0</v>
      </c>
      <c r="U111" s="492"/>
      <c r="V111" s="492">
        <f t="shared" si="31"/>
        <v>0</v>
      </c>
      <c r="W111" s="492">
        <v>0.01</v>
      </c>
      <c r="X111" s="492">
        <f t="shared" si="32"/>
        <v>0.30533636363636368</v>
      </c>
      <c r="Y111" s="99">
        <f t="shared" si="25"/>
        <v>0.03</v>
      </c>
      <c r="Z111" s="275">
        <f t="shared" si="25"/>
        <v>0.91600909090909099</v>
      </c>
      <c r="AA111" s="111">
        <v>0.01</v>
      </c>
      <c r="AB111" s="492">
        <f t="shared" si="33"/>
        <v>0.30533636363636368</v>
      </c>
      <c r="AC111" s="111">
        <v>0.01</v>
      </c>
      <c r="AD111" s="492">
        <f t="shared" si="34"/>
        <v>0.30533636363636368</v>
      </c>
      <c r="AE111" s="111">
        <v>0.01</v>
      </c>
      <c r="AF111" s="492">
        <f t="shared" si="35"/>
        <v>0.30533636363636368</v>
      </c>
      <c r="AG111" s="111">
        <v>0.01</v>
      </c>
      <c r="AH111" s="492">
        <f t="shared" si="36"/>
        <v>0.30533636363636368</v>
      </c>
      <c r="AI111" s="111">
        <v>0.01</v>
      </c>
      <c r="AJ111" s="492">
        <f t="shared" si="37"/>
        <v>0.30533636363636368</v>
      </c>
      <c r="AK111" s="94">
        <v>0.01</v>
      </c>
      <c r="AL111" s="492">
        <f t="shared" si="38"/>
        <v>0.30533636363636368</v>
      </c>
      <c r="AM111" s="99">
        <f t="shared" si="23"/>
        <v>0.05</v>
      </c>
      <c r="AN111" s="100">
        <f t="shared" si="23"/>
        <v>1.5266818181818185</v>
      </c>
      <c r="AO111" s="494"/>
      <c r="AP111" s="492">
        <f t="shared" si="39"/>
        <v>0</v>
      </c>
      <c r="AQ111" s="99">
        <f t="shared" si="40"/>
        <v>0</v>
      </c>
      <c r="AR111" s="276">
        <f t="shared" si="40"/>
        <v>0</v>
      </c>
      <c r="AS111" s="103">
        <f t="shared" si="24"/>
        <v>0.08</v>
      </c>
      <c r="AT111" s="104">
        <f t="shared" si="24"/>
        <v>2.4426909090909095</v>
      </c>
      <c r="AU111" s="56" t="s">
        <v>155</v>
      </c>
      <c r="AV111" s="56">
        <f t="shared" si="42"/>
        <v>0</v>
      </c>
    </row>
    <row r="112" spans="1:48" ht="15" customHeight="1" x14ac:dyDescent="0.45">
      <c r="A112" s="203"/>
      <c r="B112" s="185"/>
      <c r="C112" s="91">
        <v>99</v>
      </c>
      <c r="D112" s="76" t="s">
        <v>376</v>
      </c>
      <c r="E112" s="204" t="s">
        <v>557</v>
      </c>
      <c r="F112" s="77" t="s">
        <v>154</v>
      </c>
      <c r="G112" s="93"/>
      <c r="H112" s="94">
        <f t="shared" si="41"/>
        <v>0</v>
      </c>
      <c r="I112" s="94"/>
      <c r="J112" s="94"/>
      <c r="K112" s="80">
        <f t="shared" si="26"/>
        <v>0</v>
      </c>
      <c r="L112" s="270">
        <f t="shared" si="26"/>
        <v>0</v>
      </c>
      <c r="M112" s="494">
        <v>0.02</v>
      </c>
      <c r="N112" s="492">
        <f t="shared" si="27"/>
        <v>0.61067272727272737</v>
      </c>
      <c r="O112" s="492">
        <v>0.01</v>
      </c>
      <c r="P112" s="492">
        <f t="shared" si="28"/>
        <v>0.30533636363636368</v>
      </c>
      <c r="Q112" s="492">
        <v>0.01</v>
      </c>
      <c r="R112" s="492">
        <f t="shared" si="29"/>
        <v>0.30533636363636368</v>
      </c>
      <c r="S112" s="492">
        <v>0.01</v>
      </c>
      <c r="T112" s="492">
        <f t="shared" si="30"/>
        <v>0.30533636363636368</v>
      </c>
      <c r="U112" s="492">
        <v>0.01</v>
      </c>
      <c r="V112" s="492">
        <f t="shared" si="31"/>
        <v>0.30533636363636368</v>
      </c>
      <c r="W112" s="492">
        <v>0.01</v>
      </c>
      <c r="X112" s="492">
        <f t="shared" si="32"/>
        <v>0.30533636363636368</v>
      </c>
      <c r="Y112" s="99">
        <f t="shared" si="25"/>
        <v>7.0000000000000007E-2</v>
      </c>
      <c r="Z112" s="275">
        <f t="shared" si="25"/>
        <v>2.1373545454545457</v>
      </c>
      <c r="AA112" s="97"/>
      <c r="AB112" s="492">
        <f t="shared" si="33"/>
        <v>0</v>
      </c>
      <c r="AC112" s="97"/>
      <c r="AD112" s="492">
        <f t="shared" si="34"/>
        <v>0</v>
      </c>
      <c r="AE112" s="97"/>
      <c r="AF112" s="492">
        <f t="shared" si="35"/>
        <v>0</v>
      </c>
      <c r="AG112" s="97"/>
      <c r="AH112" s="492">
        <f t="shared" si="36"/>
        <v>0</v>
      </c>
      <c r="AI112" s="97"/>
      <c r="AJ112" s="492">
        <f t="shared" si="37"/>
        <v>0</v>
      </c>
      <c r="AK112" s="492"/>
      <c r="AL112" s="492">
        <f t="shared" si="38"/>
        <v>0</v>
      </c>
      <c r="AM112" s="99">
        <f t="shared" si="23"/>
        <v>0</v>
      </c>
      <c r="AN112" s="100">
        <f t="shared" si="23"/>
        <v>0</v>
      </c>
      <c r="AO112" s="494"/>
      <c r="AP112" s="492">
        <f t="shared" si="39"/>
        <v>0</v>
      </c>
      <c r="AQ112" s="99">
        <f t="shared" si="40"/>
        <v>0</v>
      </c>
      <c r="AR112" s="276">
        <f t="shared" si="40"/>
        <v>0</v>
      </c>
      <c r="AS112" s="103">
        <f t="shared" si="24"/>
        <v>7.0000000000000007E-2</v>
      </c>
      <c r="AT112" s="104">
        <f t="shared" si="24"/>
        <v>2.1373545454545457</v>
      </c>
      <c r="AU112" s="56" t="s">
        <v>155</v>
      </c>
      <c r="AV112" s="56">
        <f t="shared" si="42"/>
        <v>0</v>
      </c>
    </row>
    <row r="113" spans="1:55" ht="15" customHeight="1" thickBot="1" x14ac:dyDescent="0.5">
      <c r="A113" s="203"/>
      <c r="B113" s="185"/>
      <c r="C113" s="75">
        <v>100</v>
      </c>
      <c r="D113" s="113" t="s">
        <v>378</v>
      </c>
      <c r="E113" s="212" t="s">
        <v>379</v>
      </c>
      <c r="F113" s="208" t="s">
        <v>154</v>
      </c>
      <c r="G113" s="118">
        <v>0.01</v>
      </c>
      <c r="H113" s="119">
        <f t="shared" si="41"/>
        <v>1.8075000000000001</v>
      </c>
      <c r="I113" s="119"/>
      <c r="J113" s="119"/>
      <c r="K113" s="280">
        <f t="shared" si="26"/>
        <v>0.01</v>
      </c>
      <c r="L113" s="281">
        <f t="shared" si="26"/>
        <v>1.8075000000000001</v>
      </c>
      <c r="M113" s="494">
        <v>0.02</v>
      </c>
      <c r="N113" s="216">
        <f t="shared" si="27"/>
        <v>0.61067272727272737</v>
      </c>
      <c r="O113" s="216"/>
      <c r="P113" s="216">
        <f t="shared" si="28"/>
        <v>0</v>
      </c>
      <c r="Q113" s="216"/>
      <c r="R113" s="216">
        <f t="shared" si="29"/>
        <v>0</v>
      </c>
      <c r="S113" s="216"/>
      <c r="T113" s="216">
        <f t="shared" si="30"/>
        <v>0</v>
      </c>
      <c r="U113" s="216"/>
      <c r="V113" s="216">
        <f t="shared" si="31"/>
        <v>0</v>
      </c>
      <c r="W113" s="216"/>
      <c r="X113" s="216">
        <f t="shared" si="32"/>
        <v>0</v>
      </c>
      <c r="Y113" s="124">
        <f t="shared" si="25"/>
        <v>0.02</v>
      </c>
      <c r="Z113" s="282">
        <f t="shared" si="25"/>
        <v>0.61067272727272737</v>
      </c>
      <c r="AA113" s="215"/>
      <c r="AB113" s="216">
        <f t="shared" si="33"/>
        <v>0</v>
      </c>
      <c r="AC113" s="215"/>
      <c r="AD113" s="216">
        <f t="shared" si="34"/>
        <v>0</v>
      </c>
      <c r="AE113" s="215"/>
      <c r="AF113" s="216">
        <f t="shared" si="35"/>
        <v>0</v>
      </c>
      <c r="AG113" s="215"/>
      <c r="AH113" s="216">
        <f t="shared" si="36"/>
        <v>0</v>
      </c>
      <c r="AI113" s="215"/>
      <c r="AJ113" s="216">
        <f t="shared" si="37"/>
        <v>0</v>
      </c>
      <c r="AK113" s="216"/>
      <c r="AL113" s="216">
        <f t="shared" si="38"/>
        <v>0</v>
      </c>
      <c r="AM113" s="124">
        <f t="shared" si="23"/>
        <v>0</v>
      </c>
      <c r="AN113" s="125">
        <f t="shared" si="23"/>
        <v>0</v>
      </c>
      <c r="AO113" s="283"/>
      <c r="AP113" s="216">
        <f t="shared" si="39"/>
        <v>0</v>
      </c>
      <c r="AQ113" s="124">
        <f t="shared" si="40"/>
        <v>0</v>
      </c>
      <c r="AR113" s="284">
        <f t="shared" si="40"/>
        <v>0</v>
      </c>
      <c r="AS113" s="128">
        <f t="shared" si="24"/>
        <v>0.03</v>
      </c>
      <c r="AT113" s="129">
        <f t="shared" si="24"/>
        <v>2.4181727272727276</v>
      </c>
      <c r="AU113" s="130" t="s">
        <v>155</v>
      </c>
      <c r="AV113" s="56">
        <f t="shared" si="42"/>
        <v>0</v>
      </c>
    </row>
    <row r="114" spans="1:55" ht="15" customHeight="1" thickBot="1" x14ac:dyDescent="0.5">
      <c r="A114" s="217" t="s">
        <v>380</v>
      </c>
      <c r="B114" s="218"/>
      <c r="C114" s="219"/>
      <c r="D114" s="218"/>
      <c r="E114" s="220"/>
      <c r="F114" s="221"/>
      <c r="G114" s="226">
        <f>SUM(G14:G113)</f>
        <v>1.0000000000000002</v>
      </c>
      <c r="H114" s="227">
        <f>SUM(H14:H113)</f>
        <v>180.75000000000003</v>
      </c>
      <c r="I114" s="227"/>
      <c r="J114" s="227"/>
      <c r="K114" s="224">
        <f t="shared" si="26"/>
        <v>1.0000000000000002</v>
      </c>
      <c r="L114" s="285">
        <f t="shared" si="26"/>
        <v>180.75000000000003</v>
      </c>
      <c r="M114" s="227">
        <f t="shared" ref="M114:AT114" si="43">SUM(M14:M113)</f>
        <v>1.0000000000000007</v>
      </c>
      <c r="N114" s="227">
        <f t="shared" si="43"/>
        <v>30.53363636363639</v>
      </c>
      <c r="O114" s="227">
        <f t="shared" si="43"/>
        <v>1.0000000000000004</v>
      </c>
      <c r="P114" s="227">
        <f t="shared" si="43"/>
        <v>30.53363636363639</v>
      </c>
      <c r="Q114" s="227">
        <f t="shared" si="43"/>
        <v>1.0000000000000004</v>
      </c>
      <c r="R114" s="227">
        <f t="shared" si="43"/>
        <v>30.533636363636393</v>
      </c>
      <c r="S114" s="227">
        <f t="shared" si="43"/>
        <v>1.0000000000000004</v>
      </c>
      <c r="T114" s="227">
        <f t="shared" si="43"/>
        <v>30.53363636363639</v>
      </c>
      <c r="U114" s="227">
        <f t="shared" si="43"/>
        <v>1.0000000000000004</v>
      </c>
      <c r="V114" s="227">
        <f t="shared" si="43"/>
        <v>30.53363636363639</v>
      </c>
      <c r="W114" s="227">
        <f t="shared" si="43"/>
        <v>1.0000000000000004</v>
      </c>
      <c r="X114" s="227">
        <f t="shared" si="43"/>
        <v>30.533636363636393</v>
      </c>
      <c r="Y114" s="228">
        <f t="shared" si="43"/>
        <v>5.999999999999992</v>
      </c>
      <c r="Z114" s="286">
        <f t="shared" si="43"/>
        <v>183.20181818181814</v>
      </c>
      <c r="AA114" s="226">
        <f t="shared" si="43"/>
        <v>1.0000000000000002</v>
      </c>
      <c r="AB114" s="227">
        <f t="shared" si="43"/>
        <v>30.533636363636383</v>
      </c>
      <c r="AC114" s="227">
        <f t="shared" si="43"/>
        <v>1.0000000000000002</v>
      </c>
      <c r="AD114" s="227">
        <f t="shared" si="43"/>
        <v>30.533636363636379</v>
      </c>
      <c r="AE114" s="227">
        <f t="shared" si="43"/>
        <v>1.0000000000000004</v>
      </c>
      <c r="AF114" s="227">
        <f t="shared" si="43"/>
        <v>30.533636363636379</v>
      </c>
      <c r="AG114" s="227">
        <f t="shared" si="43"/>
        <v>1.0000000000000004</v>
      </c>
      <c r="AH114" s="227">
        <f t="shared" si="43"/>
        <v>30.533636363636379</v>
      </c>
      <c r="AI114" s="227">
        <f t="shared" si="43"/>
        <v>1.0000000000000004</v>
      </c>
      <c r="AJ114" s="227">
        <f t="shared" si="43"/>
        <v>30.533636363636379</v>
      </c>
      <c r="AK114" s="227">
        <f t="shared" si="43"/>
        <v>1.0000000000000002</v>
      </c>
      <c r="AL114" s="227">
        <f t="shared" si="43"/>
        <v>30.533636363636372</v>
      </c>
      <c r="AM114" s="228">
        <f t="shared" si="43"/>
        <v>4.9999999999999982</v>
      </c>
      <c r="AN114" s="229">
        <f t="shared" si="43"/>
        <v>152.66818181818186</v>
      </c>
      <c r="AO114" s="287">
        <f t="shared" si="43"/>
        <v>1</v>
      </c>
      <c r="AP114" s="227">
        <f t="shared" si="43"/>
        <v>91.5</v>
      </c>
      <c r="AQ114" s="228">
        <f t="shared" si="43"/>
        <v>1</v>
      </c>
      <c r="AR114" s="288">
        <f t="shared" si="43"/>
        <v>91.5</v>
      </c>
      <c r="AS114" s="232">
        <f t="shared" si="43"/>
        <v>13.000000000000002</v>
      </c>
      <c r="AT114" s="233">
        <f t="shared" si="43"/>
        <v>608.11999999999978</v>
      </c>
      <c r="AU114" s="234">
        <f>COUNTIF(AU14:AU113,"●")</f>
        <v>6</v>
      </c>
      <c r="AV114" s="289">
        <f>SUM(AV14:AV113)</f>
        <v>8.5494181818181829</v>
      </c>
    </row>
    <row r="115" spans="1:55" x14ac:dyDescent="0.45">
      <c r="A115"/>
      <c r="B115"/>
      <c r="C115"/>
      <c r="D115" s="236" t="s">
        <v>381</v>
      </c>
      <c r="E115"/>
      <c r="F115"/>
      <c r="AV115" s="29">
        <f>AV114*1000</f>
        <v>8549.4181818181823</v>
      </c>
      <c r="BC115" s="290">
        <f>AV114/AT114</f>
        <v>1.4058768305298602E-2</v>
      </c>
    </row>
    <row r="116" spans="1:55" x14ac:dyDescent="0.45">
      <c r="A116"/>
      <c r="B116"/>
      <c r="C116"/>
      <c r="D116" s="238" t="s">
        <v>382</v>
      </c>
      <c r="E116"/>
      <c r="F116"/>
    </row>
    <row r="117" spans="1:55" x14ac:dyDescent="0.45">
      <c r="A117"/>
      <c r="B117"/>
      <c r="C117"/>
      <c r="D117" s="238" t="s">
        <v>383</v>
      </c>
      <c r="E117"/>
      <c r="F117"/>
    </row>
  </sheetData>
  <mergeCells count="52">
    <mergeCell ref="AK11:AL11"/>
    <mergeCell ref="AM11:AN11"/>
    <mergeCell ref="AO11:AP11"/>
    <mergeCell ref="AA11:AB11"/>
    <mergeCell ref="AC11:AD11"/>
    <mergeCell ref="AE11:AF11"/>
    <mergeCell ref="AG11:AH11"/>
    <mergeCell ref="AI11:AJ11"/>
    <mergeCell ref="AA10:AN10"/>
    <mergeCell ref="AO10:AR10"/>
    <mergeCell ref="AS10:AT11"/>
    <mergeCell ref="G11:H11"/>
    <mergeCell ref="I11:J11"/>
    <mergeCell ref="K11:L11"/>
    <mergeCell ref="M11:N11"/>
    <mergeCell ref="O11:P11"/>
    <mergeCell ref="Q11:R11"/>
    <mergeCell ref="S11:T11"/>
    <mergeCell ref="G10:L10"/>
    <mergeCell ref="M10:Z10"/>
    <mergeCell ref="AQ11:AR11"/>
    <mergeCell ref="U11:V11"/>
    <mergeCell ref="W11:X11"/>
    <mergeCell ref="Y11:Z11"/>
    <mergeCell ref="G7:L7"/>
    <mergeCell ref="M7:N7"/>
    <mergeCell ref="O7:Q7"/>
    <mergeCell ref="R7:T7"/>
    <mergeCell ref="Y7:Z7"/>
    <mergeCell ref="A5:E6"/>
    <mergeCell ref="G5:L5"/>
    <mergeCell ref="M5:N5"/>
    <mergeCell ref="O5:Q5"/>
    <mergeCell ref="R5:T5"/>
    <mergeCell ref="G6:L6"/>
    <mergeCell ref="M6:N6"/>
    <mergeCell ref="O6:Q6"/>
    <mergeCell ref="R6:T6"/>
    <mergeCell ref="G3:L3"/>
    <mergeCell ref="M3:N3"/>
    <mergeCell ref="O3:Q3"/>
    <mergeCell ref="R3:T3"/>
    <mergeCell ref="G4:L4"/>
    <mergeCell ref="M4:N4"/>
    <mergeCell ref="O4:Q4"/>
    <mergeCell ref="R4:T4"/>
    <mergeCell ref="G1:L2"/>
    <mergeCell ref="M1:N2"/>
    <mergeCell ref="O1:T1"/>
    <mergeCell ref="AU1:AV1"/>
    <mergeCell ref="O2:Q2"/>
    <mergeCell ref="R2:T2"/>
  </mergeCells>
  <phoneticPr fontId="5"/>
  <dataValidations count="1">
    <dataValidation type="list" allowBlank="1" showInputMessage="1" showErrorMessage="1" sqref="AU14:AU113" xr:uid="{A5A014DF-A667-4D84-8891-3FAAB3508DA8}">
      <formula1>$BB$14:$BB$15</formula1>
    </dataValidation>
  </dataValidations>
  <printOptions horizontalCentered="1"/>
  <pageMargins left="0" right="0" top="0.39370078740157483" bottom="0" header="0" footer="0"/>
  <pageSetup paperSize="8" scale="43" orientation="landscape" r:id="rId1"/>
  <headerFooter>
    <oddHeader>&amp;L&amp;F＆/&amp;A</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83BC4-C950-47A6-BAB4-98F419347EAF}">
  <sheetPr>
    <pageSetUpPr fitToPage="1"/>
  </sheetPr>
  <dimension ref="B1:AP76"/>
  <sheetViews>
    <sheetView zoomScale="90" zoomScaleNormal="90" workbookViewId="0">
      <selection activeCell="K1" sqref="K1"/>
    </sheetView>
  </sheetViews>
  <sheetFormatPr defaultColWidth="8" defaultRowHeight="18" outlineLevelCol="1" x14ac:dyDescent="0.45"/>
  <cols>
    <col min="1" max="1" width="1" style="292" customWidth="1"/>
    <col min="2" max="2" width="12" style="292" customWidth="1"/>
    <col min="3" max="3" width="4.19921875" style="292" customWidth="1"/>
    <col min="4" max="5" width="4.796875" style="292" customWidth="1"/>
    <col min="6" max="6" width="8.09765625" style="292" customWidth="1"/>
    <col min="7" max="7" width="6.19921875" style="292" bestFit="1" customWidth="1"/>
    <col min="8" max="8" width="4.796875" style="293" customWidth="1"/>
    <col min="9" max="10" width="4.796875" style="292" customWidth="1"/>
    <col min="11" max="11" width="7.796875" style="292" customWidth="1"/>
    <col min="12" max="12" width="6.3984375" style="292" customWidth="1"/>
    <col min="13" max="13" width="5.8984375" style="292" customWidth="1"/>
    <col min="14" max="16" width="4.796875" style="292" customWidth="1"/>
    <col min="17" max="18" width="6.3984375" style="292" customWidth="1"/>
    <col min="19" max="25" width="4.796875" style="292" customWidth="1"/>
    <col min="26" max="26" width="14.796875" style="292" bestFit="1" customWidth="1"/>
    <col min="27" max="30" width="4.796875" style="292" customWidth="1"/>
    <col min="31" max="31" width="4.69921875" style="292" bestFit="1" customWidth="1"/>
    <col min="32" max="32" width="6.3984375" style="463" customWidth="1"/>
    <col min="33" max="33" width="6.3984375" style="293" customWidth="1"/>
    <col min="34" max="34" width="8" style="292" customWidth="1" outlineLevel="1"/>
    <col min="35" max="16384" width="8" style="292"/>
  </cols>
  <sheetData>
    <row r="1" spans="2:42" ht="22.8" thickBot="1" x14ac:dyDescent="0.5">
      <c r="B1" s="291" t="s">
        <v>576</v>
      </c>
      <c r="AC1" s="294"/>
      <c r="AD1" s="294"/>
      <c r="AE1" s="645">
        <v>45271</v>
      </c>
      <c r="AF1" s="645"/>
      <c r="AG1" s="645"/>
      <c r="AL1" s="646"/>
      <c r="AM1" s="646"/>
      <c r="AN1" s="646"/>
      <c r="AO1" s="295"/>
      <c r="AP1" s="295"/>
    </row>
    <row r="2" spans="2:42" ht="18.600000000000001" thickBot="1" x14ac:dyDescent="0.5">
      <c r="B2" s="292" t="s">
        <v>400</v>
      </c>
      <c r="D2" s="643" t="s">
        <v>401</v>
      </c>
      <c r="E2" s="644"/>
      <c r="F2" s="647"/>
      <c r="G2" s="644"/>
      <c r="H2" s="648"/>
      <c r="I2" s="649" t="s">
        <v>402</v>
      </c>
      <c r="J2" s="644"/>
      <c r="K2" s="647"/>
      <c r="L2" s="644"/>
      <c r="M2" s="648"/>
      <c r="N2" s="649" t="s">
        <v>403</v>
      </c>
      <c r="O2" s="644"/>
      <c r="P2" s="647"/>
      <c r="Q2" s="644"/>
      <c r="R2" s="650"/>
      <c r="S2" s="651" t="s">
        <v>404</v>
      </c>
      <c r="T2" s="652"/>
      <c r="U2" s="653"/>
      <c r="V2" s="652"/>
      <c r="W2" s="654"/>
      <c r="X2" s="651" t="s">
        <v>405</v>
      </c>
      <c r="Y2" s="652"/>
      <c r="Z2" s="653"/>
      <c r="AA2" s="652"/>
      <c r="AB2" s="654"/>
      <c r="AC2" s="635" t="s">
        <v>406</v>
      </c>
      <c r="AD2" s="635"/>
      <c r="AE2" s="638"/>
      <c r="AF2" s="635"/>
      <c r="AG2" s="655"/>
    </row>
    <row r="3" spans="2:42" s="296" customFormat="1" x14ac:dyDescent="0.45">
      <c r="B3" s="296" t="s">
        <v>407</v>
      </c>
      <c r="D3" s="297" t="s">
        <v>410</v>
      </c>
      <c r="E3" s="522" t="s">
        <v>577</v>
      </c>
      <c r="F3" s="299" t="s">
        <v>578</v>
      </c>
      <c r="G3" s="523" t="s">
        <v>411</v>
      </c>
      <c r="H3" s="301" t="s">
        <v>412</v>
      </c>
      <c r="I3" s="302" t="s">
        <v>410</v>
      </c>
      <c r="J3" s="522" t="s">
        <v>577</v>
      </c>
      <c r="K3" s="299" t="s">
        <v>578</v>
      </c>
      <c r="L3" s="523" t="s">
        <v>411</v>
      </c>
      <c r="M3" s="301" t="s">
        <v>412</v>
      </c>
      <c r="N3" s="302" t="s">
        <v>410</v>
      </c>
      <c r="O3" s="522" t="s">
        <v>577</v>
      </c>
      <c r="P3" s="299" t="s">
        <v>578</v>
      </c>
      <c r="Q3" s="523" t="s">
        <v>411</v>
      </c>
      <c r="R3" s="303" t="s">
        <v>412</v>
      </c>
      <c r="S3" s="297" t="s">
        <v>410</v>
      </c>
      <c r="T3" s="522" t="s">
        <v>577</v>
      </c>
      <c r="U3" s="299" t="s">
        <v>578</v>
      </c>
      <c r="V3" s="523" t="s">
        <v>411</v>
      </c>
      <c r="W3" s="303" t="s">
        <v>412</v>
      </c>
      <c r="X3" s="297" t="s">
        <v>410</v>
      </c>
      <c r="Y3" s="522" t="s">
        <v>577</v>
      </c>
      <c r="Z3" s="299" t="s">
        <v>578</v>
      </c>
      <c r="AA3" s="523" t="s">
        <v>411</v>
      </c>
      <c r="AB3" s="303" t="s">
        <v>412</v>
      </c>
      <c r="AC3" s="297" t="s">
        <v>410</v>
      </c>
      <c r="AD3" s="522" t="s">
        <v>577</v>
      </c>
      <c r="AE3" s="299" t="s">
        <v>578</v>
      </c>
      <c r="AF3" s="304" t="s">
        <v>411</v>
      </c>
      <c r="AG3" s="305" t="s">
        <v>412</v>
      </c>
    </row>
    <row r="4" spans="2:42" s="296" customFormat="1" ht="18.600000000000001" thickBot="1" x14ac:dyDescent="0.5">
      <c r="D4" s="306" t="s">
        <v>413</v>
      </c>
      <c r="E4" s="524" t="s">
        <v>414</v>
      </c>
      <c r="F4" s="308" t="s">
        <v>415</v>
      </c>
      <c r="G4" s="309" t="s">
        <v>416</v>
      </c>
      <c r="H4" s="310" t="s">
        <v>417</v>
      </c>
      <c r="I4" s="311" t="s">
        <v>413</v>
      </c>
      <c r="J4" s="524" t="s">
        <v>414</v>
      </c>
      <c r="K4" s="308" t="s">
        <v>415</v>
      </c>
      <c r="L4" s="309" t="s">
        <v>416</v>
      </c>
      <c r="M4" s="310" t="s">
        <v>417</v>
      </c>
      <c r="N4" s="311" t="s">
        <v>413</v>
      </c>
      <c r="O4" s="524" t="s">
        <v>414</v>
      </c>
      <c r="P4" s="308" t="s">
        <v>415</v>
      </c>
      <c r="Q4" s="309" t="s">
        <v>416</v>
      </c>
      <c r="R4" s="312" t="s">
        <v>417</v>
      </c>
      <c r="S4" s="306" t="s">
        <v>413</v>
      </c>
      <c r="T4" s="524" t="s">
        <v>414</v>
      </c>
      <c r="U4" s="308" t="s">
        <v>415</v>
      </c>
      <c r="V4" s="309" t="s">
        <v>416</v>
      </c>
      <c r="W4" s="312" t="s">
        <v>417</v>
      </c>
      <c r="X4" s="306" t="s">
        <v>413</v>
      </c>
      <c r="Y4" s="524" t="s">
        <v>414</v>
      </c>
      <c r="Z4" s="308" t="s">
        <v>415</v>
      </c>
      <c r="AA4" s="309" t="s">
        <v>416</v>
      </c>
      <c r="AB4" s="312" t="s">
        <v>417</v>
      </c>
      <c r="AC4" s="309" t="s">
        <v>413</v>
      </c>
      <c r="AD4" s="524" t="s">
        <v>414</v>
      </c>
      <c r="AE4" s="308" t="s">
        <v>415</v>
      </c>
      <c r="AF4" s="313" t="s">
        <v>416</v>
      </c>
      <c r="AG4" s="310" t="s">
        <v>417</v>
      </c>
    </row>
    <row r="5" spans="2:42" ht="18.600000000000001" thickBot="1" x14ac:dyDescent="0.5">
      <c r="B5" s="639" t="s">
        <v>418</v>
      </c>
      <c r="C5" s="640"/>
      <c r="D5" s="314">
        <v>12</v>
      </c>
      <c r="E5" s="315">
        <f>D5</f>
        <v>12</v>
      </c>
      <c r="F5" s="664">
        <v>13</v>
      </c>
      <c r="G5" s="317">
        <f>+F5-E5</f>
        <v>1</v>
      </c>
      <c r="H5" s="318">
        <f>IF(E5=0,"",F5/E5)</f>
        <v>1.0833333333333333</v>
      </c>
      <c r="I5" s="319">
        <v>10</v>
      </c>
      <c r="J5" s="315">
        <f>I5</f>
        <v>10</v>
      </c>
      <c r="K5" s="664">
        <v>12</v>
      </c>
      <c r="L5" s="317">
        <f>+K5-J5</f>
        <v>2</v>
      </c>
      <c r="M5" s="318">
        <f>IF(J5=0,"",K5/J5)</f>
        <v>1.2</v>
      </c>
      <c r="N5" s="319">
        <f>+I5+D5</f>
        <v>22</v>
      </c>
      <c r="O5" s="315">
        <f>+J5+E5</f>
        <v>22</v>
      </c>
      <c r="P5" s="316">
        <f>+K5+F5</f>
        <v>25</v>
      </c>
      <c r="Q5" s="317">
        <f>+L5+G5</f>
        <v>3</v>
      </c>
      <c r="R5" s="320">
        <f>IF(O5=0,"",P5/O5)</f>
        <v>1.1363636363636365</v>
      </c>
      <c r="S5" s="314">
        <v>0</v>
      </c>
      <c r="T5" s="315">
        <f>S5</f>
        <v>0</v>
      </c>
      <c r="U5" s="316">
        <v>0</v>
      </c>
      <c r="V5" s="317">
        <f>+U5-T5</f>
        <v>0</v>
      </c>
      <c r="W5" s="320" t="str">
        <f>IF(T5=0,"",U5/T5)</f>
        <v/>
      </c>
      <c r="X5" s="314">
        <v>0</v>
      </c>
      <c r="Y5" s="315">
        <f>X5</f>
        <v>0</v>
      </c>
      <c r="Z5" s="316">
        <v>0</v>
      </c>
      <c r="AA5" s="317">
        <f>+Z5-Y5</f>
        <v>0</v>
      </c>
      <c r="AB5" s="320" t="str">
        <f>IF(Y5=0,"",Z5/Y5)</f>
        <v/>
      </c>
      <c r="AC5" s="317">
        <f>+N5+S5+X5</f>
        <v>22</v>
      </c>
      <c r="AD5" s="315">
        <f t="shared" ref="AD5:AE5" si="0">+O5+T5+Y5</f>
        <v>22</v>
      </c>
      <c r="AE5" s="316">
        <f t="shared" si="0"/>
        <v>25</v>
      </c>
      <c r="AF5" s="317">
        <f>AE5-AD5</f>
        <v>3</v>
      </c>
      <c r="AG5" s="320">
        <f>IF(AD5=0,"",AE5/AD5)</f>
        <v>1.1363636363636365</v>
      </c>
    </row>
    <row r="6" spans="2:42" s="329" customFormat="1" ht="15.6" customHeight="1" x14ac:dyDescent="0.45">
      <c r="B6" s="321"/>
      <c r="C6" s="322"/>
      <c r="D6" s="323"/>
      <c r="E6" s="324"/>
      <c r="F6" s="325" t="s">
        <v>579</v>
      </c>
      <c r="G6" s="324"/>
      <c r="H6" s="326"/>
      <c r="I6" s="327"/>
      <c r="J6" s="324"/>
      <c r="K6" s="325" t="s">
        <v>579</v>
      </c>
      <c r="L6" s="324"/>
      <c r="M6" s="326"/>
      <c r="N6" s="327"/>
      <c r="O6" s="324"/>
      <c r="P6" s="324"/>
      <c r="Q6" s="324"/>
      <c r="R6" s="328"/>
      <c r="S6" s="323"/>
      <c r="T6" s="324"/>
      <c r="U6" s="324"/>
      <c r="V6" s="324"/>
      <c r="W6" s="328"/>
      <c r="X6" s="323"/>
      <c r="Y6" s="324"/>
      <c r="Z6" s="324"/>
      <c r="AA6" s="324"/>
      <c r="AB6" s="328"/>
      <c r="AC6" s="324"/>
      <c r="AD6" s="324"/>
      <c r="AE6" s="324"/>
      <c r="AF6" s="324"/>
      <c r="AG6" s="326"/>
    </row>
    <row r="7" spans="2:42" x14ac:dyDescent="0.45">
      <c r="B7" s="636" t="s">
        <v>420</v>
      </c>
      <c r="C7" s="635"/>
      <c r="D7" s="330">
        <v>216.84060041086963</v>
      </c>
      <c r="E7" s="331">
        <f>D7</f>
        <v>216.84060041086963</v>
      </c>
      <c r="F7" s="332">
        <v>221.36</v>
      </c>
      <c r="G7" s="333">
        <f t="shared" ref="G7:G10" si="1">+F7-E7</f>
        <v>4.5193995891303871</v>
      </c>
      <c r="H7" s="334">
        <f t="shared" ref="H7:H10" si="2">IF(E7=0,"",F7/E7)</f>
        <v>1.0208420359497576</v>
      </c>
      <c r="I7" s="335">
        <v>194.25666639217397</v>
      </c>
      <c r="J7" s="331">
        <f t="shared" ref="J7:J9" si="3">I7</f>
        <v>194.25666639217397</v>
      </c>
      <c r="K7" s="332">
        <v>230.33</v>
      </c>
      <c r="L7" s="333">
        <f t="shared" ref="L7:L25" si="4">+K7-J7</f>
        <v>36.073333607826044</v>
      </c>
      <c r="M7" s="334">
        <f t="shared" ref="M7:M10" si="5">IF(J7=0,"",K7/J7)</f>
        <v>1.1856993341736835</v>
      </c>
      <c r="N7" s="335">
        <f t="shared" ref="N7:Q10" si="6">+I7+D7</f>
        <v>411.09726680304357</v>
      </c>
      <c r="O7" s="331">
        <f t="shared" si="6"/>
        <v>411.09726680304357</v>
      </c>
      <c r="P7" s="332">
        <f t="shared" si="6"/>
        <v>451.69000000000005</v>
      </c>
      <c r="Q7" s="333">
        <f t="shared" si="6"/>
        <v>40.592733196956431</v>
      </c>
      <c r="R7" s="336">
        <f t="shared" ref="R7:R10" si="7">IF(O7=0,"",P7/O7)</f>
        <v>1.0987424059338358</v>
      </c>
      <c r="S7" s="330">
        <v>0</v>
      </c>
      <c r="T7" s="331">
        <f t="shared" ref="T7:T9" si="8">S7</f>
        <v>0</v>
      </c>
      <c r="U7" s="332">
        <v>0</v>
      </c>
      <c r="V7" s="333">
        <f t="shared" ref="V7:V10" si="9">+U7-T7</f>
        <v>0</v>
      </c>
      <c r="W7" s="336" t="str">
        <f t="shared" ref="W7:W10" si="10">IF(T7=0,"",U7/T7)</f>
        <v/>
      </c>
      <c r="X7" s="330">
        <v>0</v>
      </c>
      <c r="Y7" s="331">
        <f t="shared" ref="Y7:Y9" si="11">X7</f>
        <v>0</v>
      </c>
      <c r="Z7" s="332">
        <v>0</v>
      </c>
      <c r="AA7" s="333">
        <f t="shared" ref="AA7:AA10" si="12">+Z7-Y7</f>
        <v>0</v>
      </c>
      <c r="AB7" s="336" t="str">
        <f t="shared" ref="AB7:AB10" si="13">IF(Y7=0,"",Z7/Y7)</f>
        <v/>
      </c>
      <c r="AC7" s="333">
        <f t="shared" ref="AC7:AE10" si="14">+N7+S7+X7</f>
        <v>411.09726680304357</v>
      </c>
      <c r="AD7" s="331">
        <f t="shared" si="14"/>
        <v>411.09726680304357</v>
      </c>
      <c r="AE7" s="332">
        <f t="shared" si="14"/>
        <v>451.69000000000005</v>
      </c>
      <c r="AF7" s="333">
        <f t="shared" ref="AF7:AF10" si="15">AE7-AD7</f>
        <v>40.592733196956488</v>
      </c>
      <c r="AG7" s="334">
        <f t="shared" ref="AG7:AG10" si="16">IF(AD7=0,"",AE7/AD7)</f>
        <v>1.0987424059338358</v>
      </c>
    </row>
    <row r="8" spans="2:42" x14ac:dyDescent="0.45">
      <c r="B8" s="636" t="s">
        <v>421</v>
      </c>
      <c r="C8" s="635"/>
      <c r="D8" s="330">
        <v>33.565217391304351</v>
      </c>
      <c r="E8" s="331">
        <f t="shared" ref="E8:E9" si="17">D8</f>
        <v>33.565217391304351</v>
      </c>
      <c r="F8" s="332">
        <v>33.6</v>
      </c>
      <c r="G8" s="333">
        <f t="shared" si="1"/>
        <v>3.4782608695650197E-2</v>
      </c>
      <c r="H8" s="334">
        <f t="shared" si="2"/>
        <v>1.0010362694300519</v>
      </c>
      <c r="I8" s="335">
        <v>30.869565217391305</v>
      </c>
      <c r="J8" s="331">
        <f t="shared" si="3"/>
        <v>30.869565217391305</v>
      </c>
      <c r="K8" s="332">
        <v>30.87</v>
      </c>
      <c r="L8" s="333">
        <f t="shared" si="4"/>
        <v>4.34782608696338E-4</v>
      </c>
      <c r="M8" s="334">
        <f t="shared" si="5"/>
        <v>1.0000140845070422</v>
      </c>
      <c r="N8" s="335">
        <f t="shared" si="6"/>
        <v>64.434782608695656</v>
      </c>
      <c r="O8" s="331">
        <f t="shared" si="6"/>
        <v>64.434782608695656</v>
      </c>
      <c r="P8" s="332">
        <f t="shared" si="6"/>
        <v>64.47</v>
      </c>
      <c r="Q8" s="333">
        <f t="shared" si="6"/>
        <v>3.5217391304346535E-2</v>
      </c>
      <c r="R8" s="336">
        <f t="shared" si="7"/>
        <v>1.0005465587044533</v>
      </c>
      <c r="S8" s="330">
        <v>0</v>
      </c>
      <c r="T8" s="331">
        <f t="shared" si="8"/>
        <v>0</v>
      </c>
      <c r="U8" s="332">
        <v>0</v>
      </c>
      <c r="V8" s="333">
        <f t="shared" si="9"/>
        <v>0</v>
      </c>
      <c r="W8" s="336" t="str">
        <f t="shared" si="10"/>
        <v/>
      </c>
      <c r="X8" s="330">
        <v>0</v>
      </c>
      <c r="Y8" s="331">
        <f t="shared" si="11"/>
        <v>0</v>
      </c>
      <c r="Z8" s="332">
        <v>0</v>
      </c>
      <c r="AA8" s="333">
        <f t="shared" si="12"/>
        <v>0</v>
      </c>
      <c r="AB8" s="336" t="str">
        <f t="shared" si="13"/>
        <v/>
      </c>
      <c r="AC8" s="333">
        <f t="shared" si="14"/>
        <v>64.434782608695656</v>
      </c>
      <c r="AD8" s="331">
        <f t="shared" si="14"/>
        <v>64.434782608695656</v>
      </c>
      <c r="AE8" s="332">
        <f t="shared" si="14"/>
        <v>64.47</v>
      </c>
      <c r="AF8" s="333">
        <f t="shared" si="15"/>
        <v>3.5217391304342982E-2</v>
      </c>
      <c r="AG8" s="334">
        <f t="shared" si="16"/>
        <v>1.0005465587044533</v>
      </c>
    </row>
    <row r="9" spans="2:42" ht="18.600000000000001" thickBot="1" x14ac:dyDescent="0.5">
      <c r="B9" s="637" t="s">
        <v>422</v>
      </c>
      <c r="C9" s="638"/>
      <c r="D9" s="337">
        <v>11.869565217391305</v>
      </c>
      <c r="E9" s="338">
        <f t="shared" si="17"/>
        <v>11.869565217391305</v>
      </c>
      <c r="F9" s="339">
        <v>11.87</v>
      </c>
      <c r="G9" s="340">
        <f t="shared" si="1"/>
        <v>4.3478260869456165E-4</v>
      </c>
      <c r="H9" s="341">
        <f t="shared" si="2"/>
        <v>1.0000366300366299</v>
      </c>
      <c r="I9" s="342">
        <v>32.173913043478258</v>
      </c>
      <c r="J9" s="338">
        <f t="shared" si="3"/>
        <v>32.173913043478258</v>
      </c>
      <c r="K9" s="339">
        <v>32.17</v>
      </c>
      <c r="L9" s="340">
        <f t="shared" si="4"/>
        <v>-3.9130434782563839E-3</v>
      </c>
      <c r="M9" s="341">
        <f t="shared" si="5"/>
        <v>0.99987837837837856</v>
      </c>
      <c r="N9" s="342">
        <f t="shared" si="6"/>
        <v>44.043478260869563</v>
      </c>
      <c r="O9" s="338">
        <f t="shared" si="6"/>
        <v>44.043478260869563</v>
      </c>
      <c r="P9" s="339">
        <f t="shared" si="6"/>
        <v>44.04</v>
      </c>
      <c r="Q9" s="340">
        <f t="shared" si="6"/>
        <v>-3.4782608695618222E-3</v>
      </c>
      <c r="R9" s="343">
        <f t="shared" si="7"/>
        <v>0.99992102665350446</v>
      </c>
      <c r="S9" s="337">
        <v>0</v>
      </c>
      <c r="T9" s="338">
        <f t="shared" si="8"/>
        <v>0</v>
      </c>
      <c r="U9" s="339">
        <v>0</v>
      </c>
      <c r="V9" s="340">
        <f t="shared" si="9"/>
        <v>0</v>
      </c>
      <c r="W9" s="343" t="str">
        <f t="shared" si="10"/>
        <v/>
      </c>
      <c r="X9" s="337">
        <v>0</v>
      </c>
      <c r="Y9" s="338">
        <f t="shared" si="11"/>
        <v>0</v>
      </c>
      <c r="Z9" s="339">
        <v>0</v>
      </c>
      <c r="AA9" s="340">
        <f t="shared" si="12"/>
        <v>0</v>
      </c>
      <c r="AB9" s="343" t="str">
        <f t="shared" si="13"/>
        <v/>
      </c>
      <c r="AC9" s="340">
        <f t="shared" si="14"/>
        <v>44.043478260869563</v>
      </c>
      <c r="AD9" s="338">
        <f t="shared" si="14"/>
        <v>44.043478260869563</v>
      </c>
      <c r="AE9" s="339">
        <f t="shared" si="14"/>
        <v>44.04</v>
      </c>
      <c r="AF9" s="340">
        <f t="shared" si="15"/>
        <v>-3.4782608695635986E-3</v>
      </c>
      <c r="AG9" s="341">
        <f t="shared" si="16"/>
        <v>0.99992102665350446</v>
      </c>
    </row>
    <row r="10" spans="2:42" ht="18.600000000000001" thickBot="1" x14ac:dyDescent="0.5">
      <c r="B10" s="639" t="s">
        <v>423</v>
      </c>
      <c r="C10" s="640"/>
      <c r="D10" s="314">
        <f>SUM(D7:D9)</f>
        <v>262.27538301956525</v>
      </c>
      <c r="E10" s="315">
        <f>SUM(E7:E9)</f>
        <v>262.27538301956525</v>
      </c>
      <c r="F10" s="316">
        <f>SUM(F7:F9)</f>
        <v>266.83</v>
      </c>
      <c r="G10" s="317">
        <f t="shared" si="1"/>
        <v>4.5546169804347301</v>
      </c>
      <c r="H10" s="318">
        <f t="shared" si="2"/>
        <v>1.017365781446957</v>
      </c>
      <c r="I10" s="319">
        <f t="shared" ref="I10:J10" si="18">SUM(I7:I9)</f>
        <v>257.30014465304356</v>
      </c>
      <c r="J10" s="315">
        <f t="shared" si="18"/>
        <v>257.30014465304356</v>
      </c>
      <c r="K10" s="316">
        <f>SUM(K7:K9)</f>
        <v>293.37</v>
      </c>
      <c r="L10" s="317">
        <f t="shared" si="4"/>
        <v>36.069855346956444</v>
      </c>
      <c r="M10" s="318">
        <f t="shared" si="5"/>
        <v>1.1401859116542465</v>
      </c>
      <c r="N10" s="319">
        <f t="shared" si="6"/>
        <v>519.57552767260881</v>
      </c>
      <c r="O10" s="315">
        <f t="shared" si="6"/>
        <v>519.57552767260881</v>
      </c>
      <c r="P10" s="316">
        <f t="shared" si="6"/>
        <v>560.20000000000005</v>
      </c>
      <c r="Q10" s="317">
        <f t="shared" si="6"/>
        <v>40.624472327391175</v>
      </c>
      <c r="R10" s="320">
        <f t="shared" si="7"/>
        <v>1.07818780940158</v>
      </c>
      <c r="S10" s="314">
        <f t="shared" ref="S10:T10" si="19">SUM(S7:S9)</f>
        <v>0</v>
      </c>
      <c r="T10" s="315">
        <f t="shared" si="19"/>
        <v>0</v>
      </c>
      <c r="U10" s="316">
        <f>SUM(U7:U9)</f>
        <v>0</v>
      </c>
      <c r="V10" s="317">
        <f t="shared" si="9"/>
        <v>0</v>
      </c>
      <c r="W10" s="320" t="str">
        <f t="shared" si="10"/>
        <v/>
      </c>
      <c r="X10" s="314">
        <f t="shared" ref="X10:Y10" si="20">SUM(X7:X9)</f>
        <v>0</v>
      </c>
      <c r="Y10" s="315">
        <f t="shared" si="20"/>
        <v>0</v>
      </c>
      <c r="Z10" s="316">
        <f>SUM(Z7:Z9)</f>
        <v>0</v>
      </c>
      <c r="AA10" s="317">
        <f t="shared" si="12"/>
        <v>0</v>
      </c>
      <c r="AB10" s="320" t="str">
        <f t="shared" si="13"/>
        <v/>
      </c>
      <c r="AC10" s="317">
        <f t="shared" si="14"/>
        <v>519.57552767260881</v>
      </c>
      <c r="AD10" s="315">
        <f t="shared" si="14"/>
        <v>519.57552767260881</v>
      </c>
      <c r="AE10" s="316">
        <f t="shared" si="14"/>
        <v>560.20000000000005</v>
      </c>
      <c r="AF10" s="317">
        <f t="shared" si="15"/>
        <v>40.624472327391231</v>
      </c>
      <c r="AG10" s="320">
        <f t="shared" si="16"/>
        <v>1.07818780940158</v>
      </c>
    </row>
    <row r="11" spans="2:42" x14ac:dyDescent="0.45">
      <c r="B11" s="344"/>
      <c r="C11" s="345"/>
      <c r="D11" s="346"/>
      <c r="E11" s="347"/>
      <c r="F11" s="347"/>
      <c r="G11" s="347"/>
      <c r="H11" s="348"/>
      <c r="I11" s="349"/>
      <c r="J11" s="347"/>
      <c r="K11" s="347"/>
      <c r="L11" s="347"/>
      <c r="M11" s="348"/>
      <c r="N11" s="349"/>
      <c r="O11" s="347"/>
      <c r="P11" s="347"/>
      <c r="Q11" s="347"/>
      <c r="R11" s="350"/>
      <c r="S11" s="346"/>
      <c r="T11" s="347"/>
      <c r="U11" s="347"/>
      <c r="V11" s="347"/>
      <c r="W11" s="350"/>
      <c r="X11" s="346"/>
      <c r="Y11" s="347"/>
      <c r="Z11" s="347"/>
      <c r="AA11" s="347"/>
      <c r="AB11" s="350"/>
      <c r="AC11" s="347"/>
      <c r="AD11" s="347"/>
      <c r="AE11" s="347"/>
      <c r="AF11" s="347"/>
      <c r="AG11" s="348"/>
    </row>
    <row r="12" spans="2:42" x14ac:dyDescent="0.45">
      <c r="B12" s="636" t="s">
        <v>424</v>
      </c>
      <c r="C12" s="635"/>
      <c r="D12" s="330">
        <v>0</v>
      </c>
      <c r="E12" s="331">
        <f t="shared" ref="E12:F14" si="21">D12</f>
        <v>0</v>
      </c>
      <c r="F12" s="332">
        <f t="shared" si="21"/>
        <v>0</v>
      </c>
      <c r="G12" s="333">
        <f t="shared" ref="G12:G15" si="22">+F12-E12</f>
        <v>0</v>
      </c>
      <c r="H12" s="334" t="str">
        <f t="shared" ref="H12:H15" si="23">IF(E12=0,"",F12/E12)</f>
        <v/>
      </c>
      <c r="I12" s="335">
        <v>0</v>
      </c>
      <c r="J12" s="331">
        <f t="shared" ref="J12:K14" si="24">I12</f>
        <v>0</v>
      </c>
      <c r="K12" s="332">
        <f t="shared" si="24"/>
        <v>0</v>
      </c>
      <c r="L12" s="333">
        <f t="shared" si="4"/>
        <v>0</v>
      </c>
      <c r="M12" s="334" t="str">
        <f t="shared" ref="M12:M15" si="25">IF(J12=0,"",K12/J12)</f>
        <v/>
      </c>
      <c r="N12" s="335">
        <f t="shared" ref="N12:Q15" si="26">+I12+D12</f>
        <v>0</v>
      </c>
      <c r="O12" s="331">
        <f t="shared" si="26"/>
        <v>0</v>
      </c>
      <c r="P12" s="332">
        <f t="shared" si="26"/>
        <v>0</v>
      </c>
      <c r="Q12" s="333">
        <f t="shared" si="26"/>
        <v>0</v>
      </c>
      <c r="R12" s="336" t="str">
        <f t="shared" ref="R12:R15" si="27">IF(O12=0,"",P12/O12)</f>
        <v/>
      </c>
      <c r="S12" s="330">
        <v>0</v>
      </c>
      <c r="T12" s="331">
        <f t="shared" ref="T12:T14" si="28">S12</f>
        <v>0</v>
      </c>
      <c r="U12" s="332">
        <v>0</v>
      </c>
      <c r="V12" s="333">
        <f t="shared" ref="V12:V15" si="29">+U12-T12</f>
        <v>0</v>
      </c>
      <c r="W12" s="336" t="str">
        <f t="shared" ref="W12:W15" si="30">IF(T12=0,"",U12/T12)</f>
        <v/>
      </c>
      <c r="X12" s="330">
        <v>0</v>
      </c>
      <c r="Y12" s="331">
        <f t="shared" ref="Y12:Y14" si="31">X12</f>
        <v>0</v>
      </c>
      <c r="Z12" s="332">
        <v>0</v>
      </c>
      <c r="AA12" s="333">
        <f t="shared" ref="AA12:AA15" si="32">+Z12-Y12</f>
        <v>0</v>
      </c>
      <c r="AB12" s="336" t="str">
        <f t="shared" ref="AB12:AB15" si="33">IF(Y12=0,"",Z12/Y12)</f>
        <v/>
      </c>
      <c r="AC12" s="333">
        <f t="shared" ref="AC12:AE15" si="34">+N12+S12+X12</f>
        <v>0</v>
      </c>
      <c r="AD12" s="331">
        <f t="shared" si="34"/>
        <v>0</v>
      </c>
      <c r="AE12" s="332">
        <f t="shared" si="34"/>
        <v>0</v>
      </c>
      <c r="AF12" s="333">
        <f t="shared" ref="AF12:AF15" si="35">AE12-AD12</f>
        <v>0</v>
      </c>
      <c r="AG12" s="334" t="str">
        <f t="shared" ref="AG12:AG15" si="36">IF(AD12=0,"",AE12/AD12)</f>
        <v/>
      </c>
    </row>
    <row r="13" spans="2:42" x14ac:dyDescent="0.45">
      <c r="B13" s="636" t="s">
        <v>425</v>
      </c>
      <c r="C13" s="635"/>
      <c r="D13" s="330">
        <v>2.8260869565217392</v>
      </c>
      <c r="E13" s="331">
        <f t="shared" si="21"/>
        <v>2.8260869565217392</v>
      </c>
      <c r="F13" s="332">
        <v>6</v>
      </c>
      <c r="G13" s="333">
        <f t="shared" si="22"/>
        <v>3.1739130434782608</v>
      </c>
      <c r="H13" s="334">
        <f t="shared" si="23"/>
        <v>2.1230769230769231</v>
      </c>
      <c r="I13" s="335">
        <v>3.1956521739130435</v>
      </c>
      <c r="J13" s="331">
        <f t="shared" si="24"/>
        <v>3.1956521739130435</v>
      </c>
      <c r="K13" s="332">
        <v>0</v>
      </c>
      <c r="L13" s="333">
        <f t="shared" si="4"/>
        <v>-3.1956521739130435</v>
      </c>
      <c r="M13" s="334">
        <f t="shared" si="25"/>
        <v>0</v>
      </c>
      <c r="N13" s="335">
        <f t="shared" si="26"/>
        <v>6.0217391304347831</v>
      </c>
      <c r="O13" s="331">
        <f t="shared" si="26"/>
        <v>6.0217391304347831</v>
      </c>
      <c r="P13" s="332">
        <f t="shared" si="26"/>
        <v>6</v>
      </c>
      <c r="Q13" s="333">
        <f t="shared" si="26"/>
        <v>-2.1739130434782705E-2</v>
      </c>
      <c r="R13" s="336">
        <f t="shared" si="27"/>
        <v>0.99638989169675085</v>
      </c>
      <c r="S13" s="330">
        <v>0</v>
      </c>
      <c r="T13" s="331">
        <f t="shared" si="28"/>
        <v>0</v>
      </c>
      <c r="U13" s="332">
        <v>0</v>
      </c>
      <c r="V13" s="333">
        <f t="shared" si="29"/>
        <v>0</v>
      </c>
      <c r="W13" s="336" t="str">
        <f t="shared" si="30"/>
        <v/>
      </c>
      <c r="X13" s="330">
        <v>0</v>
      </c>
      <c r="Y13" s="331">
        <f t="shared" si="31"/>
        <v>0</v>
      </c>
      <c r="Z13" s="332">
        <v>0</v>
      </c>
      <c r="AA13" s="333">
        <f t="shared" si="32"/>
        <v>0</v>
      </c>
      <c r="AB13" s="336" t="str">
        <f t="shared" si="33"/>
        <v/>
      </c>
      <c r="AC13" s="333">
        <f t="shared" si="34"/>
        <v>6.0217391304347831</v>
      </c>
      <c r="AD13" s="331">
        <f t="shared" si="34"/>
        <v>6.0217391304347831</v>
      </c>
      <c r="AE13" s="332">
        <f t="shared" si="34"/>
        <v>6</v>
      </c>
      <c r="AF13" s="333">
        <f t="shared" si="35"/>
        <v>-2.1739130434783149E-2</v>
      </c>
      <c r="AG13" s="334">
        <f t="shared" si="36"/>
        <v>0.99638989169675085</v>
      </c>
    </row>
    <row r="14" spans="2:42" ht="18.600000000000001" thickBot="1" x14ac:dyDescent="0.5">
      <c r="B14" s="636" t="s">
        <v>426</v>
      </c>
      <c r="C14" s="635"/>
      <c r="D14" s="330">
        <v>0.65217391304347827</v>
      </c>
      <c r="E14" s="331">
        <f t="shared" si="21"/>
        <v>0.65217391304347827</v>
      </c>
      <c r="F14" s="332">
        <v>0.5</v>
      </c>
      <c r="G14" s="333">
        <f t="shared" si="22"/>
        <v>-0.15217391304347827</v>
      </c>
      <c r="H14" s="334">
        <f t="shared" si="23"/>
        <v>0.76666666666666661</v>
      </c>
      <c r="I14" s="335">
        <v>1.3913043478260869</v>
      </c>
      <c r="J14" s="331">
        <f t="shared" si="24"/>
        <v>1.3913043478260869</v>
      </c>
      <c r="K14" s="332">
        <v>4.5</v>
      </c>
      <c r="L14" s="333">
        <f t="shared" si="4"/>
        <v>3.1086956521739131</v>
      </c>
      <c r="M14" s="334">
        <f t="shared" si="25"/>
        <v>3.234375</v>
      </c>
      <c r="N14" s="335">
        <f t="shared" si="26"/>
        <v>2.0434782608695654</v>
      </c>
      <c r="O14" s="331">
        <f t="shared" si="26"/>
        <v>2.0434782608695654</v>
      </c>
      <c r="P14" s="332">
        <f t="shared" si="26"/>
        <v>5</v>
      </c>
      <c r="Q14" s="333">
        <f t="shared" si="26"/>
        <v>2.9565217391304346</v>
      </c>
      <c r="R14" s="336">
        <f t="shared" si="27"/>
        <v>2.4468085106382977</v>
      </c>
      <c r="S14" s="330">
        <v>0</v>
      </c>
      <c r="T14" s="331">
        <f t="shared" si="28"/>
        <v>0</v>
      </c>
      <c r="U14" s="332">
        <v>0</v>
      </c>
      <c r="V14" s="333">
        <f t="shared" si="29"/>
        <v>0</v>
      </c>
      <c r="W14" s="336" t="str">
        <f t="shared" si="30"/>
        <v/>
      </c>
      <c r="X14" s="330">
        <v>0</v>
      </c>
      <c r="Y14" s="331">
        <f t="shared" si="31"/>
        <v>0</v>
      </c>
      <c r="Z14" s="332">
        <v>0</v>
      </c>
      <c r="AA14" s="333">
        <f t="shared" si="32"/>
        <v>0</v>
      </c>
      <c r="AB14" s="336" t="str">
        <f t="shared" si="33"/>
        <v/>
      </c>
      <c r="AC14" s="333">
        <f t="shared" si="34"/>
        <v>2.0434782608695654</v>
      </c>
      <c r="AD14" s="331">
        <f t="shared" si="34"/>
        <v>2.0434782608695654</v>
      </c>
      <c r="AE14" s="332">
        <f t="shared" si="34"/>
        <v>5</v>
      </c>
      <c r="AF14" s="333">
        <f t="shared" si="35"/>
        <v>2.9565217391304346</v>
      </c>
      <c r="AG14" s="334">
        <f t="shared" si="36"/>
        <v>2.4468085106382977</v>
      </c>
    </row>
    <row r="15" spans="2:42" ht="18.600000000000001" thickBot="1" x14ac:dyDescent="0.5">
      <c r="B15" s="639" t="s">
        <v>427</v>
      </c>
      <c r="C15" s="640"/>
      <c r="D15" s="314">
        <f>SUM(D12:D14)</f>
        <v>3.4782608695652177</v>
      </c>
      <c r="E15" s="315">
        <f>SUM(E12:E14)</f>
        <v>3.4782608695652177</v>
      </c>
      <c r="F15" s="316">
        <f>SUM(F12:F14)</f>
        <v>6.5</v>
      </c>
      <c r="G15" s="317">
        <f t="shared" si="22"/>
        <v>3.0217391304347823</v>
      </c>
      <c r="H15" s="318">
        <f t="shared" si="23"/>
        <v>1.8687499999999999</v>
      </c>
      <c r="I15" s="319">
        <f t="shared" ref="I15:J15" si="37">SUM(I12:I14)</f>
        <v>4.5869565217391308</v>
      </c>
      <c r="J15" s="315">
        <f t="shared" si="37"/>
        <v>4.5869565217391308</v>
      </c>
      <c r="K15" s="316">
        <f>SUM(K12:K14)</f>
        <v>4.5</v>
      </c>
      <c r="L15" s="317">
        <f t="shared" si="4"/>
        <v>-8.6956521739130821E-2</v>
      </c>
      <c r="M15" s="318">
        <f t="shared" si="25"/>
        <v>0.98104265402843593</v>
      </c>
      <c r="N15" s="319">
        <f t="shared" si="26"/>
        <v>8.0652173913043477</v>
      </c>
      <c r="O15" s="315">
        <f t="shared" si="26"/>
        <v>8.0652173913043477</v>
      </c>
      <c r="P15" s="316">
        <f t="shared" si="26"/>
        <v>11</v>
      </c>
      <c r="Q15" s="317">
        <f t="shared" si="26"/>
        <v>2.9347826086956514</v>
      </c>
      <c r="R15" s="320">
        <f t="shared" si="27"/>
        <v>1.3638814016172507</v>
      </c>
      <c r="S15" s="314">
        <f t="shared" ref="S15:T15" si="38">SUM(S12:S14)</f>
        <v>0</v>
      </c>
      <c r="T15" s="315">
        <f t="shared" si="38"/>
        <v>0</v>
      </c>
      <c r="U15" s="316">
        <f>SUM(U12:U14)</f>
        <v>0</v>
      </c>
      <c r="V15" s="317">
        <f t="shared" si="29"/>
        <v>0</v>
      </c>
      <c r="W15" s="320" t="str">
        <f t="shared" si="30"/>
        <v/>
      </c>
      <c r="X15" s="314">
        <f t="shared" ref="X15:Y15" si="39">SUM(X12:X14)</f>
        <v>0</v>
      </c>
      <c r="Y15" s="315">
        <f t="shared" si="39"/>
        <v>0</v>
      </c>
      <c r="Z15" s="316">
        <f>SUM(Z12:Z14)</f>
        <v>0</v>
      </c>
      <c r="AA15" s="317">
        <f t="shared" si="32"/>
        <v>0</v>
      </c>
      <c r="AB15" s="320" t="str">
        <f t="shared" si="33"/>
        <v/>
      </c>
      <c r="AC15" s="317">
        <f t="shared" si="34"/>
        <v>8.0652173913043477</v>
      </c>
      <c r="AD15" s="315">
        <f t="shared" si="34"/>
        <v>8.0652173913043477</v>
      </c>
      <c r="AE15" s="316">
        <f t="shared" si="34"/>
        <v>11</v>
      </c>
      <c r="AF15" s="317">
        <f t="shared" si="35"/>
        <v>2.9347826086956523</v>
      </c>
      <c r="AG15" s="320">
        <f t="shared" si="36"/>
        <v>1.3638814016172507</v>
      </c>
    </row>
    <row r="16" spans="2:42" x14ac:dyDescent="0.45">
      <c r="B16" s="344"/>
      <c r="C16" s="345"/>
      <c r="D16" s="346"/>
      <c r="E16" s="347"/>
      <c r="F16" s="347"/>
      <c r="G16" s="347"/>
      <c r="H16" s="348"/>
      <c r="I16" s="349"/>
      <c r="J16" s="347"/>
      <c r="K16" s="347"/>
      <c r="L16" s="347"/>
      <c r="M16" s="348"/>
      <c r="N16" s="349"/>
      <c r="O16" s="347"/>
      <c r="P16" s="347"/>
      <c r="Q16" s="347"/>
      <c r="R16" s="350"/>
      <c r="S16" s="346"/>
      <c r="T16" s="347"/>
      <c r="U16" s="347"/>
      <c r="V16" s="347"/>
      <c r="W16" s="350"/>
      <c r="X16" s="346"/>
      <c r="Y16" s="347"/>
      <c r="Z16" s="347"/>
      <c r="AA16" s="347"/>
      <c r="AB16" s="350"/>
      <c r="AC16" s="347"/>
      <c r="AD16" s="347"/>
      <c r="AE16" s="347"/>
      <c r="AF16" s="347"/>
      <c r="AG16" s="348"/>
    </row>
    <row r="17" spans="2:33" x14ac:dyDescent="0.45">
      <c r="B17" s="636" t="s">
        <v>428</v>
      </c>
      <c r="C17" s="635"/>
      <c r="D17" s="330">
        <v>6.2608695652173916</v>
      </c>
      <c r="E17" s="331">
        <f t="shared" ref="E17:F23" si="40">D17</f>
        <v>6.2608695652173916</v>
      </c>
      <c r="F17" s="332">
        <v>2.5</v>
      </c>
      <c r="G17" s="333">
        <f t="shared" ref="G17:G25" si="41">+F17-E17</f>
        <v>-3.7608695652173916</v>
      </c>
      <c r="H17" s="334">
        <f t="shared" ref="H17:H25" si="42">IF(E17=0,"",F17/E17)</f>
        <v>0.39930555555555552</v>
      </c>
      <c r="I17" s="335">
        <v>7.4782608695652177</v>
      </c>
      <c r="J17" s="331">
        <f t="shared" ref="J17:K23" si="43">I17</f>
        <v>7.4782608695652177</v>
      </c>
      <c r="K17" s="332">
        <v>2</v>
      </c>
      <c r="L17" s="333">
        <f t="shared" si="4"/>
        <v>-5.4782608695652177</v>
      </c>
      <c r="M17" s="334">
        <f t="shared" ref="M17:M25" si="44">IF(J17=0,"",K17/J17)</f>
        <v>0.26744186046511625</v>
      </c>
      <c r="N17" s="335">
        <f t="shared" ref="N17:Q25" si="45">+I17+D17</f>
        <v>13.739130434782609</v>
      </c>
      <c r="O17" s="331">
        <f t="shared" si="45"/>
        <v>13.739130434782609</v>
      </c>
      <c r="P17" s="332">
        <f t="shared" si="45"/>
        <v>4.5</v>
      </c>
      <c r="Q17" s="333">
        <f t="shared" si="45"/>
        <v>-9.2391304347826093</v>
      </c>
      <c r="R17" s="336">
        <f t="shared" ref="R17:R25" si="46">IF(O17=0,"",P17/O17)</f>
        <v>0.32753164556962022</v>
      </c>
      <c r="S17" s="330">
        <v>0</v>
      </c>
      <c r="T17" s="331">
        <f t="shared" ref="T17:T23" si="47">S17</f>
        <v>0</v>
      </c>
      <c r="U17" s="332">
        <v>0</v>
      </c>
      <c r="V17" s="333">
        <f t="shared" ref="V17:V25" si="48">+U17-T17</f>
        <v>0</v>
      </c>
      <c r="W17" s="336" t="str">
        <f t="shared" ref="W17:W25" si="49">IF(T17=0,"",U17/T17)</f>
        <v/>
      </c>
      <c r="X17" s="330">
        <v>0</v>
      </c>
      <c r="Y17" s="331">
        <f t="shared" ref="Y17:Y23" si="50">X17</f>
        <v>0</v>
      </c>
      <c r="Z17" s="332">
        <v>0</v>
      </c>
      <c r="AA17" s="333">
        <f t="shared" ref="AA17:AA25" si="51">+Z17-Y17</f>
        <v>0</v>
      </c>
      <c r="AB17" s="336" t="str">
        <f t="shared" ref="AB17:AB25" si="52">IF(Y17=0,"",Z17/Y17)</f>
        <v/>
      </c>
      <c r="AC17" s="333">
        <f t="shared" ref="AC17:AE25" si="53">+N17+S17+X17</f>
        <v>13.739130434782609</v>
      </c>
      <c r="AD17" s="331">
        <f t="shared" si="53"/>
        <v>13.739130434782609</v>
      </c>
      <c r="AE17" s="332">
        <f t="shared" si="53"/>
        <v>4.5</v>
      </c>
      <c r="AF17" s="333">
        <f t="shared" ref="AF17:AF25" si="54">AE17-AD17</f>
        <v>-9.2391304347826093</v>
      </c>
      <c r="AG17" s="334">
        <f t="shared" ref="AG17:AG25" si="55">IF(AD17=0,"",AE17/AD17)</f>
        <v>0.32753164556962022</v>
      </c>
    </row>
    <row r="18" spans="2:33" x14ac:dyDescent="0.45">
      <c r="B18" s="636" t="s">
        <v>429</v>
      </c>
      <c r="C18" s="635"/>
      <c r="D18" s="330">
        <v>0.86956521739130432</v>
      </c>
      <c r="E18" s="331">
        <f t="shared" si="40"/>
        <v>0.86956521739130432</v>
      </c>
      <c r="F18" s="332">
        <v>0</v>
      </c>
      <c r="G18" s="333">
        <f t="shared" si="41"/>
        <v>-0.86956521739130432</v>
      </c>
      <c r="H18" s="334">
        <f t="shared" si="42"/>
        <v>0</v>
      </c>
      <c r="I18" s="335">
        <v>11</v>
      </c>
      <c r="J18" s="331">
        <f t="shared" si="43"/>
        <v>11</v>
      </c>
      <c r="K18" s="332">
        <v>10</v>
      </c>
      <c r="L18" s="333">
        <f t="shared" si="4"/>
        <v>-1</v>
      </c>
      <c r="M18" s="334">
        <f t="shared" si="44"/>
        <v>0.90909090909090906</v>
      </c>
      <c r="N18" s="335">
        <f t="shared" si="45"/>
        <v>11.869565217391305</v>
      </c>
      <c r="O18" s="331">
        <f t="shared" si="45"/>
        <v>11.869565217391305</v>
      </c>
      <c r="P18" s="332">
        <f t="shared" si="45"/>
        <v>10</v>
      </c>
      <c r="Q18" s="333">
        <f t="shared" si="45"/>
        <v>-1.8695652173913042</v>
      </c>
      <c r="R18" s="336">
        <f t="shared" si="46"/>
        <v>0.8424908424908425</v>
      </c>
      <c r="S18" s="330">
        <v>0</v>
      </c>
      <c r="T18" s="331">
        <f t="shared" si="47"/>
        <v>0</v>
      </c>
      <c r="U18" s="332">
        <v>0</v>
      </c>
      <c r="V18" s="333">
        <f t="shared" si="48"/>
        <v>0</v>
      </c>
      <c r="W18" s="336" t="str">
        <f t="shared" si="49"/>
        <v/>
      </c>
      <c r="X18" s="330">
        <v>0</v>
      </c>
      <c r="Y18" s="331">
        <f t="shared" si="50"/>
        <v>0</v>
      </c>
      <c r="Z18" s="332">
        <v>0</v>
      </c>
      <c r="AA18" s="333">
        <f t="shared" si="51"/>
        <v>0</v>
      </c>
      <c r="AB18" s="336" t="str">
        <f t="shared" si="52"/>
        <v/>
      </c>
      <c r="AC18" s="333">
        <f t="shared" si="53"/>
        <v>11.869565217391305</v>
      </c>
      <c r="AD18" s="331">
        <f t="shared" si="53"/>
        <v>11.869565217391305</v>
      </c>
      <c r="AE18" s="332">
        <f t="shared" si="53"/>
        <v>10</v>
      </c>
      <c r="AF18" s="333">
        <f t="shared" si="54"/>
        <v>-1.8695652173913047</v>
      </c>
      <c r="AG18" s="334">
        <f t="shared" si="55"/>
        <v>0.8424908424908425</v>
      </c>
    </row>
    <row r="19" spans="2:33" x14ac:dyDescent="0.45">
      <c r="B19" s="636" t="s">
        <v>430</v>
      </c>
      <c r="C19" s="635"/>
      <c r="D19" s="330">
        <v>0</v>
      </c>
      <c r="E19" s="331">
        <f t="shared" si="40"/>
        <v>0</v>
      </c>
      <c r="F19" s="332">
        <f t="shared" si="40"/>
        <v>0</v>
      </c>
      <c r="G19" s="333">
        <f t="shared" si="41"/>
        <v>0</v>
      </c>
      <c r="H19" s="334" t="str">
        <f t="shared" si="42"/>
        <v/>
      </c>
      <c r="I19" s="335">
        <v>0</v>
      </c>
      <c r="J19" s="331">
        <f t="shared" si="43"/>
        <v>0</v>
      </c>
      <c r="K19" s="332">
        <f t="shared" si="43"/>
        <v>0</v>
      </c>
      <c r="L19" s="333">
        <f t="shared" si="4"/>
        <v>0</v>
      </c>
      <c r="M19" s="334" t="str">
        <f t="shared" si="44"/>
        <v/>
      </c>
      <c r="N19" s="335">
        <f t="shared" si="45"/>
        <v>0</v>
      </c>
      <c r="O19" s="331">
        <f t="shared" si="45"/>
        <v>0</v>
      </c>
      <c r="P19" s="332">
        <f t="shared" si="45"/>
        <v>0</v>
      </c>
      <c r="Q19" s="333">
        <f t="shared" si="45"/>
        <v>0</v>
      </c>
      <c r="R19" s="336" t="str">
        <f t="shared" si="46"/>
        <v/>
      </c>
      <c r="S19" s="330">
        <v>0</v>
      </c>
      <c r="T19" s="331">
        <f t="shared" si="47"/>
        <v>0</v>
      </c>
      <c r="U19" s="332">
        <v>0</v>
      </c>
      <c r="V19" s="333">
        <f t="shared" si="48"/>
        <v>0</v>
      </c>
      <c r="W19" s="336" t="str">
        <f t="shared" si="49"/>
        <v/>
      </c>
      <c r="X19" s="330">
        <v>0</v>
      </c>
      <c r="Y19" s="331">
        <f t="shared" si="50"/>
        <v>0</v>
      </c>
      <c r="Z19" s="332">
        <v>0</v>
      </c>
      <c r="AA19" s="333">
        <f t="shared" si="51"/>
        <v>0</v>
      </c>
      <c r="AB19" s="336" t="str">
        <f t="shared" si="52"/>
        <v/>
      </c>
      <c r="AC19" s="333">
        <f t="shared" si="53"/>
        <v>0</v>
      </c>
      <c r="AD19" s="331">
        <f t="shared" si="53"/>
        <v>0</v>
      </c>
      <c r="AE19" s="332">
        <f t="shared" si="53"/>
        <v>0</v>
      </c>
      <c r="AF19" s="333">
        <f t="shared" si="54"/>
        <v>0</v>
      </c>
      <c r="AG19" s="334" t="str">
        <f t="shared" si="55"/>
        <v/>
      </c>
    </row>
    <row r="20" spans="2:33" x14ac:dyDescent="0.45">
      <c r="B20" s="636" t="s">
        <v>431</v>
      </c>
      <c r="C20" s="635"/>
      <c r="D20" s="330">
        <v>0</v>
      </c>
      <c r="E20" s="351">
        <f t="shared" si="40"/>
        <v>0</v>
      </c>
      <c r="F20" s="332">
        <v>5</v>
      </c>
      <c r="G20" s="333">
        <f t="shared" si="41"/>
        <v>5</v>
      </c>
      <c r="H20" s="334" t="str">
        <f t="shared" si="42"/>
        <v/>
      </c>
      <c r="I20" s="335">
        <v>5.4782608695652177</v>
      </c>
      <c r="J20" s="331">
        <f t="shared" si="43"/>
        <v>5.4782608695652177</v>
      </c>
      <c r="K20" s="332">
        <v>12.5</v>
      </c>
      <c r="L20" s="333">
        <f t="shared" si="4"/>
        <v>7.0217391304347823</v>
      </c>
      <c r="M20" s="334">
        <f t="shared" si="44"/>
        <v>2.2817460317460316</v>
      </c>
      <c r="N20" s="335">
        <f t="shared" si="45"/>
        <v>5.4782608695652177</v>
      </c>
      <c r="O20" s="331">
        <f t="shared" si="45"/>
        <v>5.4782608695652177</v>
      </c>
      <c r="P20" s="332">
        <f t="shared" si="45"/>
        <v>17.5</v>
      </c>
      <c r="Q20" s="333">
        <f t="shared" si="45"/>
        <v>12.021739130434781</v>
      </c>
      <c r="R20" s="336">
        <f t="shared" si="46"/>
        <v>3.1944444444444442</v>
      </c>
      <c r="S20" s="330">
        <v>0</v>
      </c>
      <c r="T20" s="331">
        <f t="shared" si="47"/>
        <v>0</v>
      </c>
      <c r="U20" s="332">
        <v>0</v>
      </c>
      <c r="V20" s="333">
        <f t="shared" si="48"/>
        <v>0</v>
      </c>
      <c r="W20" s="336" t="str">
        <f t="shared" si="49"/>
        <v/>
      </c>
      <c r="X20" s="330">
        <v>0</v>
      </c>
      <c r="Y20" s="331">
        <f t="shared" si="50"/>
        <v>0</v>
      </c>
      <c r="Z20" s="332">
        <v>0</v>
      </c>
      <c r="AA20" s="333">
        <f t="shared" si="51"/>
        <v>0</v>
      </c>
      <c r="AB20" s="336" t="str">
        <f t="shared" si="52"/>
        <v/>
      </c>
      <c r="AC20" s="333">
        <f t="shared" si="53"/>
        <v>5.4782608695652177</v>
      </c>
      <c r="AD20" s="331">
        <f t="shared" si="53"/>
        <v>5.4782608695652177</v>
      </c>
      <c r="AE20" s="332">
        <f t="shared" si="53"/>
        <v>17.5</v>
      </c>
      <c r="AF20" s="333">
        <f t="shared" si="54"/>
        <v>12.021739130434781</v>
      </c>
      <c r="AG20" s="334">
        <f t="shared" si="55"/>
        <v>3.1944444444444442</v>
      </c>
    </row>
    <row r="21" spans="2:33" x14ac:dyDescent="0.45">
      <c r="B21" s="636" t="s">
        <v>432</v>
      </c>
      <c r="C21" s="635"/>
      <c r="D21" s="330">
        <v>1.8695652173913044</v>
      </c>
      <c r="E21" s="331">
        <f t="shared" si="40"/>
        <v>1.8695652173913044</v>
      </c>
      <c r="F21" s="332">
        <v>0</v>
      </c>
      <c r="G21" s="333">
        <f t="shared" si="41"/>
        <v>-1.8695652173913044</v>
      </c>
      <c r="H21" s="334">
        <f t="shared" si="42"/>
        <v>0</v>
      </c>
      <c r="I21" s="335">
        <v>0.52173913043478259</v>
      </c>
      <c r="J21" s="331">
        <f t="shared" si="43"/>
        <v>0.52173913043478259</v>
      </c>
      <c r="K21" s="332">
        <v>0</v>
      </c>
      <c r="L21" s="333">
        <f t="shared" si="4"/>
        <v>-0.52173913043478259</v>
      </c>
      <c r="M21" s="334">
        <f t="shared" si="44"/>
        <v>0</v>
      </c>
      <c r="N21" s="335">
        <f t="shared" si="45"/>
        <v>2.3913043478260869</v>
      </c>
      <c r="O21" s="331">
        <f t="shared" si="45"/>
        <v>2.3913043478260869</v>
      </c>
      <c r="P21" s="332">
        <f t="shared" si="45"/>
        <v>0</v>
      </c>
      <c r="Q21" s="333">
        <f t="shared" si="45"/>
        <v>-2.3913043478260869</v>
      </c>
      <c r="R21" s="336">
        <f t="shared" si="46"/>
        <v>0</v>
      </c>
      <c r="S21" s="330">
        <v>0</v>
      </c>
      <c r="T21" s="331">
        <f t="shared" si="47"/>
        <v>0</v>
      </c>
      <c r="U21" s="332">
        <v>0</v>
      </c>
      <c r="V21" s="333">
        <f t="shared" si="48"/>
        <v>0</v>
      </c>
      <c r="W21" s="336" t="str">
        <f t="shared" si="49"/>
        <v/>
      </c>
      <c r="X21" s="330">
        <v>0</v>
      </c>
      <c r="Y21" s="331">
        <f t="shared" si="50"/>
        <v>0</v>
      </c>
      <c r="Z21" s="332">
        <v>0</v>
      </c>
      <c r="AA21" s="333">
        <f t="shared" si="51"/>
        <v>0</v>
      </c>
      <c r="AB21" s="336" t="str">
        <f t="shared" si="52"/>
        <v/>
      </c>
      <c r="AC21" s="333">
        <f t="shared" si="53"/>
        <v>2.3913043478260869</v>
      </c>
      <c r="AD21" s="331">
        <f t="shared" si="53"/>
        <v>2.3913043478260869</v>
      </c>
      <c r="AE21" s="332">
        <f t="shared" si="53"/>
        <v>0</v>
      </c>
      <c r="AF21" s="333">
        <f t="shared" si="54"/>
        <v>-2.3913043478260869</v>
      </c>
      <c r="AG21" s="334">
        <f t="shared" si="55"/>
        <v>0</v>
      </c>
    </row>
    <row r="22" spans="2:33" x14ac:dyDescent="0.45">
      <c r="B22" s="636" t="s">
        <v>433</v>
      </c>
      <c r="C22" s="635"/>
      <c r="D22" s="330">
        <v>0.60869565217391308</v>
      </c>
      <c r="E22" s="331">
        <f t="shared" si="40"/>
        <v>0.60869565217391308</v>
      </c>
      <c r="F22" s="332">
        <v>5</v>
      </c>
      <c r="G22" s="333">
        <f t="shared" si="41"/>
        <v>4.3913043478260869</v>
      </c>
      <c r="H22" s="334">
        <f t="shared" si="42"/>
        <v>8.2142857142857135</v>
      </c>
      <c r="I22" s="335">
        <v>2.2826086956521738</v>
      </c>
      <c r="J22" s="331">
        <f t="shared" si="43"/>
        <v>2.2826086956521738</v>
      </c>
      <c r="K22" s="332">
        <v>5</v>
      </c>
      <c r="L22" s="333">
        <f t="shared" si="4"/>
        <v>2.7173913043478262</v>
      </c>
      <c r="M22" s="334">
        <f t="shared" si="44"/>
        <v>2.1904761904761907</v>
      </c>
      <c r="N22" s="335">
        <f t="shared" si="45"/>
        <v>2.8913043478260869</v>
      </c>
      <c r="O22" s="331">
        <f t="shared" si="45"/>
        <v>2.8913043478260869</v>
      </c>
      <c r="P22" s="332">
        <f t="shared" si="45"/>
        <v>10</v>
      </c>
      <c r="Q22" s="333">
        <f t="shared" si="45"/>
        <v>7.1086956521739131</v>
      </c>
      <c r="R22" s="336">
        <f t="shared" si="46"/>
        <v>3.4586466165413534</v>
      </c>
      <c r="S22" s="330">
        <v>0</v>
      </c>
      <c r="T22" s="331">
        <f t="shared" si="47"/>
        <v>0</v>
      </c>
      <c r="U22" s="332">
        <v>0</v>
      </c>
      <c r="V22" s="333">
        <f t="shared" si="48"/>
        <v>0</v>
      </c>
      <c r="W22" s="336" t="str">
        <f t="shared" si="49"/>
        <v/>
      </c>
      <c r="X22" s="330">
        <v>0</v>
      </c>
      <c r="Y22" s="331">
        <f t="shared" si="50"/>
        <v>0</v>
      </c>
      <c r="Z22" s="332">
        <v>0</v>
      </c>
      <c r="AA22" s="333">
        <f t="shared" si="51"/>
        <v>0</v>
      </c>
      <c r="AB22" s="336" t="str">
        <f t="shared" si="52"/>
        <v/>
      </c>
      <c r="AC22" s="333">
        <f t="shared" si="53"/>
        <v>2.8913043478260869</v>
      </c>
      <c r="AD22" s="331">
        <f t="shared" si="53"/>
        <v>2.8913043478260869</v>
      </c>
      <c r="AE22" s="332">
        <f t="shared" si="53"/>
        <v>10</v>
      </c>
      <c r="AF22" s="333">
        <f t="shared" si="54"/>
        <v>7.1086956521739131</v>
      </c>
      <c r="AG22" s="334">
        <f t="shared" si="55"/>
        <v>3.4586466165413534</v>
      </c>
    </row>
    <row r="23" spans="2:33" ht="18.600000000000001" thickBot="1" x14ac:dyDescent="0.5">
      <c r="B23" s="637" t="s">
        <v>434</v>
      </c>
      <c r="C23" s="638"/>
      <c r="D23" s="337">
        <v>0</v>
      </c>
      <c r="E23" s="338">
        <f t="shared" si="40"/>
        <v>0</v>
      </c>
      <c r="F23" s="339">
        <v>10</v>
      </c>
      <c r="G23" s="340">
        <f t="shared" si="41"/>
        <v>10</v>
      </c>
      <c r="H23" s="341" t="str">
        <f t="shared" si="42"/>
        <v/>
      </c>
      <c r="I23" s="342">
        <v>0</v>
      </c>
      <c r="J23" s="338">
        <f t="shared" si="43"/>
        <v>0</v>
      </c>
      <c r="K23" s="339">
        <v>8.5</v>
      </c>
      <c r="L23" s="340">
        <f t="shared" si="4"/>
        <v>8.5</v>
      </c>
      <c r="M23" s="341" t="str">
        <f t="shared" si="44"/>
        <v/>
      </c>
      <c r="N23" s="342">
        <f t="shared" si="45"/>
        <v>0</v>
      </c>
      <c r="O23" s="338">
        <f t="shared" si="45"/>
        <v>0</v>
      </c>
      <c r="P23" s="339">
        <f t="shared" si="45"/>
        <v>18.5</v>
      </c>
      <c r="Q23" s="340">
        <f t="shared" si="45"/>
        <v>18.5</v>
      </c>
      <c r="R23" s="343" t="str">
        <f t="shared" si="46"/>
        <v/>
      </c>
      <c r="S23" s="337">
        <v>0</v>
      </c>
      <c r="T23" s="338">
        <f t="shared" si="47"/>
        <v>0</v>
      </c>
      <c r="U23" s="339">
        <v>0</v>
      </c>
      <c r="V23" s="340">
        <f t="shared" si="48"/>
        <v>0</v>
      </c>
      <c r="W23" s="343" t="str">
        <f t="shared" si="49"/>
        <v/>
      </c>
      <c r="X23" s="337">
        <v>0</v>
      </c>
      <c r="Y23" s="338">
        <f t="shared" si="50"/>
        <v>0</v>
      </c>
      <c r="Z23" s="339">
        <v>0</v>
      </c>
      <c r="AA23" s="340">
        <f t="shared" si="51"/>
        <v>0</v>
      </c>
      <c r="AB23" s="343" t="str">
        <f t="shared" si="52"/>
        <v/>
      </c>
      <c r="AC23" s="340">
        <f t="shared" si="53"/>
        <v>0</v>
      </c>
      <c r="AD23" s="338">
        <f t="shared" si="53"/>
        <v>0</v>
      </c>
      <c r="AE23" s="339">
        <f t="shared" si="53"/>
        <v>18.5</v>
      </c>
      <c r="AF23" s="340">
        <f t="shared" si="54"/>
        <v>18.5</v>
      </c>
      <c r="AG23" s="341" t="str">
        <f t="shared" si="55"/>
        <v/>
      </c>
    </row>
    <row r="24" spans="2:33" ht="18.600000000000001" thickBot="1" x14ac:dyDescent="0.5">
      <c r="B24" s="639" t="s">
        <v>435</v>
      </c>
      <c r="C24" s="640"/>
      <c r="D24" s="314">
        <f>SUM(D17:D23)</f>
        <v>9.608695652173914</v>
      </c>
      <c r="E24" s="315">
        <f t="shared" ref="E24:F24" si="56">SUM(E17:E23)</f>
        <v>9.608695652173914</v>
      </c>
      <c r="F24" s="316">
        <f t="shared" si="56"/>
        <v>22.5</v>
      </c>
      <c r="G24" s="317">
        <f t="shared" si="41"/>
        <v>12.891304347826086</v>
      </c>
      <c r="H24" s="318">
        <f t="shared" si="42"/>
        <v>2.3416289592760178</v>
      </c>
      <c r="I24" s="319">
        <f>SUM(I17:I23)</f>
        <v>26.760869565217391</v>
      </c>
      <c r="J24" s="315">
        <f t="shared" ref="J24:K24" si="57">SUM(J17:J23)</f>
        <v>26.760869565217391</v>
      </c>
      <c r="K24" s="316">
        <f t="shared" si="57"/>
        <v>38</v>
      </c>
      <c r="L24" s="317">
        <f t="shared" si="4"/>
        <v>11.239130434782609</v>
      </c>
      <c r="M24" s="318">
        <f t="shared" si="44"/>
        <v>1.4199837530463038</v>
      </c>
      <c r="N24" s="319">
        <f t="shared" si="45"/>
        <v>36.369565217391305</v>
      </c>
      <c r="O24" s="315">
        <f t="shared" si="45"/>
        <v>36.369565217391305</v>
      </c>
      <c r="P24" s="316">
        <f t="shared" si="45"/>
        <v>60.5</v>
      </c>
      <c r="Q24" s="317">
        <f t="shared" si="45"/>
        <v>24.130434782608695</v>
      </c>
      <c r="R24" s="320">
        <f t="shared" si="46"/>
        <v>1.6634787806335922</v>
      </c>
      <c r="S24" s="314">
        <f>SUM(S17:S23)</f>
        <v>0</v>
      </c>
      <c r="T24" s="315">
        <f t="shared" ref="T24:U24" si="58">SUM(T17:T23)</f>
        <v>0</v>
      </c>
      <c r="U24" s="316">
        <f t="shared" si="58"/>
        <v>0</v>
      </c>
      <c r="V24" s="317">
        <f t="shared" si="48"/>
        <v>0</v>
      </c>
      <c r="W24" s="320" t="str">
        <f t="shared" si="49"/>
        <v/>
      </c>
      <c r="X24" s="314">
        <f>SUM(X17:X23)</f>
        <v>0</v>
      </c>
      <c r="Y24" s="315">
        <f t="shared" ref="Y24:Z24" si="59">SUM(Y17:Y23)</f>
        <v>0</v>
      </c>
      <c r="Z24" s="316">
        <f t="shared" si="59"/>
        <v>0</v>
      </c>
      <c r="AA24" s="317">
        <f t="shared" si="51"/>
        <v>0</v>
      </c>
      <c r="AB24" s="320" t="str">
        <f t="shared" si="52"/>
        <v/>
      </c>
      <c r="AC24" s="317">
        <f t="shared" si="53"/>
        <v>36.369565217391305</v>
      </c>
      <c r="AD24" s="315">
        <f t="shared" si="53"/>
        <v>36.369565217391305</v>
      </c>
      <c r="AE24" s="316">
        <f t="shared" si="53"/>
        <v>60.5</v>
      </c>
      <c r="AF24" s="317">
        <f t="shared" si="54"/>
        <v>24.130434782608695</v>
      </c>
      <c r="AG24" s="320">
        <f t="shared" si="55"/>
        <v>1.6634787806335922</v>
      </c>
    </row>
    <row r="25" spans="2:33" ht="18.600000000000001" thickBot="1" x14ac:dyDescent="0.5">
      <c r="B25" s="641" t="s">
        <v>436</v>
      </c>
      <c r="C25" s="642"/>
      <c r="D25" s="314">
        <f>+D10+D15+D24</f>
        <v>275.36233954130438</v>
      </c>
      <c r="E25" s="315">
        <f>+E10+E15+E24</f>
        <v>275.36233954130438</v>
      </c>
      <c r="F25" s="316">
        <f>+F10+F15+F24</f>
        <v>295.83</v>
      </c>
      <c r="G25" s="317">
        <f t="shared" si="41"/>
        <v>20.467660458695605</v>
      </c>
      <c r="H25" s="318">
        <f t="shared" si="42"/>
        <v>1.0743299192358347</v>
      </c>
      <c r="I25" s="319">
        <f>+I10+I15+I24</f>
        <v>288.64797074000006</v>
      </c>
      <c r="J25" s="315">
        <f>+J10+J15+J24</f>
        <v>288.64797074000006</v>
      </c>
      <c r="K25" s="316">
        <f>+K10+K15+K24</f>
        <v>335.87</v>
      </c>
      <c r="L25" s="317">
        <f t="shared" si="4"/>
        <v>47.222029259999942</v>
      </c>
      <c r="M25" s="318">
        <f t="shared" si="44"/>
        <v>1.1635973020663819</v>
      </c>
      <c r="N25" s="319">
        <f t="shared" si="45"/>
        <v>564.01031028130444</v>
      </c>
      <c r="O25" s="315">
        <f t="shared" si="45"/>
        <v>564.01031028130444</v>
      </c>
      <c r="P25" s="316">
        <f t="shared" si="45"/>
        <v>631.70000000000005</v>
      </c>
      <c r="Q25" s="317">
        <f t="shared" si="45"/>
        <v>67.689689718695547</v>
      </c>
      <c r="R25" s="320">
        <f t="shared" si="46"/>
        <v>1.1200149864014628</v>
      </c>
      <c r="S25" s="314">
        <f>+S10+S15+S24</f>
        <v>0</v>
      </c>
      <c r="T25" s="315">
        <f>+T10+T15+T24</f>
        <v>0</v>
      </c>
      <c r="U25" s="316">
        <f>+U10+U15+U24</f>
        <v>0</v>
      </c>
      <c r="V25" s="317">
        <f t="shared" si="48"/>
        <v>0</v>
      </c>
      <c r="W25" s="320" t="str">
        <f t="shared" si="49"/>
        <v/>
      </c>
      <c r="X25" s="314">
        <f>+X10+X15+X24</f>
        <v>0</v>
      </c>
      <c r="Y25" s="315">
        <f>+Y10+Y15+Y24</f>
        <v>0</v>
      </c>
      <c r="Z25" s="316">
        <f>+Z10+Z15+Z24</f>
        <v>0</v>
      </c>
      <c r="AA25" s="317">
        <f t="shared" si="51"/>
        <v>0</v>
      </c>
      <c r="AB25" s="320" t="str">
        <f t="shared" si="52"/>
        <v/>
      </c>
      <c r="AC25" s="317">
        <f t="shared" si="53"/>
        <v>564.01031028130444</v>
      </c>
      <c r="AD25" s="315">
        <f t="shared" si="53"/>
        <v>564.01031028130444</v>
      </c>
      <c r="AE25" s="316">
        <f t="shared" si="53"/>
        <v>631.70000000000005</v>
      </c>
      <c r="AF25" s="317">
        <f t="shared" si="54"/>
        <v>67.689689718695604</v>
      </c>
      <c r="AG25" s="320">
        <f t="shared" si="55"/>
        <v>1.1200149864014628</v>
      </c>
    </row>
    <row r="26" spans="2:33" ht="7.2" customHeight="1" thickBot="1" x14ac:dyDescent="0.5">
      <c r="D26" s="352"/>
      <c r="E26" s="352"/>
      <c r="F26" s="352"/>
      <c r="G26" s="352"/>
      <c r="H26" s="353"/>
      <c r="I26" s="352"/>
      <c r="J26" s="352"/>
      <c r="K26" s="352"/>
      <c r="L26" s="352"/>
      <c r="M26" s="353"/>
      <c r="N26" s="352"/>
      <c r="O26" s="352"/>
      <c r="P26" s="352"/>
      <c r="Q26" s="352"/>
      <c r="R26" s="353"/>
      <c r="S26" s="352"/>
      <c r="T26" s="352"/>
      <c r="U26" s="352"/>
      <c r="V26" s="352"/>
      <c r="W26" s="353"/>
      <c r="X26" s="352"/>
      <c r="Y26" s="352"/>
      <c r="Z26" s="352"/>
      <c r="AA26" s="352"/>
      <c r="AB26" s="353"/>
      <c r="AC26" s="354"/>
      <c r="AD26" s="354"/>
      <c r="AE26" s="354"/>
      <c r="AF26" s="354"/>
      <c r="AG26" s="355"/>
    </row>
    <row r="27" spans="2:33" ht="18.600000000000001" thickBot="1" x14ac:dyDescent="0.5">
      <c r="B27" s="292" t="s">
        <v>437</v>
      </c>
      <c r="D27" s="356" t="s">
        <v>401</v>
      </c>
      <c r="E27" s="357"/>
      <c r="F27" s="358"/>
      <c r="G27" s="357"/>
      <c r="H27" s="359"/>
      <c r="I27" s="360" t="s">
        <v>402</v>
      </c>
      <c r="J27" s="357"/>
      <c r="K27" s="358"/>
      <c r="L27" s="357"/>
      <c r="M27" s="359"/>
      <c r="N27" s="360" t="s">
        <v>403</v>
      </c>
      <c r="O27" s="357"/>
      <c r="P27" s="358"/>
      <c r="Q27" s="357"/>
      <c r="R27" s="361"/>
      <c r="S27" s="362" t="s">
        <v>438</v>
      </c>
      <c r="T27" s="363"/>
      <c r="U27" s="364"/>
      <c r="V27" s="363"/>
      <c r="W27" s="363"/>
      <c r="X27" s="362" t="s">
        <v>405</v>
      </c>
      <c r="Y27" s="363"/>
      <c r="Z27" s="364"/>
      <c r="AA27" s="363"/>
      <c r="AB27" s="365"/>
      <c r="AC27" s="366" t="s">
        <v>406</v>
      </c>
      <c r="AD27" s="366"/>
      <c r="AE27" s="367"/>
      <c r="AF27" s="366"/>
      <c r="AG27" s="368"/>
    </row>
    <row r="28" spans="2:33" x14ac:dyDescent="0.45">
      <c r="B28" s="296" t="s">
        <v>407</v>
      </c>
      <c r="C28" s="296"/>
      <c r="D28" s="369" t="s">
        <v>410</v>
      </c>
      <c r="E28" s="370" t="s">
        <v>577</v>
      </c>
      <c r="F28" s="371" t="s">
        <v>578</v>
      </c>
      <c r="G28" s="372" t="s">
        <v>411</v>
      </c>
      <c r="H28" s="373" t="s">
        <v>412</v>
      </c>
      <c r="I28" s="374" t="s">
        <v>410</v>
      </c>
      <c r="J28" s="370" t="s">
        <v>577</v>
      </c>
      <c r="K28" s="371" t="s">
        <v>578</v>
      </c>
      <c r="L28" s="372" t="s">
        <v>411</v>
      </c>
      <c r="M28" s="373" t="s">
        <v>412</v>
      </c>
      <c r="N28" s="374" t="s">
        <v>410</v>
      </c>
      <c r="O28" s="370" t="s">
        <v>577</v>
      </c>
      <c r="P28" s="371" t="s">
        <v>578</v>
      </c>
      <c r="Q28" s="372" t="s">
        <v>411</v>
      </c>
      <c r="R28" s="375" t="s">
        <v>412</v>
      </c>
      <c r="S28" s="369" t="s">
        <v>410</v>
      </c>
      <c r="T28" s="370" t="s">
        <v>577</v>
      </c>
      <c r="U28" s="371" t="s">
        <v>578</v>
      </c>
      <c r="V28" s="372" t="s">
        <v>411</v>
      </c>
      <c r="W28" s="376" t="s">
        <v>412</v>
      </c>
      <c r="X28" s="369" t="s">
        <v>410</v>
      </c>
      <c r="Y28" s="370" t="s">
        <v>577</v>
      </c>
      <c r="Z28" s="371" t="s">
        <v>578</v>
      </c>
      <c r="AA28" s="372" t="s">
        <v>411</v>
      </c>
      <c r="AB28" s="375" t="s">
        <v>412</v>
      </c>
      <c r="AC28" s="372" t="s">
        <v>410</v>
      </c>
      <c r="AD28" s="370" t="s">
        <v>577</v>
      </c>
      <c r="AE28" s="371" t="s">
        <v>578</v>
      </c>
      <c r="AF28" s="372" t="s">
        <v>411</v>
      </c>
      <c r="AG28" s="373" t="s">
        <v>412</v>
      </c>
    </row>
    <row r="29" spans="2:33" ht="18.600000000000001" thickBot="1" x14ac:dyDescent="0.5">
      <c r="B29" s="296"/>
      <c r="C29" s="296"/>
      <c r="D29" s="377" t="s">
        <v>413</v>
      </c>
      <c r="E29" s="378" t="s">
        <v>414</v>
      </c>
      <c r="F29" s="379" t="s">
        <v>415</v>
      </c>
      <c r="G29" s="380" t="s">
        <v>416</v>
      </c>
      <c r="H29" s="381"/>
      <c r="I29" s="382" t="s">
        <v>413</v>
      </c>
      <c r="J29" s="378" t="s">
        <v>414</v>
      </c>
      <c r="K29" s="379" t="s">
        <v>415</v>
      </c>
      <c r="L29" s="380" t="s">
        <v>416</v>
      </c>
      <c r="M29" s="381"/>
      <c r="N29" s="382" t="s">
        <v>413</v>
      </c>
      <c r="O29" s="378" t="s">
        <v>414</v>
      </c>
      <c r="P29" s="379" t="s">
        <v>415</v>
      </c>
      <c r="Q29" s="380" t="s">
        <v>416</v>
      </c>
      <c r="R29" s="383"/>
      <c r="S29" s="377" t="s">
        <v>413</v>
      </c>
      <c r="T29" s="378" t="s">
        <v>414</v>
      </c>
      <c r="U29" s="379" t="s">
        <v>415</v>
      </c>
      <c r="V29" s="380" t="s">
        <v>416</v>
      </c>
      <c r="W29" s="384"/>
      <c r="X29" s="377" t="s">
        <v>413</v>
      </c>
      <c r="Y29" s="378" t="s">
        <v>414</v>
      </c>
      <c r="Z29" s="379" t="s">
        <v>415</v>
      </c>
      <c r="AA29" s="380" t="s">
        <v>416</v>
      </c>
      <c r="AB29" s="383"/>
      <c r="AC29" s="380" t="s">
        <v>413</v>
      </c>
      <c r="AD29" s="378" t="s">
        <v>414</v>
      </c>
      <c r="AE29" s="379" t="s">
        <v>415</v>
      </c>
      <c r="AF29" s="380" t="s">
        <v>416</v>
      </c>
      <c r="AG29" s="381" t="s">
        <v>417</v>
      </c>
    </row>
    <row r="30" spans="2:33" ht="18.600000000000001" thickBot="1" x14ac:dyDescent="0.5">
      <c r="B30" s="639" t="s">
        <v>418</v>
      </c>
      <c r="C30" s="640"/>
      <c r="D30" s="314">
        <v>1</v>
      </c>
      <c r="E30" s="315">
        <f>D30</f>
        <v>1</v>
      </c>
      <c r="F30" s="316">
        <v>0</v>
      </c>
      <c r="G30" s="317">
        <f>+F30-E30</f>
        <v>-1</v>
      </c>
      <c r="H30" s="318">
        <f>IF(E30=0,"",F30/E30)</f>
        <v>0</v>
      </c>
      <c r="I30" s="319">
        <v>1</v>
      </c>
      <c r="J30" s="315">
        <f>I30</f>
        <v>1</v>
      </c>
      <c r="K30" s="316">
        <v>0</v>
      </c>
      <c r="L30" s="317">
        <f>+K30-J30</f>
        <v>-1</v>
      </c>
      <c r="M30" s="318">
        <f>IF(J30=0,"",K30/J30)</f>
        <v>0</v>
      </c>
      <c r="N30" s="319">
        <f>+I30+D30</f>
        <v>2</v>
      </c>
      <c r="O30" s="315">
        <f>+J30+E30</f>
        <v>2</v>
      </c>
      <c r="P30" s="316">
        <f>+K30+F30</f>
        <v>0</v>
      </c>
      <c r="Q30" s="317">
        <f>+L30+G30</f>
        <v>-2</v>
      </c>
      <c r="R30" s="320">
        <f>IF(O30=0,"",P30/O30)</f>
        <v>0</v>
      </c>
      <c r="S30" s="314">
        <v>3</v>
      </c>
      <c r="T30" s="315">
        <f>S30</f>
        <v>3</v>
      </c>
      <c r="U30" s="316">
        <v>3</v>
      </c>
      <c r="V30" s="317">
        <f>+U30-T30</f>
        <v>0</v>
      </c>
      <c r="W30" s="385">
        <f>IF(T30=0,"",U30/T30)</f>
        <v>1</v>
      </c>
      <c r="X30" s="314">
        <v>3</v>
      </c>
      <c r="Y30" s="315">
        <f>X30</f>
        <v>3</v>
      </c>
      <c r="Z30" s="664">
        <v>4</v>
      </c>
      <c r="AA30" s="317">
        <f>+Z30-Y30</f>
        <v>1</v>
      </c>
      <c r="AB30" s="320">
        <f>IF(Y30=0,"",Z30/Y30)</f>
        <v>1.3333333333333333</v>
      </c>
      <c r="AC30" s="317">
        <f t="shared" ref="AC30:AE30" si="60">+N30+S30+X30</f>
        <v>8</v>
      </c>
      <c r="AD30" s="315">
        <f t="shared" si="60"/>
        <v>8</v>
      </c>
      <c r="AE30" s="316">
        <f t="shared" si="60"/>
        <v>7</v>
      </c>
      <c r="AF30" s="317">
        <f>AE30-AD30</f>
        <v>-1</v>
      </c>
      <c r="AG30" s="320">
        <f>IF(AD30=0,"",AE30/AD30)</f>
        <v>0.875</v>
      </c>
    </row>
    <row r="31" spans="2:33" s="329" customFormat="1" ht="17.399999999999999" customHeight="1" x14ac:dyDescent="0.45">
      <c r="B31" s="386"/>
      <c r="C31" s="387"/>
      <c r="D31" s="388" t="s">
        <v>580</v>
      </c>
      <c r="E31" s="324"/>
      <c r="F31" s="389"/>
      <c r="G31" s="324"/>
      <c r="H31" s="326"/>
      <c r="I31" s="390" t="s">
        <v>580</v>
      </c>
      <c r="J31" s="324"/>
      <c r="K31" s="324"/>
      <c r="L31" s="324"/>
      <c r="M31" s="326"/>
      <c r="N31" s="327"/>
      <c r="O31" s="324"/>
      <c r="P31" s="324"/>
      <c r="Q31" s="324"/>
      <c r="R31" s="328"/>
      <c r="S31" s="323"/>
      <c r="T31" s="324"/>
      <c r="U31" s="325" t="s">
        <v>581</v>
      </c>
      <c r="V31" s="324"/>
      <c r="W31" s="391"/>
      <c r="X31" s="323"/>
      <c r="Y31" s="324"/>
      <c r="Z31" s="325" t="s">
        <v>582</v>
      </c>
      <c r="AA31" s="324"/>
      <c r="AB31" s="328"/>
      <c r="AC31" s="347"/>
      <c r="AD31" s="347"/>
      <c r="AE31" s="347"/>
      <c r="AF31" s="347"/>
      <c r="AG31" s="348"/>
    </row>
    <row r="32" spans="2:33" x14ac:dyDescent="0.45">
      <c r="B32" s="636" t="s">
        <v>443</v>
      </c>
      <c r="C32" s="635"/>
      <c r="D32" s="330">
        <v>50.4</v>
      </c>
      <c r="E32" s="331">
        <f t="shared" ref="E32:E35" si="61">D32</f>
        <v>50.4</v>
      </c>
      <c r="F32" s="332">
        <v>0</v>
      </c>
      <c r="G32" s="333">
        <f t="shared" ref="G32:G35" si="62">+F32-E32</f>
        <v>-50.4</v>
      </c>
      <c r="H32" s="334">
        <f t="shared" ref="H32:H35" si="63">IF(E32=0,"",F32/E32)</f>
        <v>0</v>
      </c>
      <c r="I32" s="335">
        <v>57.6</v>
      </c>
      <c r="J32" s="331">
        <f t="shared" ref="J32:J35" si="64">I32</f>
        <v>57.6</v>
      </c>
      <c r="K32" s="332">
        <v>0</v>
      </c>
      <c r="L32" s="333">
        <f t="shared" ref="L32:L35" si="65">+K32-J32</f>
        <v>-57.6</v>
      </c>
      <c r="M32" s="334">
        <f t="shared" ref="M32:M35" si="66">IF(J32=0,"",K32/J32)</f>
        <v>0</v>
      </c>
      <c r="N32" s="335">
        <f t="shared" ref="N32:Q35" si="67">+I32+D32</f>
        <v>108</v>
      </c>
      <c r="O32" s="331">
        <f t="shared" si="67"/>
        <v>108</v>
      </c>
      <c r="P32" s="332">
        <f t="shared" si="67"/>
        <v>0</v>
      </c>
      <c r="Q32" s="333">
        <f t="shared" si="67"/>
        <v>-108</v>
      </c>
      <c r="R32" s="336">
        <f t="shared" ref="R32:R35" si="68">IF(O32=0,"",P32/O32)</f>
        <v>0</v>
      </c>
      <c r="S32" s="330">
        <v>160</v>
      </c>
      <c r="T32" s="331">
        <f t="shared" ref="T32:T33" si="69">S32</f>
        <v>160</v>
      </c>
      <c r="U32" s="332">
        <v>192.17400000000001</v>
      </c>
      <c r="V32" s="333"/>
      <c r="W32" s="393">
        <f t="shared" ref="W32:W35" si="70">IF(T32=0,"",U32/T32)</f>
        <v>1.2010875000000001</v>
      </c>
      <c r="X32" s="330">
        <v>393.89939470466499</v>
      </c>
      <c r="Y32" s="331">
        <f t="shared" ref="Y32:Y33" si="71">X32</f>
        <v>393.89939470466499</v>
      </c>
      <c r="Z32" s="332">
        <v>588</v>
      </c>
      <c r="AA32" s="333"/>
      <c r="AB32" s="336">
        <f t="shared" ref="AB32:AB35" si="72">IF(Y32=0,"",Z32/Y32)</f>
        <v>1.4927669549755627</v>
      </c>
      <c r="AC32" s="333">
        <f t="shared" ref="AC32:AE35" si="73">+N32+S32+X32</f>
        <v>661.89939470466493</v>
      </c>
      <c r="AD32" s="331">
        <f t="shared" si="73"/>
        <v>661.89939470466493</v>
      </c>
      <c r="AE32" s="332">
        <f t="shared" si="73"/>
        <v>780.17399999999998</v>
      </c>
      <c r="AF32" s="333">
        <f t="shared" ref="AF32:AF35" si="74">AE32-AD32</f>
        <v>118.27460529533505</v>
      </c>
      <c r="AG32" s="334">
        <f t="shared" ref="AG32:AG35" si="75">IF(AD32=0,"",AE32/AD32)</f>
        <v>1.1786897015491431</v>
      </c>
    </row>
    <row r="33" spans="2:33" x14ac:dyDescent="0.45">
      <c r="B33" s="636" t="s">
        <v>444</v>
      </c>
      <c r="C33" s="635"/>
      <c r="D33" s="330">
        <v>19.457999999999998</v>
      </c>
      <c r="E33" s="331">
        <f t="shared" si="61"/>
        <v>19.457999999999998</v>
      </c>
      <c r="F33" s="332">
        <v>0</v>
      </c>
      <c r="G33" s="333">
        <f t="shared" si="62"/>
        <v>-19.457999999999998</v>
      </c>
      <c r="H33" s="334">
        <f t="shared" si="63"/>
        <v>0</v>
      </c>
      <c r="I33" s="335">
        <v>21.942</v>
      </c>
      <c r="J33" s="331">
        <f t="shared" si="64"/>
        <v>21.942</v>
      </c>
      <c r="K33" s="332">
        <v>0</v>
      </c>
      <c r="L33" s="333">
        <f t="shared" si="65"/>
        <v>-21.942</v>
      </c>
      <c r="M33" s="334">
        <f t="shared" si="66"/>
        <v>0</v>
      </c>
      <c r="N33" s="335">
        <f t="shared" si="67"/>
        <v>41.4</v>
      </c>
      <c r="O33" s="331">
        <f t="shared" si="67"/>
        <v>41.4</v>
      </c>
      <c r="P33" s="332">
        <f t="shared" si="67"/>
        <v>0</v>
      </c>
      <c r="Q33" s="333">
        <f t="shared" si="67"/>
        <v>-41.4</v>
      </c>
      <c r="R33" s="336">
        <f t="shared" si="68"/>
        <v>0</v>
      </c>
      <c r="S33" s="330">
        <v>62.099999999999994</v>
      </c>
      <c r="T33" s="331">
        <f t="shared" si="69"/>
        <v>62.099999999999994</v>
      </c>
      <c r="U33" s="332">
        <v>94.084999999999994</v>
      </c>
      <c r="V33" s="333"/>
      <c r="W33" s="393">
        <f t="shared" si="70"/>
        <v>1.5150563607085346</v>
      </c>
      <c r="X33" s="330">
        <v>160.7352911731094</v>
      </c>
      <c r="Y33" s="331">
        <f t="shared" si="71"/>
        <v>160.7352911731094</v>
      </c>
      <c r="Z33" s="392"/>
      <c r="AA33" s="333"/>
      <c r="AB33" s="336">
        <f t="shared" si="72"/>
        <v>0</v>
      </c>
      <c r="AC33" s="333">
        <f t="shared" si="73"/>
        <v>264.23529117310943</v>
      </c>
      <c r="AD33" s="331">
        <f t="shared" si="73"/>
        <v>264.23529117310943</v>
      </c>
      <c r="AE33" s="332">
        <f t="shared" si="73"/>
        <v>94.084999999999994</v>
      </c>
      <c r="AF33" s="333">
        <f t="shared" si="74"/>
        <v>-170.15029117310945</v>
      </c>
      <c r="AG33" s="334">
        <f t="shared" si="75"/>
        <v>0.35606523103820276</v>
      </c>
    </row>
    <row r="34" spans="2:33" x14ac:dyDescent="0.45">
      <c r="B34" s="636" t="s">
        <v>445</v>
      </c>
      <c r="C34" s="635"/>
      <c r="D34" s="330">
        <v>17.712</v>
      </c>
      <c r="E34" s="665">
        <f t="shared" si="61"/>
        <v>17.712</v>
      </c>
      <c r="F34" s="332">
        <v>0</v>
      </c>
      <c r="G34" s="330">
        <f t="shared" si="62"/>
        <v>-17.712</v>
      </c>
      <c r="H34" s="334">
        <f t="shared" si="63"/>
        <v>0</v>
      </c>
      <c r="I34" s="335">
        <v>10.512</v>
      </c>
      <c r="J34" s="396">
        <f t="shared" si="64"/>
        <v>10.512</v>
      </c>
      <c r="K34" s="332">
        <v>0</v>
      </c>
      <c r="L34" s="333">
        <f>+K34-J34</f>
        <v>-10.512</v>
      </c>
      <c r="M34" s="334">
        <f t="shared" si="66"/>
        <v>0</v>
      </c>
      <c r="N34" s="335">
        <f>+I34+D34</f>
        <v>28.224</v>
      </c>
      <c r="O34" s="331">
        <f>+J34+E34</f>
        <v>28.224</v>
      </c>
      <c r="P34" s="332">
        <f>+K34+F34</f>
        <v>0</v>
      </c>
      <c r="Q34" s="333">
        <f>+L34+G34</f>
        <v>-28.224</v>
      </c>
      <c r="R34" s="336">
        <f t="shared" si="68"/>
        <v>0</v>
      </c>
      <c r="S34" s="330"/>
      <c r="T34" s="331"/>
      <c r="U34" s="332"/>
      <c r="V34" s="333"/>
      <c r="W34" s="393" t="str">
        <f t="shared" si="70"/>
        <v/>
      </c>
      <c r="X34" s="330"/>
      <c r="Y34" s="331"/>
      <c r="Z34" s="332"/>
      <c r="AA34" s="333"/>
      <c r="AB34" s="336" t="str">
        <f t="shared" si="72"/>
        <v/>
      </c>
      <c r="AC34" s="333">
        <f t="shared" si="73"/>
        <v>28.224</v>
      </c>
      <c r="AD34" s="331">
        <f t="shared" si="73"/>
        <v>28.224</v>
      </c>
      <c r="AE34" s="332">
        <f t="shared" si="73"/>
        <v>0</v>
      </c>
      <c r="AF34" s="333">
        <f t="shared" si="74"/>
        <v>-28.224</v>
      </c>
      <c r="AG34" s="334">
        <f t="shared" si="75"/>
        <v>0</v>
      </c>
    </row>
    <row r="35" spans="2:33" x14ac:dyDescent="0.45">
      <c r="B35" s="636" t="s">
        <v>446</v>
      </c>
      <c r="C35" s="635"/>
      <c r="D35" s="330">
        <v>10.109</v>
      </c>
      <c r="E35" s="665">
        <f t="shared" si="61"/>
        <v>10.109</v>
      </c>
      <c r="F35" s="332">
        <v>0</v>
      </c>
      <c r="G35" s="330">
        <f t="shared" si="62"/>
        <v>-10.109</v>
      </c>
      <c r="H35" s="334">
        <f t="shared" si="63"/>
        <v>0</v>
      </c>
      <c r="I35" s="335">
        <v>10.377000000000001</v>
      </c>
      <c r="J35" s="331">
        <f t="shared" si="64"/>
        <v>10.377000000000001</v>
      </c>
      <c r="K35" s="332">
        <v>0</v>
      </c>
      <c r="L35" s="333">
        <f t="shared" si="65"/>
        <v>-10.377000000000001</v>
      </c>
      <c r="M35" s="334">
        <f t="shared" si="66"/>
        <v>0</v>
      </c>
      <c r="N35" s="335">
        <f t="shared" si="67"/>
        <v>20.486000000000001</v>
      </c>
      <c r="O35" s="331">
        <f t="shared" si="67"/>
        <v>20.486000000000001</v>
      </c>
      <c r="P35" s="332">
        <f t="shared" si="67"/>
        <v>0</v>
      </c>
      <c r="Q35" s="333">
        <f t="shared" si="67"/>
        <v>-20.486000000000001</v>
      </c>
      <c r="R35" s="336">
        <f t="shared" si="68"/>
        <v>0</v>
      </c>
      <c r="S35" s="330"/>
      <c r="T35" s="331"/>
      <c r="U35" s="332"/>
      <c r="V35" s="333"/>
      <c r="W35" s="393" t="str">
        <f t="shared" si="70"/>
        <v/>
      </c>
      <c r="X35" s="330"/>
      <c r="Y35" s="331"/>
      <c r="Z35" s="332"/>
      <c r="AA35" s="333"/>
      <c r="AB35" s="336" t="str">
        <f t="shared" si="72"/>
        <v/>
      </c>
      <c r="AC35" s="333">
        <f t="shared" si="73"/>
        <v>20.486000000000001</v>
      </c>
      <c r="AD35" s="331">
        <f t="shared" si="73"/>
        <v>20.486000000000001</v>
      </c>
      <c r="AE35" s="332">
        <f t="shared" si="73"/>
        <v>0</v>
      </c>
      <c r="AF35" s="333">
        <f t="shared" si="74"/>
        <v>-20.486000000000001</v>
      </c>
      <c r="AG35" s="334">
        <f t="shared" si="75"/>
        <v>0</v>
      </c>
    </row>
    <row r="36" spans="2:33" x14ac:dyDescent="0.45">
      <c r="D36" s="397"/>
      <c r="E36" s="398"/>
      <c r="F36" s="398">
        <f>SUM(F32:F35)</f>
        <v>0</v>
      </c>
      <c r="G36" s="398"/>
      <c r="H36" s="399"/>
      <c r="I36" s="398">
        <f t="shared" ref="I36:J36" si="76">SUM(I32:I35)</f>
        <v>100.431</v>
      </c>
      <c r="J36" s="398">
        <f t="shared" si="76"/>
        <v>100.431</v>
      </c>
      <c r="K36" s="398">
        <f>SUM(K32:K35)</f>
        <v>0</v>
      </c>
      <c r="L36" s="398">
        <f>+K36-J36</f>
        <v>-100.431</v>
      </c>
      <c r="M36" s="399"/>
      <c r="N36" s="398"/>
      <c r="O36" s="398"/>
      <c r="P36" s="398">
        <f>SUM(P32:P35)</f>
        <v>0</v>
      </c>
      <c r="Q36" s="398"/>
      <c r="R36" s="400"/>
      <c r="S36" s="397"/>
      <c r="T36" s="398"/>
      <c r="U36" s="398">
        <f>SUM(U32:U35)</f>
        <v>286.25900000000001</v>
      </c>
      <c r="V36" s="398"/>
      <c r="W36" s="399"/>
      <c r="X36" s="397"/>
      <c r="Y36" s="398"/>
      <c r="Z36" s="398">
        <f>SUM(Z32:Z35)</f>
        <v>588</v>
      </c>
      <c r="AA36" s="398"/>
      <c r="AB36" s="400"/>
      <c r="AC36" s="352"/>
      <c r="AD36" s="352"/>
      <c r="AE36" s="398">
        <f>SUM(AE32:AE35)</f>
        <v>874.25900000000001</v>
      </c>
      <c r="AF36" s="352"/>
      <c r="AG36" s="353"/>
    </row>
    <row r="37" spans="2:33" ht="18.600000000000001" thickBot="1" x14ac:dyDescent="0.5">
      <c r="B37" s="637" t="s">
        <v>447</v>
      </c>
      <c r="C37" s="638"/>
      <c r="D37" s="337">
        <v>6</v>
      </c>
      <c r="E37" s="338">
        <f>D37</f>
        <v>6</v>
      </c>
      <c r="F37" s="339">
        <v>0</v>
      </c>
      <c r="G37" s="340">
        <f t="shared" ref="G37" si="77">+F37-E37</f>
        <v>-6</v>
      </c>
      <c r="H37" s="341">
        <f>IF(E37=0,"",F37/E37)</f>
        <v>0</v>
      </c>
      <c r="I37" s="342">
        <v>6</v>
      </c>
      <c r="J37" s="338">
        <f>I37</f>
        <v>6</v>
      </c>
      <c r="K37" s="339">
        <v>0</v>
      </c>
      <c r="L37" s="340">
        <f t="shared" ref="L37" si="78">+K37-J37</f>
        <v>-6</v>
      </c>
      <c r="M37" s="341">
        <f>IF(J37=0,"",K37/J37)</f>
        <v>0</v>
      </c>
      <c r="N37" s="342">
        <f>+I37+D37</f>
        <v>12</v>
      </c>
      <c r="O37" s="338">
        <f>+J37+E37</f>
        <v>12</v>
      </c>
      <c r="P37" s="339">
        <f>+K37+F37</f>
        <v>0</v>
      </c>
      <c r="Q37" s="340">
        <f>+L37+G37</f>
        <v>-12</v>
      </c>
      <c r="R37" s="343">
        <f>IF(O37=0,"",P37/O37)</f>
        <v>0</v>
      </c>
      <c r="S37" s="342">
        <v>20</v>
      </c>
      <c r="T37" s="338">
        <f>S37</f>
        <v>20</v>
      </c>
      <c r="U37" s="339">
        <v>45.75</v>
      </c>
      <c r="V37" s="340">
        <f t="shared" ref="V37" si="79">+U37-T37</f>
        <v>25.75</v>
      </c>
      <c r="W37" s="402">
        <f>IF(T37=0,"",U37/T37)</f>
        <v>2.2875000000000001</v>
      </c>
      <c r="X37" s="337">
        <v>72</v>
      </c>
      <c r="Y37" s="338">
        <f>X37</f>
        <v>72</v>
      </c>
      <c r="Z37" s="339"/>
      <c r="AA37" s="340">
        <f t="shared" ref="AA37" si="80">+Z37-Y37</f>
        <v>-72</v>
      </c>
      <c r="AB37" s="343">
        <f>IF(Y37=0,"",Z37/Y37)</f>
        <v>0</v>
      </c>
      <c r="AC37" s="340">
        <f t="shared" ref="AC37:AE38" si="81">+N37+S37+X37</f>
        <v>104</v>
      </c>
      <c r="AD37" s="338">
        <f t="shared" si="81"/>
        <v>104</v>
      </c>
      <c r="AE37" s="339">
        <f t="shared" si="81"/>
        <v>45.75</v>
      </c>
      <c r="AF37" s="340">
        <f t="shared" ref="AF37:AF38" si="82">AE37-AD37</f>
        <v>-58.25</v>
      </c>
      <c r="AG37" s="341">
        <f>IF(AD37=0,"",AE37/AD37)</f>
        <v>0.43990384615384615</v>
      </c>
    </row>
    <row r="38" spans="2:33" ht="18.600000000000001" thickBot="1" x14ac:dyDescent="0.5">
      <c r="B38" s="639" t="s">
        <v>448</v>
      </c>
      <c r="C38" s="640"/>
      <c r="D38" s="314">
        <f t="shared" ref="D38:E38" si="83">SUM(D32:D35,D37)</f>
        <v>103.679</v>
      </c>
      <c r="E38" s="315">
        <f t="shared" si="83"/>
        <v>103.679</v>
      </c>
      <c r="F38" s="316">
        <f>SUM(F32:F35,F37)</f>
        <v>0</v>
      </c>
      <c r="G38" s="317">
        <f>SUM(G32:G35,G37)</f>
        <v>-103.679</v>
      </c>
      <c r="H38" s="318">
        <f>IF(E38=0,"",F38/E38)</f>
        <v>0</v>
      </c>
      <c r="I38" s="319">
        <f t="shared" ref="I38:J38" si="84">SUM(I32:I35,I37)</f>
        <v>106.431</v>
      </c>
      <c r="J38" s="315">
        <f t="shared" si="84"/>
        <v>106.431</v>
      </c>
      <c r="K38" s="316">
        <f>SUM(K32:K35,K37)</f>
        <v>0</v>
      </c>
      <c r="L38" s="317">
        <f>SUM(L32:L35,L37)</f>
        <v>-106.431</v>
      </c>
      <c r="M38" s="318">
        <f>IF(J38=0,"",K38/J38)</f>
        <v>0</v>
      </c>
      <c r="N38" s="319">
        <f>SUM(N32:N35,N37)</f>
        <v>210.10999999999999</v>
      </c>
      <c r="O38" s="315">
        <f>SUM(O32:O35,O37)</f>
        <v>210.10999999999999</v>
      </c>
      <c r="P38" s="316">
        <f>SUM(P32:P35,P37)</f>
        <v>0</v>
      </c>
      <c r="Q38" s="317">
        <f>SUM(Q32:Q35,Q37)</f>
        <v>-210.10999999999999</v>
      </c>
      <c r="R38" s="320">
        <f>IF(O38=0,"",P38/O38)</f>
        <v>0</v>
      </c>
      <c r="S38" s="319">
        <f t="shared" ref="S38:T38" si="85">SUM(S32:S35,S37)</f>
        <v>242.1</v>
      </c>
      <c r="T38" s="315">
        <f t="shared" si="85"/>
        <v>242.1</v>
      </c>
      <c r="U38" s="316">
        <f>SUM(U32:U35,U37)</f>
        <v>332.00900000000001</v>
      </c>
      <c r="V38" s="317">
        <f>SUM(V32:V35,V37)</f>
        <v>25.75</v>
      </c>
      <c r="W38" s="385">
        <f>IF(T38=0,"",U38/T38)</f>
        <v>1.3713713341594382</v>
      </c>
      <c r="X38" s="314">
        <f t="shared" ref="X38:Y38" si="86">SUM(X32:X35,X37)</f>
        <v>626.63468587777436</v>
      </c>
      <c r="Y38" s="315">
        <f t="shared" si="86"/>
        <v>626.63468587777436</v>
      </c>
      <c r="Z38" s="316">
        <f>SUM(Z32:Z35,Z37)</f>
        <v>588</v>
      </c>
      <c r="AA38" s="317">
        <f>SUM(AA32:AA35,AA37)</f>
        <v>-72</v>
      </c>
      <c r="AB38" s="320">
        <f>IF(Y38=0,"",Z38/Y38)</f>
        <v>0.93834575910260087</v>
      </c>
      <c r="AC38" s="317">
        <f t="shared" si="81"/>
        <v>1078.8446858777743</v>
      </c>
      <c r="AD38" s="315">
        <f t="shared" si="81"/>
        <v>1078.8446858777743</v>
      </c>
      <c r="AE38" s="316">
        <f t="shared" si="81"/>
        <v>920.00900000000001</v>
      </c>
      <c r="AF38" s="317">
        <f t="shared" si="82"/>
        <v>-158.83568587777427</v>
      </c>
      <c r="AG38" s="320">
        <f>IF(AD38=0,"",AE38/AD38)</f>
        <v>0.85277242595069036</v>
      </c>
    </row>
    <row r="39" spans="2:33" x14ac:dyDescent="0.45">
      <c r="B39" s="403"/>
      <c r="C39" s="404"/>
      <c r="D39" s="346"/>
      <c r="E39" s="347"/>
      <c r="F39" s="347"/>
      <c r="G39" s="347"/>
      <c r="H39" s="348"/>
      <c r="I39" s="349"/>
      <c r="J39" s="347"/>
      <c r="K39" s="347"/>
      <c r="L39" s="347"/>
      <c r="M39" s="348"/>
      <c r="N39" s="349"/>
      <c r="O39" s="347"/>
      <c r="P39" s="347"/>
      <c r="Q39" s="347"/>
      <c r="R39" s="350"/>
      <c r="S39" s="346"/>
      <c r="T39" s="347"/>
      <c r="U39" s="347"/>
      <c r="V39" s="347"/>
      <c r="W39" s="405"/>
      <c r="X39" s="346"/>
      <c r="Y39" s="347"/>
      <c r="Z39" s="347"/>
      <c r="AA39" s="347"/>
      <c r="AB39" s="350"/>
      <c r="AC39" s="347"/>
      <c r="AD39" s="347"/>
      <c r="AE39" s="347"/>
      <c r="AF39" s="347"/>
      <c r="AG39" s="348"/>
    </row>
    <row r="40" spans="2:33" x14ac:dyDescent="0.45">
      <c r="B40" s="636" t="s">
        <v>424</v>
      </c>
      <c r="C40" s="635"/>
      <c r="D40" s="330">
        <v>0</v>
      </c>
      <c r="E40" s="331">
        <f t="shared" ref="E40:E42" si="87">D40</f>
        <v>0</v>
      </c>
      <c r="F40" s="332">
        <v>0</v>
      </c>
      <c r="G40" s="333">
        <f t="shared" ref="G40:G43" si="88">+F40-E40</f>
        <v>0</v>
      </c>
      <c r="H40" s="334" t="str">
        <f t="shared" ref="H40:H43" si="89">IF(E40=0,"",F40/E40)</f>
        <v/>
      </c>
      <c r="I40" s="335">
        <v>0</v>
      </c>
      <c r="J40" s="331">
        <f t="shared" ref="J40:J42" si="90">I40</f>
        <v>0</v>
      </c>
      <c r="K40" s="332">
        <v>0</v>
      </c>
      <c r="L40" s="333">
        <f t="shared" ref="L40:L43" si="91">+K40-J40</f>
        <v>0</v>
      </c>
      <c r="M40" s="334" t="str">
        <f t="shared" ref="M40:M43" si="92">IF(J40=0,"",K40/J40)</f>
        <v/>
      </c>
      <c r="N40" s="335">
        <f t="shared" ref="N40:Q43" si="93">+I40+D40</f>
        <v>0</v>
      </c>
      <c r="O40" s="331">
        <f t="shared" si="93"/>
        <v>0</v>
      </c>
      <c r="P40" s="332">
        <f t="shared" si="93"/>
        <v>0</v>
      </c>
      <c r="Q40" s="333">
        <f t="shared" si="93"/>
        <v>0</v>
      </c>
      <c r="R40" s="336" t="str">
        <f t="shared" ref="R40:R43" si="94">IF(O40=0,"",P40/O40)</f>
        <v/>
      </c>
      <c r="S40" s="335">
        <v>0</v>
      </c>
      <c r="T40" s="331">
        <f t="shared" ref="T40:T42" si="95">S40</f>
        <v>0</v>
      </c>
      <c r="U40" s="332">
        <v>0</v>
      </c>
      <c r="V40" s="333">
        <f t="shared" ref="V40:V43" si="96">+U40-T40</f>
        <v>0</v>
      </c>
      <c r="W40" s="393" t="str">
        <f t="shared" ref="W40:W43" si="97">IF(T40=0,"",U40/T40)</f>
        <v/>
      </c>
      <c r="X40" s="330">
        <v>6</v>
      </c>
      <c r="Y40" s="331">
        <f t="shared" ref="Y40:Y42" si="98">X40</f>
        <v>6</v>
      </c>
      <c r="Z40" s="332">
        <v>80</v>
      </c>
      <c r="AA40" s="333">
        <f t="shared" ref="AA40:AA59" si="99">+Z40-Y40</f>
        <v>74</v>
      </c>
      <c r="AB40" s="336">
        <f t="shared" ref="AB40:AB43" si="100">IF(Y40=0,"",Z40/Y40)</f>
        <v>13.333333333333334</v>
      </c>
      <c r="AC40" s="333">
        <f t="shared" ref="AC40:AE43" si="101">+N40+S40+X40</f>
        <v>6</v>
      </c>
      <c r="AD40" s="331">
        <f t="shared" si="101"/>
        <v>6</v>
      </c>
      <c r="AE40" s="392">
        <f t="shared" si="101"/>
        <v>80</v>
      </c>
      <c r="AF40" s="333">
        <f t="shared" ref="AF40:AF43" si="102">AE40-AD40</f>
        <v>74</v>
      </c>
      <c r="AG40" s="334">
        <f t="shared" ref="AG40:AG43" si="103">IF(AD40=0,"",AE40/AD40)</f>
        <v>13.333333333333334</v>
      </c>
    </row>
    <row r="41" spans="2:33" x14ac:dyDescent="0.45">
      <c r="B41" s="636" t="s">
        <v>425</v>
      </c>
      <c r="C41" s="635"/>
      <c r="D41" s="330">
        <v>3</v>
      </c>
      <c r="E41" s="331">
        <f t="shared" si="87"/>
        <v>3</v>
      </c>
      <c r="F41" s="332">
        <v>0</v>
      </c>
      <c r="G41" s="333">
        <f t="shared" si="88"/>
        <v>-3</v>
      </c>
      <c r="H41" s="334">
        <f t="shared" si="89"/>
        <v>0</v>
      </c>
      <c r="I41" s="335">
        <v>3</v>
      </c>
      <c r="J41" s="331">
        <f t="shared" si="90"/>
        <v>3</v>
      </c>
      <c r="K41" s="332">
        <v>0</v>
      </c>
      <c r="L41" s="333">
        <f t="shared" si="91"/>
        <v>-3</v>
      </c>
      <c r="M41" s="334">
        <f t="shared" si="92"/>
        <v>0</v>
      </c>
      <c r="N41" s="335">
        <f t="shared" si="93"/>
        <v>6</v>
      </c>
      <c r="O41" s="331">
        <f t="shared" si="93"/>
        <v>6</v>
      </c>
      <c r="P41" s="332">
        <f t="shared" si="93"/>
        <v>0</v>
      </c>
      <c r="Q41" s="333">
        <f t="shared" si="93"/>
        <v>-6</v>
      </c>
      <c r="R41" s="336">
        <f t="shared" si="94"/>
        <v>0</v>
      </c>
      <c r="S41" s="335">
        <v>9</v>
      </c>
      <c r="T41" s="331">
        <f t="shared" si="95"/>
        <v>9</v>
      </c>
      <c r="U41" s="332">
        <v>0</v>
      </c>
      <c r="V41" s="333">
        <f t="shared" si="96"/>
        <v>-9</v>
      </c>
      <c r="W41" s="393">
        <f t="shared" si="97"/>
        <v>0</v>
      </c>
      <c r="X41" s="330">
        <v>16.588000000000001</v>
      </c>
      <c r="Y41" s="331">
        <f t="shared" si="98"/>
        <v>16.588000000000001</v>
      </c>
      <c r="Z41" s="332">
        <v>18</v>
      </c>
      <c r="AA41" s="333">
        <f t="shared" si="99"/>
        <v>1.411999999999999</v>
      </c>
      <c r="AB41" s="336">
        <f t="shared" si="100"/>
        <v>1.085121774776947</v>
      </c>
      <c r="AC41" s="333">
        <f t="shared" si="101"/>
        <v>31.588000000000001</v>
      </c>
      <c r="AD41" s="331">
        <f t="shared" si="101"/>
        <v>31.588000000000001</v>
      </c>
      <c r="AE41" s="392">
        <f t="shared" si="101"/>
        <v>18</v>
      </c>
      <c r="AF41" s="333">
        <f t="shared" si="102"/>
        <v>-13.588000000000001</v>
      </c>
      <c r="AG41" s="334">
        <f t="shared" si="103"/>
        <v>0.56983664682790935</v>
      </c>
    </row>
    <row r="42" spans="2:33" ht="18.600000000000001" thickBot="1" x14ac:dyDescent="0.5">
      <c r="B42" s="636" t="s">
        <v>426</v>
      </c>
      <c r="C42" s="635"/>
      <c r="D42" s="330">
        <v>0</v>
      </c>
      <c r="E42" s="331">
        <f t="shared" si="87"/>
        <v>0</v>
      </c>
      <c r="F42" s="332">
        <v>0</v>
      </c>
      <c r="G42" s="333">
        <f t="shared" si="88"/>
        <v>0</v>
      </c>
      <c r="H42" s="334" t="str">
        <f t="shared" si="89"/>
        <v/>
      </c>
      <c r="I42" s="335">
        <v>0.43478260869565216</v>
      </c>
      <c r="J42" s="331">
        <f t="shared" si="90"/>
        <v>0.43478260869565216</v>
      </c>
      <c r="K42" s="332">
        <v>0</v>
      </c>
      <c r="L42" s="333">
        <f t="shared" si="91"/>
        <v>-0.43478260869565216</v>
      </c>
      <c r="M42" s="334">
        <f t="shared" si="92"/>
        <v>0</v>
      </c>
      <c r="N42" s="335">
        <f t="shared" si="93"/>
        <v>0.43478260869565216</v>
      </c>
      <c r="O42" s="331">
        <f t="shared" si="93"/>
        <v>0.43478260869565216</v>
      </c>
      <c r="P42" s="332">
        <f t="shared" si="93"/>
        <v>0</v>
      </c>
      <c r="Q42" s="333">
        <f t="shared" si="93"/>
        <v>-0.43478260869565216</v>
      </c>
      <c r="R42" s="336">
        <f t="shared" si="94"/>
        <v>0</v>
      </c>
      <c r="S42" s="335">
        <v>0</v>
      </c>
      <c r="T42" s="331">
        <f t="shared" si="95"/>
        <v>0</v>
      </c>
      <c r="U42" s="332">
        <v>0</v>
      </c>
      <c r="V42" s="333">
        <f t="shared" si="96"/>
        <v>0</v>
      </c>
      <c r="W42" s="393" t="str">
        <f t="shared" si="97"/>
        <v/>
      </c>
      <c r="X42" s="330">
        <v>6</v>
      </c>
      <c r="Y42" s="331">
        <f t="shared" si="98"/>
        <v>6</v>
      </c>
      <c r="Z42" s="332">
        <v>24</v>
      </c>
      <c r="AA42" s="333">
        <f t="shared" si="99"/>
        <v>18</v>
      </c>
      <c r="AB42" s="336">
        <f t="shared" si="100"/>
        <v>4</v>
      </c>
      <c r="AC42" s="333">
        <f t="shared" si="101"/>
        <v>6.4347826086956523</v>
      </c>
      <c r="AD42" s="331">
        <f t="shared" si="101"/>
        <v>6.4347826086956523</v>
      </c>
      <c r="AE42" s="392">
        <f t="shared" si="101"/>
        <v>24</v>
      </c>
      <c r="AF42" s="333">
        <f t="shared" si="102"/>
        <v>17.565217391304348</v>
      </c>
      <c r="AG42" s="334">
        <f t="shared" si="103"/>
        <v>3.7297297297297298</v>
      </c>
    </row>
    <row r="43" spans="2:33" ht="18.600000000000001" thickBot="1" x14ac:dyDescent="0.5">
      <c r="B43" s="639" t="s">
        <v>427</v>
      </c>
      <c r="C43" s="640"/>
      <c r="D43" s="314">
        <f t="shared" ref="D43:E43" si="104">SUM(D40:D42)</f>
        <v>3</v>
      </c>
      <c r="E43" s="315">
        <f t="shared" si="104"/>
        <v>3</v>
      </c>
      <c r="F43" s="316">
        <f>SUM(F40:F42)</f>
        <v>0</v>
      </c>
      <c r="G43" s="317">
        <f t="shared" si="88"/>
        <v>-3</v>
      </c>
      <c r="H43" s="318">
        <f t="shared" si="89"/>
        <v>0</v>
      </c>
      <c r="I43" s="319">
        <f t="shared" ref="I43:J43" si="105">SUM(I40:I42)</f>
        <v>3.4347826086956523</v>
      </c>
      <c r="J43" s="315">
        <f t="shared" si="105"/>
        <v>3.4347826086956523</v>
      </c>
      <c r="K43" s="316">
        <f>SUM(K40:K42)</f>
        <v>0</v>
      </c>
      <c r="L43" s="317">
        <f t="shared" si="91"/>
        <v>-3.4347826086956523</v>
      </c>
      <c r="M43" s="318">
        <f t="shared" si="92"/>
        <v>0</v>
      </c>
      <c r="N43" s="319">
        <f t="shared" si="93"/>
        <v>6.4347826086956523</v>
      </c>
      <c r="O43" s="315">
        <f t="shared" si="93"/>
        <v>6.4347826086956523</v>
      </c>
      <c r="P43" s="316">
        <f t="shared" si="93"/>
        <v>0</v>
      </c>
      <c r="Q43" s="317">
        <f t="shared" si="93"/>
        <v>-6.4347826086956523</v>
      </c>
      <c r="R43" s="320">
        <f t="shared" si="94"/>
        <v>0</v>
      </c>
      <c r="S43" s="319">
        <f t="shared" ref="S43:T43" si="106">SUM(S40:S42)</f>
        <v>9</v>
      </c>
      <c r="T43" s="315">
        <f t="shared" si="106"/>
        <v>9</v>
      </c>
      <c r="U43" s="316">
        <f>SUM(U40:U42)</f>
        <v>0</v>
      </c>
      <c r="V43" s="317">
        <f t="shared" si="96"/>
        <v>-9</v>
      </c>
      <c r="W43" s="385">
        <f t="shared" si="97"/>
        <v>0</v>
      </c>
      <c r="X43" s="314">
        <f t="shared" ref="X43:Y43" si="107">SUM(X40:X42)</f>
        <v>28.588000000000001</v>
      </c>
      <c r="Y43" s="315">
        <f t="shared" si="107"/>
        <v>28.588000000000001</v>
      </c>
      <c r="Z43" s="316">
        <f>SUM(Z40:Z42)</f>
        <v>122</v>
      </c>
      <c r="AA43" s="317">
        <f t="shared" si="99"/>
        <v>93.412000000000006</v>
      </c>
      <c r="AB43" s="320">
        <f t="shared" si="100"/>
        <v>4.2675248355953546</v>
      </c>
      <c r="AC43" s="317">
        <f t="shared" si="101"/>
        <v>44.02278260869565</v>
      </c>
      <c r="AD43" s="315">
        <f t="shared" si="101"/>
        <v>44.02278260869565</v>
      </c>
      <c r="AE43" s="316">
        <f t="shared" si="101"/>
        <v>122</v>
      </c>
      <c r="AF43" s="317">
        <f t="shared" si="102"/>
        <v>77.97721739130435</v>
      </c>
      <c r="AG43" s="320">
        <f t="shared" si="103"/>
        <v>2.7712923347989777</v>
      </c>
    </row>
    <row r="44" spans="2:33" x14ac:dyDescent="0.45">
      <c r="B44" s="344"/>
      <c r="C44" s="345"/>
      <c r="D44" s="346"/>
      <c r="E44" s="347"/>
      <c r="F44" s="347"/>
      <c r="G44" s="347"/>
      <c r="H44" s="348"/>
      <c r="I44" s="349"/>
      <c r="J44" s="347"/>
      <c r="K44" s="347"/>
      <c r="L44" s="347"/>
      <c r="M44" s="348"/>
      <c r="N44" s="349"/>
      <c r="O44" s="347"/>
      <c r="P44" s="347"/>
      <c r="Q44" s="347"/>
      <c r="R44" s="350"/>
      <c r="S44" s="346"/>
      <c r="T44" s="347"/>
      <c r="U44" s="347"/>
      <c r="V44" s="347"/>
      <c r="W44" s="405"/>
      <c r="X44" s="346"/>
      <c r="Y44" s="347"/>
      <c r="Z44" s="347"/>
      <c r="AA44" s="347"/>
      <c r="AB44" s="350"/>
      <c r="AC44" s="347"/>
      <c r="AD44" s="347"/>
      <c r="AE44" s="347"/>
      <c r="AF44" s="347"/>
      <c r="AG44" s="348"/>
    </row>
    <row r="45" spans="2:33" x14ac:dyDescent="0.45">
      <c r="B45" s="636" t="s">
        <v>428</v>
      </c>
      <c r="C45" s="635"/>
      <c r="D45" s="330">
        <v>1.3913043478260869</v>
      </c>
      <c r="E45" s="331">
        <f t="shared" ref="E45:E52" si="108">D45</f>
        <v>1.3913043478260869</v>
      </c>
      <c r="F45" s="332">
        <v>0</v>
      </c>
      <c r="G45" s="333">
        <f t="shared" ref="G45:G53" si="109">+F45-E45</f>
        <v>-1.3913043478260869</v>
      </c>
      <c r="H45" s="334">
        <f t="shared" ref="H45:H54" si="110">IF(E45=0,"",F45/E45)</f>
        <v>0</v>
      </c>
      <c r="I45" s="335">
        <v>1</v>
      </c>
      <c r="J45" s="331">
        <f t="shared" ref="J45:J52" si="111">I45</f>
        <v>1</v>
      </c>
      <c r="K45" s="332">
        <v>0</v>
      </c>
      <c r="L45" s="333">
        <f t="shared" ref="L45:L53" si="112">+K45-J45</f>
        <v>-1</v>
      </c>
      <c r="M45" s="334">
        <f t="shared" ref="M45:M54" si="113">IF(J45=0,"",K45/J45)</f>
        <v>0</v>
      </c>
      <c r="N45" s="335">
        <f t="shared" ref="N45:Q53" si="114">+I45+D45</f>
        <v>2.3913043478260869</v>
      </c>
      <c r="O45" s="331">
        <f t="shared" si="114"/>
        <v>2.3913043478260869</v>
      </c>
      <c r="P45" s="332">
        <f t="shared" si="114"/>
        <v>0</v>
      </c>
      <c r="Q45" s="333">
        <f t="shared" si="114"/>
        <v>-2.3913043478260869</v>
      </c>
      <c r="R45" s="336">
        <f t="shared" ref="R45:R54" si="115">IF(O45=0,"",P45/O45)</f>
        <v>0</v>
      </c>
      <c r="S45" s="330">
        <v>3</v>
      </c>
      <c r="T45" s="331">
        <f t="shared" ref="T45:T52" si="116">S45</f>
        <v>3</v>
      </c>
      <c r="U45" s="332">
        <v>0</v>
      </c>
      <c r="V45" s="333">
        <f t="shared" ref="V45:V54" si="117">+U45-T45</f>
        <v>-3</v>
      </c>
      <c r="W45" s="393">
        <f t="shared" ref="W45:W54" si="118">IF(T45=0,"",U45/T45)</f>
        <v>0</v>
      </c>
      <c r="X45" s="330">
        <v>3</v>
      </c>
      <c r="Y45" s="331">
        <f t="shared" ref="Y45:Y52" si="119">X45</f>
        <v>3</v>
      </c>
      <c r="Z45" s="332">
        <v>6</v>
      </c>
      <c r="AA45" s="333">
        <f t="shared" si="99"/>
        <v>3</v>
      </c>
      <c r="AB45" s="336">
        <f t="shared" ref="AB45:AB54" si="120">IF(Y45=0,"",Z45/Y45)</f>
        <v>2</v>
      </c>
      <c r="AC45" s="333">
        <f t="shared" ref="AC45:AE54" si="121">+N45+S45+X45</f>
        <v>8.391304347826086</v>
      </c>
      <c r="AD45" s="331">
        <f t="shared" si="121"/>
        <v>8.391304347826086</v>
      </c>
      <c r="AE45" s="332">
        <f t="shared" si="121"/>
        <v>6</v>
      </c>
      <c r="AF45" s="333">
        <f t="shared" ref="AF45:AF54" si="122">AE45-AD45</f>
        <v>-2.391304347826086</v>
      </c>
      <c r="AG45" s="334">
        <f t="shared" ref="AG45:AG54" si="123">IF(AD45=0,"",AE45/AD45)</f>
        <v>0.71502590673575139</v>
      </c>
    </row>
    <row r="46" spans="2:33" x14ac:dyDescent="0.45">
      <c r="B46" s="636" t="s">
        <v>429</v>
      </c>
      <c r="C46" s="635"/>
      <c r="D46" s="330">
        <v>2</v>
      </c>
      <c r="E46" s="396">
        <f t="shared" si="108"/>
        <v>2</v>
      </c>
      <c r="F46" s="332">
        <v>0</v>
      </c>
      <c r="G46" s="333">
        <f t="shared" si="109"/>
        <v>-2</v>
      </c>
      <c r="H46" s="334">
        <f t="shared" si="110"/>
        <v>0</v>
      </c>
      <c r="I46" s="335">
        <v>6</v>
      </c>
      <c r="J46" s="331">
        <f t="shared" si="111"/>
        <v>6</v>
      </c>
      <c r="K46" s="332">
        <v>0</v>
      </c>
      <c r="L46" s="333">
        <f t="shared" si="112"/>
        <v>-6</v>
      </c>
      <c r="M46" s="334">
        <f t="shared" si="113"/>
        <v>0</v>
      </c>
      <c r="N46" s="335">
        <f t="shared" si="114"/>
        <v>8</v>
      </c>
      <c r="O46" s="331">
        <f t="shared" si="114"/>
        <v>8</v>
      </c>
      <c r="P46" s="332">
        <f t="shared" si="114"/>
        <v>0</v>
      </c>
      <c r="Q46" s="333">
        <f t="shared" si="114"/>
        <v>-8</v>
      </c>
      <c r="R46" s="336">
        <f t="shared" si="115"/>
        <v>0</v>
      </c>
      <c r="S46" s="330"/>
      <c r="T46" s="331">
        <f t="shared" si="116"/>
        <v>0</v>
      </c>
      <c r="U46" s="332">
        <v>0</v>
      </c>
      <c r="V46" s="333">
        <f t="shared" si="117"/>
        <v>0</v>
      </c>
      <c r="W46" s="393" t="str">
        <f t="shared" si="118"/>
        <v/>
      </c>
      <c r="X46" s="330"/>
      <c r="Y46" s="331">
        <f t="shared" si="119"/>
        <v>0</v>
      </c>
      <c r="Z46" s="332">
        <v>0</v>
      </c>
      <c r="AA46" s="333">
        <f t="shared" si="99"/>
        <v>0</v>
      </c>
      <c r="AB46" s="336" t="str">
        <f t="shared" si="120"/>
        <v/>
      </c>
      <c r="AC46" s="333">
        <f t="shared" si="121"/>
        <v>8</v>
      </c>
      <c r="AD46" s="331">
        <f t="shared" si="121"/>
        <v>8</v>
      </c>
      <c r="AE46" s="332">
        <f t="shared" si="121"/>
        <v>0</v>
      </c>
      <c r="AF46" s="333">
        <f t="shared" si="122"/>
        <v>-8</v>
      </c>
      <c r="AG46" s="334">
        <f t="shared" si="123"/>
        <v>0</v>
      </c>
    </row>
    <row r="47" spans="2:33" x14ac:dyDescent="0.45">
      <c r="B47" s="636" t="s">
        <v>430</v>
      </c>
      <c r="C47" s="635"/>
      <c r="D47" s="330">
        <v>0</v>
      </c>
      <c r="E47" s="331">
        <f t="shared" si="108"/>
        <v>0</v>
      </c>
      <c r="F47" s="332">
        <v>0</v>
      </c>
      <c r="G47" s="333">
        <f t="shared" si="109"/>
        <v>0</v>
      </c>
      <c r="H47" s="334" t="str">
        <f t="shared" si="110"/>
        <v/>
      </c>
      <c r="I47" s="335">
        <v>0</v>
      </c>
      <c r="J47" s="331">
        <f t="shared" si="111"/>
        <v>0</v>
      </c>
      <c r="K47" s="332">
        <v>0</v>
      </c>
      <c r="L47" s="333">
        <f t="shared" si="112"/>
        <v>0</v>
      </c>
      <c r="M47" s="334" t="str">
        <f t="shared" si="113"/>
        <v/>
      </c>
      <c r="N47" s="335">
        <f t="shared" si="114"/>
        <v>0</v>
      </c>
      <c r="O47" s="331">
        <f t="shared" si="114"/>
        <v>0</v>
      </c>
      <c r="P47" s="332">
        <f t="shared" si="114"/>
        <v>0</v>
      </c>
      <c r="Q47" s="333">
        <f t="shared" si="114"/>
        <v>0</v>
      </c>
      <c r="R47" s="336" t="str">
        <f t="shared" si="115"/>
        <v/>
      </c>
      <c r="S47" s="330"/>
      <c r="T47" s="331">
        <f t="shared" si="116"/>
        <v>0</v>
      </c>
      <c r="U47" s="332">
        <v>0</v>
      </c>
      <c r="V47" s="333">
        <f t="shared" si="117"/>
        <v>0</v>
      </c>
      <c r="W47" s="393" t="str">
        <f t="shared" si="118"/>
        <v/>
      </c>
      <c r="X47" s="330"/>
      <c r="Y47" s="331">
        <f t="shared" si="119"/>
        <v>0</v>
      </c>
      <c r="Z47" s="332">
        <v>0</v>
      </c>
      <c r="AA47" s="333">
        <f t="shared" si="99"/>
        <v>0</v>
      </c>
      <c r="AB47" s="336" t="str">
        <f t="shared" si="120"/>
        <v/>
      </c>
      <c r="AC47" s="333">
        <f t="shared" si="121"/>
        <v>0</v>
      </c>
      <c r="AD47" s="331">
        <f t="shared" si="121"/>
        <v>0</v>
      </c>
      <c r="AE47" s="332">
        <f t="shared" si="121"/>
        <v>0</v>
      </c>
      <c r="AF47" s="333">
        <f t="shared" si="122"/>
        <v>0</v>
      </c>
      <c r="AG47" s="334" t="str">
        <f t="shared" si="123"/>
        <v/>
      </c>
    </row>
    <row r="48" spans="2:33" x14ac:dyDescent="0.45">
      <c r="B48" s="636" t="s">
        <v>449</v>
      </c>
      <c r="C48" s="635"/>
      <c r="D48" s="330">
        <v>0</v>
      </c>
      <c r="E48" s="331">
        <f t="shared" si="108"/>
        <v>0</v>
      </c>
      <c r="F48" s="332">
        <v>0</v>
      </c>
      <c r="G48" s="333">
        <f t="shared" si="109"/>
        <v>0</v>
      </c>
      <c r="H48" s="334" t="str">
        <f t="shared" si="110"/>
        <v/>
      </c>
      <c r="I48" s="335">
        <v>0</v>
      </c>
      <c r="J48" s="331">
        <f t="shared" si="111"/>
        <v>0</v>
      </c>
      <c r="K48" s="332">
        <v>0</v>
      </c>
      <c r="L48" s="333">
        <f t="shared" si="112"/>
        <v>0</v>
      </c>
      <c r="M48" s="334" t="str">
        <f t="shared" si="113"/>
        <v/>
      </c>
      <c r="N48" s="335">
        <f t="shared" si="114"/>
        <v>0</v>
      </c>
      <c r="O48" s="331">
        <f t="shared" si="114"/>
        <v>0</v>
      </c>
      <c r="P48" s="332">
        <f t="shared" si="114"/>
        <v>0</v>
      </c>
      <c r="Q48" s="333">
        <f t="shared" si="114"/>
        <v>0</v>
      </c>
      <c r="R48" s="336" t="str">
        <f t="shared" si="115"/>
        <v/>
      </c>
      <c r="S48" s="330">
        <v>0</v>
      </c>
      <c r="T48" s="331">
        <f t="shared" si="116"/>
        <v>0</v>
      </c>
      <c r="U48" s="332">
        <v>0</v>
      </c>
      <c r="V48" s="333">
        <f t="shared" si="117"/>
        <v>0</v>
      </c>
      <c r="W48" s="393" t="str">
        <f t="shared" si="118"/>
        <v/>
      </c>
      <c r="X48" s="330">
        <v>10</v>
      </c>
      <c r="Y48" s="331">
        <f t="shared" si="119"/>
        <v>10</v>
      </c>
      <c r="Z48" s="332">
        <v>7</v>
      </c>
      <c r="AA48" s="333">
        <f t="shared" si="99"/>
        <v>-3</v>
      </c>
      <c r="AB48" s="336">
        <f t="shared" si="120"/>
        <v>0.7</v>
      </c>
      <c r="AC48" s="333">
        <f t="shared" si="121"/>
        <v>10</v>
      </c>
      <c r="AD48" s="331">
        <f t="shared" si="121"/>
        <v>10</v>
      </c>
      <c r="AE48" s="332">
        <f t="shared" si="121"/>
        <v>7</v>
      </c>
      <c r="AF48" s="333">
        <f t="shared" si="122"/>
        <v>-3</v>
      </c>
      <c r="AG48" s="334">
        <f t="shared" si="123"/>
        <v>0.7</v>
      </c>
    </row>
    <row r="49" spans="2:34" x14ac:dyDescent="0.45">
      <c r="B49" s="636" t="s">
        <v>432</v>
      </c>
      <c r="C49" s="635"/>
      <c r="D49" s="330">
        <v>0</v>
      </c>
      <c r="E49" s="331">
        <f t="shared" si="108"/>
        <v>0</v>
      </c>
      <c r="F49" s="332">
        <v>0</v>
      </c>
      <c r="G49" s="333">
        <f t="shared" si="109"/>
        <v>0</v>
      </c>
      <c r="H49" s="334" t="str">
        <f t="shared" si="110"/>
        <v/>
      </c>
      <c r="I49" s="335">
        <v>0</v>
      </c>
      <c r="J49" s="331">
        <f t="shared" si="111"/>
        <v>0</v>
      </c>
      <c r="K49" s="332">
        <v>0</v>
      </c>
      <c r="L49" s="333">
        <f t="shared" si="112"/>
        <v>0</v>
      </c>
      <c r="M49" s="334" t="str">
        <f t="shared" si="113"/>
        <v/>
      </c>
      <c r="N49" s="335">
        <f t="shared" si="114"/>
        <v>0</v>
      </c>
      <c r="O49" s="331">
        <f t="shared" si="114"/>
        <v>0</v>
      </c>
      <c r="P49" s="332">
        <f t="shared" si="114"/>
        <v>0</v>
      </c>
      <c r="Q49" s="333">
        <f t="shared" si="114"/>
        <v>0</v>
      </c>
      <c r="R49" s="336" t="str">
        <f t="shared" si="115"/>
        <v/>
      </c>
      <c r="S49" s="330"/>
      <c r="T49" s="331">
        <f t="shared" si="116"/>
        <v>0</v>
      </c>
      <c r="U49" s="332">
        <v>0</v>
      </c>
      <c r="V49" s="333">
        <f t="shared" si="117"/>
        <v>0</v>
      </c>
      <c r="W49" s="393" t="str">
        <f t="shared" si="118"/>
        <v/>
      </c>
      <c r="X49" s="330"/>
      <c r="Y49" s="331">
        <f t="shared" si="119"/>
        <v>0</v>
      </c>
      <c r="Z49" s="332">
        <v>0</v>
      </c>
      <c r="AA49" s="333">
        <f t="shared" si="99"/>
        <v>0</v>
      </c>
      <c r="AB49" s="336" t="str">
        <f t="shared" si="120"/>
        <v/>
      </c>
      <c r="AC49" s="333">
        <f t="shared" si="121"/>
        <v>0</v>
      </c>
      <c r="AD49" s="331">
        <f t="shared" si="121"/>
        <v>0</v>
      </c>
      <c r="AE49" s="332">
        <f t="shared" si="121"/>
        <v>0</v>
      </c>
      <c r="AF49" s="333">
        <f t="shared" si="122"/>
        <v>0</v>
      </c>
      <c r="AG49" s="334" t="str">
        <f t="shared" si="123"/>
        <v/>
      </c>
    </row>
    <row r="50" spans="2:34" x14ac:dyDescent="0.45">
      <c r="B50" s="636" t="s">
        <v>433</v>
      </c>
      <c r="C50" s="635"/>
      <c r="D50" s="330">
        <v>0</v>
      </c>
      <c r="E50" s="331">
        <f t="shared" si="108"/>
        <v>0</v>
      </c>
      <c r="F50" s="332">
        <v>0</v>
      </c>
      <c r="G50" s="333">
        <f t="shared" si="109"/>
        <v>0</v>
      </c>
      <c r="H50" s="334" t="str">
        <f t="shared" si="110"/>
        <v/>
      </c>
      <c r="I50" s="335">
        <v>0</v>
      </c>
      <c r="J50" s="331">
        <f t="shared" si="111"/>
        <v>0</v>
      </c>
      <c r="K50" s="332">
        <v>0</v>
      </c>
      <c r="L50" s="333">
        <f t="shared" si="112"/>
        <v>0</v>
      </c>
      <c r="M50" s="334" t="str">
        <f t="shared" si="113"/>
        <v/>
      </c>
      <c r="N50" s="335">
        <f t="shared" si="114"/>
        <v>0</v>
      </c>
      <c r="O50" s="331">
        <f t="shared" si="114"/>
        <v>0</v>
      </c>
      <c r="P50" s="332">
        <f t="shared" si="114"/>
        <v>0</v>
      </c>
      <c r="Q50" s="333">
        <f t="shared" si="114"/>
        <v>0</v>
      </c>
      <c r="R50" s="336" t="str">
        <f t="shared" si="115"/>
        <v/>
      </c>
      <c r="S50" s="330"/>
      <c r="T50" s="331">
        <f t="shared" si="116"/>
        <v>0</v>
      </c>
      <c r="U50" s="332">
        <v>0</v>
      </c>
      <c r="V50" s="333">
        <f t="shared" si="117"/>
        <v>0</v>
      </c>
      <c r="W50" s="393" t="str">
        <f t="shared" si="118"/>
        <v/>
      </c>
      <c r="X50" s="330"/>
      <c r="Y50" s="331">
        <f t="shared" si="119"/>
        <v>0</v>
      </c>
      <c r="Z50" s="332">
        <v>0</v>
      </c>
      <c r="AA50" s="333">
        <f t="shared" si="99"/>
        <v>0</v>
      </c>
      <c r="AB50" s="336" t="str">
        <f t="shared" si="120"/>
        <v/>
      </c>
      <c r="AC50" s="333">
        <f t="shared" si="121"/>
        <v>0</v>
      </c>
      <c r="AD50" s="331">
        <f t="shared" si="121"/>
        <v>0</v>
      </c>
      <c r="AE50" s="332">
        <f t="shared" si="121"/>
        <v>0</v>
      </c>
      <c r="AF50" s="333">
        <f t="shared" si="122"/>
        <v>0</v>
      </c>
      <c r="AG50" s="334" t="str">
        <f t="shared" si="123"/>
        <v/>
      </c>
    </row>
    <row r="51" spans="2:34" x14ac:dyDescent="0.45">
      <c r="B51" s="636" t="s">
        <v>450</v>
      </c>
      <c r="C51" s="635"/>
      <c r="D51" s="330">
        <v>2</v>
      </c>
      <c r="E51" s="331">
        <f t="shared" si="108"/>
        <v>2</v>
      </c>
      <c r="F51" s="332">
        <v>0</v>
      </c>
      <c r="G51" s="333">
        <f t="shared" si="109"/>
        <v>-2</v>
      </c>
      <c r="H51" s="334">
        <f t="shared" si="110"/>
        <v>0</v>
      </c>
      <c r="I51" s="335">
        <v>2</v>
      </c>
      <c r="J51" s="331">
        <f t="shared" si="111"/>
        <v>2</v>
      </c>
      <c r="K51" s="332">
        <v>0</v>
      </c>
      <c r="L51" s="333">
        <f t="shared" si="112"/>
        <v>-2</v>
      </c>
      <c r="M51" s="334">
        <f t="shared" si="113"/>
        <v>0</v>
      </c>
      <c r="N51" s="335">
        <f t="shared" si="114"/>
        <v>4</v>
      </c>
      <c r="O51" s="331">
        <f t="shared" si="114"/>
        <v>4</v>
      </c>
      <c r="P51" s="332">
        <f t="shared" si="114"/>
        <v>0</v>
      </c>
      <c r="Q51" s="333">
        <f t="shared" si="114"/>
        <v>-4</v>
      </c>
      <c r="R51" s="336">
        <f t="shared" si="115"/>
        <v>0</v>
      </c>
      <c r="S51" s="330">
        <v>6</v>
      </c>
      <c r="T51" s="331">
        <f t="shared" si="116"/>
        <v>6</v>
      </c>
      <c r="U51" s="332">
        <v>0</v>
      </c>
      <c r="V51" s="333">
        <f t="shared" si="117"/>
        <v>-6</v>
      </c>
      <c r="W51" s="393">
        <f t="shared" si="118"/>
        <v>0</v>
      </c>
      <c r="X51" s="330">
        <v>6</v>
      </c>
      <c r="Y51" s="331">
        <f t="shared" si="119"/>
        <v>6</v>
      </c>
      <c r="Z51" s="332">
        <v>0</v>
      </c>
      <c r="AA51" s="333">
        <f t="shared" si="99"/>
        <v>-6</v>
      </c>
      <c r="AB51" s="336">
        <f t="shared" si="120"/>
        <v>0</v>
      </c>
      <c r="AC51" s="333">
        <f t="shared" si="121"/>
        <v>16</v>
      </c>
      <c r="AD51" s="331">
        <f t="shared" si="121"/>
        <v>16</v>
      </c>
      <c r="AE51" s="332">
        <f t="shared" si="121"/>
        <v>0</v>
      </c>
      <c r="AF51" s="333">
        <f t="shared" si="122"/>
        <v>-16</v>
      </c>
      <c r="AG51" s="334">
        <f t="shared" si="123"/>
        <v>0</v>
      </c>
    </row>
    <row r="52" spans="2:34" ht="18.600000000000001" thickBot="1" x14ac:dyDescent="0.5">
      <c r="B52" s="637" t="s">
        <v>434</v>
      </c>
      <c r="C52" s="638"/>
      <c r="D52" s="337">
        <v>0</v>
      </c>
      <c r="E52" s="338">
        <f t="shared" si="108"/>
        <v>0</v>
      </c>
      <c r="F52" s="339">
        <v>0</v>
      </c>
      <c r="G52" s="340">
        <f t="shared" si="109"/>
        <v>0</v>
      </c>
      <c r="H52" s="341" t="str">
        <f t="shared" si="110"/>
        <v/>
      </c>
      <c r="I52" s="342">
        <v>0</v>
      </c>
      <c r="J52" s="338">
        <f t="shared" si="111"/>
        <v>0</v>
      </c>
      <c r="K52" s="339">
        <v>0</v>
      </c>
      <c r="L52" s="340">
        <f t="shared" si="112"/>
        <v>0</v>
      </c>
      <c r="M52" s="341" t="str">
        <f t="shared" si="113"/>
        <v/>
      </c>
      <c r="N52" s="342">
        <f t="shared" si="114"/>
        <v>0</v>
      </c>
      <c r="O52" s="338">
        <f t="shared" si="114"/>
        <v>0</v>
      </c>
      <c r="P52" s="339">
        <f t="shared" si="114"/>
        <v>0</v>
      </c>
      <c r="Q52" s="340">
        <f t="shared" si="114"/>
        <v>0</v>
      </c>
      <c r="R52" s="343" t="str">
        <f t="shared" si="115"/>
        <v/>
      </c>
      <c r="S52" s="337">
        <v>0</v>
      </c>
      <c r="T52" s="338">
        <f t="shared" si="116"/>
        <v>0</v>
      </c>
      <c r="U52" s="339">
        <v>0</v>
      </c>
      <c r="V52" s="340">
        <f t="shared" si="117"/>
        <v>0</v>
      </c>
      <c r="W52" s="402" t="str">
        <f t="shared" si="118"/>
        <v/>
      </c>
      <c r="X52" s="337">
        <v>0.90800000000000003</v>
      </c>
      <c r="Y52" s="338">
        <f t="shared" si="119"/>
        <v>0.90800000000000003</v>
      </c>
      <c r="Z52" s="339">
        <v>0</v>
      </c>
      <c r="AA52" s="340">
        <f t="shared" si="99"/>
        <v>-0.90800000000000003</v>
      </c>
      <c r="AB52" s="343">
        <f t="shared" si="120"/>
        <v>0</v>
      </c>
      <c r="AC52" s="340">
        <f t="shared" si="121"/>
        <v>0.90800000000000003</v>
      </c>
      <c r="AD52" s="338">
        <f t="shared" si="121"/>
        <v>0.90800000000000003</v>
      </c>
      <c r="AE52" s="339">
        <f t="shared" si="121"/>
        <v>0</v>
      </c>
      <c r="AF52" s="340">
        <f t="shared" si="122"/>
        <v>-0.90800000000000003</v>
      </c>
      <c r="AG52" s="341">
        <f t="shared" si="123"/>
        <v>0</v>
      </c>
    </row>
    <row r="53" spans="2:34" ht="18.600000000000001" thickBot="1" x14ac:dyDescent="0.5">
      <c r="B53" s="639" t="s">
        <v>435</v>
      </c>
      <c r="C53" s="640"/>
      <c r="D53" s="314">
        <f>SUM(D45:D52)</f>
        <v>5.3913043478260869</v>
      </c>
      <c r="E53" s="319">
        <f>SUM(E45:E52)</f>
        <v>5.3913043478260869</v>
      </c>
      <c r="F53" s="316">
        <f t="shared" ref="F53" si="124">SUM(F45:F52)</f>
        <v>0</v>
      </c>
      <c r="G53" s="317">
        <f t="shared" si="109"/>
        <v>-5.3913043478260869</v>
      </c>
      <c r="H53" s="318">
        <f t="shared" si="110"/>
        <v>0</v>
      </c>
      <c r="I53" s="319">
        <f>SUM(I45:I52)</f>
        <v>9</v>
      </c>
      <c r="J53" s="315">
        <f t="shared" ref="J53:K53" si="125">SUM(J45:J52)</f>
        <v>9</v>
      </c>
      <c r="K53" s="316">
        <f t="shared" si="125"/>
        <v>0</v>
      </c>
      <c r="L53" s="317">
        <f t="shared" si="112"/>
        <v>-9</v>
      </c>
      <c r="M53" s="318">
        <f t="shared" si="113"/>
        <v>0</v>
      </c>
      <c r="N53" s="319">
        <f t="shared" si="114"/>
        <v>14.391304347826086</v>
      </c>
      <c r="O53" s="315">
        <f t="shared" si="114"/>
        <v>14.391304347826086</v>
      </c>
      <c r="P53" s="316">
        <f t="shared" si="114"/>
        <v>0</v>
      </c>
      <c r="Q53" s="317">
        <f t="shared" si="114"/>
        <v>-14.391304347826086</v>
      </c>
      <c r="R53" s="320">
        <f t="shared" si="115"/>
        <v>0</v>
      </c>
      <c r="S53" s="314">
        <f>SUM(S45:S52)</f>
        <v>9</v>
      </c>
      <c r="T53" s="315">
        <f t="shared" ref="T53:U53" si="126">SUM(T45:T52)</f>
        <v>9</v>
      </c>
      <c r="U53" s="316">
        <f t="shared" si="126"/>
        <v>0</v>
      </c>
      <c r="V53" s="317">
        <f t="shared" si="117"/>
        <v>-9</v>
      </c>
      <c r="W53" s="385">
        <f t="shared" si="118"/>
        <v>0</v>
      </c>
      <c r="X53" s="314">
        <f>SUM(X45:X52)</f>
        <v>19.908000000000001</v>
      </c>
      <c r="Y53" s="315">
        <f t="shared" ref="Y53:Z53" si="127">SUM(Y45:Y52)</f>
        <v>19.908000000000001</v>
      </c>
      <c r="Z53" s="316">
        <f t="shared" si="127"/>
        <v>13</v>
      </c>
      <c r="AA53" s="317">
        <f t="shared" si="99"/>
        <v>-6.9080000000000013</v>
      </c>
      <c r="AB53" s="320">
        <f t="shared" si="120"/>
        <v>0.65300381756077952</v>
      </c>
      <c r="AC53" s="317">
        <f t="shared" si="121"/>
        <v>43.299304347826087</v>
      </c>
      <c r="AD53" s="315">
        <f t="shared" si="121"/>
        <v>43.299304347826087</v>
      </c>
      <c r="AE53" s="316">
        <f t="shared" si="121"/>
        <v>13</v>
      </c>
      <c r="AF53" s="317">
        <f t="shared" si="122"/>
        <v>-30.299304347826087</v>
      </c>
      <c r="AG53" s="320">
        <f t="shared" si="123"/>
        <v>0.3002357704310944</v>
      </c>
    </row>
    <row r="54" spans="2:34" ht="18.600000000000001" thickBot="1" x14ac:dyDescent="0.5">
      <c r="B54" s="641" t="s">
        <v>436</v>
      </c>
      <c r="C54" s="642"/>
      <c r="D54" s="314">
        <f>+D38+D43+D53</f>
        <v>112.0703043478261</v>
      </c>
      <c r="E54" s="319">
        <f>+E38+E43+E53</f>
        <v>112.0703043478261</v>
      </c>
      <c r="F54" s="316">
        <f>+F38+F43+F53</f>
        <v>0</v>
      </c>
      <c r="G54" s="317">
        <f>+G38+G43+G53</f>
        <v>-112.0703043478261</v>
      </c>
      <c r="H54" s="318">
        <f t="shared" si="110"/>
        <v>0</v>
      </c>
      <c r="I54" s="319">
        <f>+I38+I43+I53</f>
        <v>118.86578260869565</v>
      </c>
      <c r="J54" s="315">
        <f>+J38+J43+J53</f>
        <v>118.86578260869565</v>
      </c>
      <c r="K54" s="316">
        <f>+K38+K43+K53</f>
        <v>0</v>
      </c>
      <c r="L54" s="317">
        <f>+L38+L43+L53</f>
        <v>-118.86578260869565</v>
      </c>
      <c r="M54" s="318">
        <f t="shared" si="113"/>
        <v>0</v>
      </c>
      <c r="N54" s="319">
        <f>+N38+N43+N53</f>
        <v>230.93608695652173</v>
      </c>
      <c r="O54" s="315">
        <f>+O38+O43+O53</f>
        <v>230.93608695652173</v>
      </c>
      <c r="P54" s="316">
        <f>+P38+P43+P53</f>
        <v>0</v>
      </c>
      <c r="Q54" s="317">
        <f>+Q38+Q43+Q53</f>
        <v>-230.93608695652173</v>
      </c>
      <c r="R54" s="320">
        <f t="shared" si="115"/>
        <v>0</v>
      </c>
      <c r="S54" s="314">
        <f>+S38+S43+S53</f>
        <v>260.10000000000002</v>
      </c>
      <c r="T54" s="315">
        <f>+T38+T43+T53</f>
        <v>260.10000000000002</v>
      </c>
      <c r="U54" s="316">
        <f>+U38+U43+U53</f>
        <v>332.00900000000001</v>
      </c>
      <c r="V54" s="317">
        <f t="shared" si="117"/>
        <v>71.908999999999992</v>
      </c>
      <c r="W54" s="385">
        <f t="shared" si="118"/>
        <v>1.2764667435601691</v>
      </c>
      <c r="X54" s="314">
        <f>+X38+X43+X53</f>
        <v>675.13068587777434</v>
      </c>
      <c r="Y54" s="315">
        <f>+Y38+Y43+Y53</f>
        <v>675.13068587777434</v>
      </c>
      <c r="Z54" s="316">
        <f>+Z38+Z43+Z53</f>
        <v>723</v>
      </c>
      <c r="AA54" s="317">
        <f t="shared" si="99"/>
        <v>47.86931412222566</v>
      </c>
      <c r="AB54" s="320">
        <f t="shared" si="120"/>
        <v>1.0709037748150763</v>
      </c>
      <c r="AC54" s="317">
        <f t="shared" si="121"/>
        <v>1166.1667728342961</v>
      </c>
      <c r="AD54" s="315">
        <f t="shared" si="121"/>
        <v>1166.1667728342961</v>
      </c>
      <c r="AE54" s="316">
        <f t="shared" si="121"/>
        <v>1055.009</v>
      </c>
      <c r="AF54" s="317">
        <f t="shared" si="122"/>
        <v>-111.15777283429611</v>
      </c>
      <c r="AG54" s="320">
        <f t="shared" si="123"/>
        <v>0.90468106670186288</v>
      </c>
    </row>
    <row r="55" spans="2:34" ht="6" customHeight="1" thickBot="1" x14ac:dyDescent="0.5">
      <c r="D55" s="352"/>
      <c r="E55" s="352"/>
      <c r="F55" s="352"/>
      <c r="G55" s="352"/>
      <c r="H55" s="399"/>
      <c r="I55" s="352"/>
      <c r="J55" s="352"/>
      <c r="K55" s="352"/>
      <c r="L55" s="352"/>
      <c r="M55" s="399"/>
      <c r="N55" s="352"/>
      <c r="O55" s="352"/>
      <c r="P55" s="352"/>
      <c r="Q55" s="352"/>
      <c r="R55" s="399"/>
      <c r="S55" s="352"/>
      <c r="T55" s="352"/>
      <c r="U55" s="352"/>
      <c r="V55" s="352"/>
      <c r="W55" s="399"/>
      <c r="X55" s="352"/>
      <c r="Y55" s="352"/>
      <c r="Z55" s="352"/>
      <c r="AA55" s="352"/>
      <c r="AB55" s="399"/>
      <c r="AC55" s="398"/>
      <c r="AD55" s="398"/>
      <c r="AE55" s="398"/>
      <c r="AF55" s="398"/>
      <c r="AG55" s="399"/>
    </row>
    <row r="56" spans="2:34" x14ac:dyDescent="0.45">
      <c r="B56" s="643" t="s">
        <v>451</v>
      </c>
      <c r="C56" s="644"/>
      <c r="D56" s="406">
        <f>+D10+D38</f>
        <v>365.95438301956528</v>
      </c>
      <c r="E56" s="407">
        <f>+E10+E38</f>
        <v>365.95438301956528</v>
      </c>
      <c r="F56" s="408">
        <f>+F10+F38</f>
        <v>266.83</v>
      </c>
      <c r="G56" s="409">
        <f>+G10+G38</f>
        <v>-99.124383019565272</v>
      </c>
      <c r="H56" s="410">
        <f t="shared" ref="H56:H59" si="128">IF(E56=0,"",F56/E56)</f>
        <v>0.7291345926733559</v>
      </c>
      <c r="I56" s="407">
        <f>+I10+I38</f>
        <v>363.73114465304354</v>
      </c>
      <c r="J56" s="411">
        <f>+J10+J38</f>
        <v>363.73114465304354</v>
      </c>
      <c r="K56" s="408">
        <f>+K10+K38</f>
        <v>293.37</v>
      </c>
      <c r="L56" s="409">
        <f>+L10+L38</f>
        <v>-70.361144653043553</v>
      </c>
      <c r="M56" s="410">
        <f t="shared" ref="M56:M59" si="129">IF(J56=0,"",K56/J56)</f>
        <v>0.80655727262464771</v>
      </c>
      <c r="N56" s="407">
        <f>+N10+N38</f>
        <v>729.68552767260883</v>
      </c>
      <c r="O56" s="411">
        <f>+O10+O38</f>
        <v>729.68552767260883</v>
      </c>
      <c r="P56" s="408">
        <f>+P10+P38</f>
        <v>560.20000000000005</v>
      </c>
      <c r="Q56" s="409">
        <f>+Q10+Q38</f>
        <v>-169.48552767260881</v>
      </c>
      <c r="R56" s="412">
        <f t="shared" ref="R56:R59" si="130">IF(O56=0,"",P56/O56)</f>
        <v>0.76772798521412833</v>
      </c>
      <c r="S56" s="406">
        <f>+S10+S38</f>
        <v>242.1</v>
      </c>
      <c r="T56" s="411">
        <f>+T10+T38</f>
        <v>242.1</v>
      </c>
      <c r="U56" s="408">
        <f>+U10+U38</f>
        <v>332.00900000000001</v>
      </c>
      <c r="V56" s="409">
        <f t="shared" ref="V56:V59" si="131">+U56-T56</f>
        <v>89.90900000000002</v>
      </c>
      <c r="W56" s="412">
        <f t="shared" ref="W56:W59" si="132">IF(T56=0,"",U56/T56)</f>
        <v>1.3713713341594382</v>
      </c>
      <c r="X56" s="406">
        <f>+X10+X38</f>
        <v>626.63468587777436</v>
      </c>
      <c r="Y56" s="411">
        <f>+Y10+Y38</f>
        <v>626.63468587777436</v>
      </c>
      <c r="Z56" s="408">
        <f>+Z10+Z38</f>
        <v>588</v>
      </c>
      <c r="AA56" s="409">
        <f t="shared" si="99"/>
        <v>-38.634685877774359</v>
      </c>
      <c r="AB56" s="412">
        <f t="shared" ref="AB56:AB59" si="133">IF(Y56=0,"",Z56/Y56)</f>
        <v>0.93834575910260087</v>
      </c>
      <c r="AC56" s="409">
        <f t="shared" ref="AC56:AE59" si="134">+N56+S56+X56</f>
        <v>1598.4202135503833</v>
      </c>
      <c r="AD56" s="411">
        <f t="shared" si="134"/>
        <v>1598.4202135503833</v>
      </c>
      <c r="AE56" s="408">
        <f t="shared" si="134"/>
        <v>1480.2090000000001</v>
      </c>
      <c r="AF56" s="409">
        <f>AE56-AD56</f>
        <v>-118.21121355038326</v>
      </c>
      <c r="AG56" s="412">
        <f t="shared" ref="AG56:AG59" si="135">IF(AD56=0,"",AE56/AD56)</f>
        <v>0.92604497081038872</v>
      </c>
    </row>
    <row r="57" spans="2:34" x14ac:dyDescent="0.45">
      <c r="B57" s="633" t="s">
        <v>452</v>
      </c>
      <c r="C57" s="635"/>
      <c r="D57" s="330">
        <f>+D15+D43</f>
        <v>6.4782608695652177</v>
      </c>
      <c r="E57" s="335">
        <f>+E15+E43</f>
        <v>6.4782608695652177</v>
      </c>
      <c r="F57" s="332">
        <f>+F15+F43</f>
        <v>6.5</v>
      </c>
      <c r="G57" s="333">
        <f>+G15+G43</f>
        <v>2.1739130434782261E-2</v>
      </c>
      <c r="H57" s="334">
        <f t="shared" si="128"/>
        <v>1.0033557046979866</v>
      </c>
      <c r="I57" s="335">
        <f>+I15+I43</f>
        <v>8.0217391304347831</v>
      </c>
      <c r="J57" s="331">
        <f>+J15+J43</f>
        <v>8.0217391304347831</v>
      </c>
      <c r="K57" s="332">
        <f>+K15+K43</f>
        <v>4.5</v>
      </c>
      <c r="L57" s="333">
        <f>+L15+L43</f>
        <v>-3.5217391304347831</v>
      </c>
      <c r="M57" s="334">
        <f t="shared" si="129"/>
        <v>0.5609756097560975</v>
      </c>
      <c r="N57" s="335">
        <f>+N15+N43</f>
        <v>14.5</v>
      </c>
      <c r="O57" s="331">
        <f>+O15+O43</f>
        <v>14.5</v>
      </c>
      <c r="P57" s="332">
        <f>+P15+P43</f>
        <v>11</v>
      </c>
      <c r="Q57" s="333">
        <f>+Q15+Q43</f>
        <v>-3.5000000000000009</v>
      </c>
      <c r="R57" s="336">
        <f t="shared" si="130"/>
        <v>0.75862068965517238</v>
      </c>
      <c r="S57" s="330">
        <f>+S15+S43</f>
        <v>9</v>
      </c>
      <c r="T57" s="331">
        <f>+T15+T43</f>
        <v>9</v>
      </c>
      <c r="U57" s="332">
        <f>+U15+U43</f>
        <v>0</v>
      </c>
      <c r="V57" s="333">
        <f t="shared" si="131"/>
        <v>-9</v>
      </c>
      <c r="W57" s="336">
        <f t="shared" si="132"/>
        <v>0</v>
      </c>
      <c r="X57" s="330">
        <f>+X15+X43</f>
        <v>28.588000000000001</v>
      </c>
      <c r="Y57" s="331">
        <f>+Y15+Y43</f>
        <v>28.588000000000001</v>
      </c>
      <c r="Z57" s="332">
        <f>+Z15+Z43</f>
        <v>122</v>
      </c>
      <c r="AA57" s="333">
        <f t="shared" si="99"/>
        <v>93.412000000000006</v>
      </c>
      <c r="AB57" s="336">
        <f t="shared" si="133"/>
        <v>4.2675248355953546</v>
      </c>
      <c r="AC57" s="333">
        <f t="shared" si="134"/>
        <v>52.088000000000001</v>
      </c>
      <c r="AD57" s="331">
        <f t="shared" si="134"/>
        <v>52.088000000000001</v>
      </c>
      <c r="AE57" s="332">
        <f t="shared" si="134"/>
        <v>133</v>
      </c>
      <c r="AF57" s="333">
        <f t="shared" ref="AF57:AF59" si="136">AE57-AD57</f>
        <v>80.912000000000006</v>
      </c>
      <c r="AG57" s="336">
        <f t="shared" si="135"/>
        <v>2.5533712179388726</v>
      </c>
    </row>
    <row r="58" spans="2:34" x14ac:dyDescent="0.45">
      <c r="B58" s="633" t="s">
        <v>453</v>
      </c>
      <c r="C58" s="635"/>
      <c r="D58" s="330">
        <f>+D24+D53</f>
        <v>15</v>
      </c>
      <c r="E58" s="335">
        <f>+E24+E53</f>
        <v>15</v>
      </c>
      <c r="F58" s="332">
        <f>+F24+F53</f>
        <v>22.5</v>
      </c>
      <c r="G58" s="333">
        <f>+G24+G53</f>
        <v>7.4999999999999991</v>
      </c>
      <c r="H58" s="334">
        <f t="shared" si="128"/>
        <v>1.5</v>
      </c>
      <c r="I58" s="335">
        <f>+I24+I53</f>
        <v>35.760869565217391</v>
      </c>
      <c r="J58" s="331">
        <f>+J24+J53</f>
        <v>35.760869565217391</v>
      </c>
      <c r="K58" s="332">
        <f>+K24+K53</f>
        <v>38</v>
      </c>
      <c r="L58" s="333">
        <f>+L24+L53</f>
        <v>2.2391304347826093</v>
      </c>
      <c r="M58" s="334">
        <f t="shared" si="129"/>
        <v>1.0626139817629179</v>
      </c>
      <c r="N58" s="335">
        <f>+N24+N53</f>
        <v>50.760869565217391</v>
      </c>
      <c r="O58" s="331">
        <f>+O24+O53</f>
        <v>50.760869565217391</v>
      </c>
      <c r="P58" s="332">
        <f>+P24+P53</f>
        <v>60.5</v>
      </c>
      <c r="Q58" s="333">
        <f>+Q24+Q53</f>
        <v>9.7391304347826093</v>
      </c>
      <c r="R58" s="336">
        <f t="shared" si="130"/>
        <v>1.19186295503212</v>
      </c>
      <c r="S58" s="330">
        <f>+S24+S53</f>
        <v>9</v>
      </c>
      <c r="T58" s="331">
        <f>+T24+T53</f>
        <v>9</v>
      </c>
      <c r="U58" s="332">
        <f>+U24+U53</f>
        <v>0</v>
      </c>
      <c r="V58" s="333">
        <f t="shared" si="131"/>
        <v>-9</v>
      </c>
      <c r="W58" s="336">
        <f t="shared" si="132"/>
        <v>0</v>
      </c>
      <c r="X58" s="330">
        <f>+X24+X53</f>
        <v>19.908000000000001</v>
      </c>
      <c r="Y58" s="331">
        <f>+Y24+Y53</f>
        <v>19.908000000000001</v>
      </c>
      <c r="Z58" s="332">
        <f>+Z24+Z53</f>
        <v>13</v>
      </c>
      <c r="AA58" s="333">
        <f t="shared" si="99"/>
        <v>-6.9080000000000013</v>
      </c>
      <c r="AB58" s="336">
        <f t="shared" si="133"/>
        <v>0.65300381756077952</v>
      </c>
      <c r="AC58" s="333">
        <f t="shared" si="134"/>
        <v>79.668869565217392</v>
      </c>
      <c r="AD58" s="331">
        <f t="shared" si="134"/>
        <v>79.668869565217392</v>
      </c>
      <c r="AE58" s="332">
        <f t="shared" si="134"/>
        <v>73.5</v>
      </c>
      <c r="AF58" s="333">
        <f t="shared" si="136"/>
        <v>-6.1688695652173919</v>
      </c>
      <c r="AG58" s="336">
        <f t="shared" si="135"/>
        <v>0.92256863190248328</v>
      </c>
    </row>
    <row r="59" spans="2:34" ht="18.600000000000001" thickBot="1" x14ac:dyDescent="0.5">
      <c r="B59" s="625" t="s">
        <v>454</v>
      </c>
      <c r="C59" s="626"/>
      <c r="D59" s="413">
        <f>SUM(D56:D58)</f>
        <v>387.43264388913047</v>
      </c>
      <c r="E59" s="414">
        <f>SUM(E56:E58)</f>
        <v>387.43264388913047</v>
      </c>
      <c r="F59" s="676">
        <f>SUM(F56:F58)</f>
        <v>295.83</v>
      </c>
      <c r="G59" s="416">
        <f>SUM(G56:G58)</f>
        <v>-91.602643889130491</v>
      </c>
      <c r="H59" s="417">
        <f t="shared" si="128"/>
        <v>0.76356498262613115</v>
      </c>
      <c r="I59" s="414">
        <f>SUM(I56:I58)</f>
        <v>407.51375334869573</v>
      </c>
      <c r="J59" s="418">
        <f t="shared" ref="J59:Q59" si="137">SUM(J56:J58)</f>
        <v>407.51375334869573</v>
      </c>
      <c r="K59" s="415">
        <f t="shared" si="137"/>
        <v>335.87</v>
      </c>
      <c r="L59" s="416">
        <f t="shared" si="137"/>
        <v>-71.643753348695725</v>
      </c>
      <c r="M59" s="417">
        <f t="shared" si="129"/>
        <v>0.8241930419281025</v>
      </c>
      <c r="N59" s="414">
        <f t="shared" si="137"/>
        <v>794.9463972378262</v>
      </c>
      <c r="O59" s="418">
        <f t="shared" si="137"/>
        <v>794.9463972378262</v>
      </c>
      <c r="P59" s="415">
        <f t="shared" si="137"/>
        <v>631.70000000000005</v>
      </c>
      <c r="Q59" s="416">
        <f t="shared" si="137"/>
        <v>-163.24639723782622</v>
      </c>
      <c r="R59" s="419">
        <f t="shared" si="130"/>
        <v>0.79464477377964982</v>
      </c>
      <c r="S59" s="413">
        <f t="shared" ref="S59:U59" si="138">SUM(S56:S58)</f>
        <v>260.10000000000002</v>
      </c>
      <c r="T59" s="418">
        <f t="shared" si="138"/>
        <v>260.10000000000002</v>
      </c>
      <c r="U59" s="415">
        <f t="shared" si="138"/>
        <v>332.00900000000001</v>
      </c>
      <c r="V59" s="416">
        <f t="shared" si="131"/>
        <v>71.908999999999992</v>
      </c>
      <c r="W59" s="419">
        <f t="shared" si="132"/>
        <v>1.2764667435601691</v>
      </c>
      <c r="X59" s="413">
        <f t="shared" ref="X59:Z59" si="139">SUM(X56:X58)</f>
        <v>675.13068587777434</v>
      </c>
      <c r="Y59" s="418">
        <f t="shared" si="139"/>
        <v>675.13068587777434</v>
      </c>
      <c r="Z59" s="415">
        <f t="shared" si="139"/>
        <v>723</v>
      </c>
      <c r="AA59" s="416">
        <f t="shared" si="99"/>
        <v>47.86931412222566</v>
      </c>
      <c r="AB59" s="419">
        <f t="shared" si="133"/>
        <v>1.0709037748150763</v>
      </c>
      <c r="AC59" s="416">
        <f t="shared" si="134"/>
        <v>1730.1770831156005</v>
      </c>
      <c r="AD59" s="418">
        <f t="shared" si="134"/>
        <v>1730.1770831156005</v>
      </c>
      <c r="AE59" s="415">
        <f t="shared" si="134"/>
        <v>1686.7090000000001</v>
      </c>
      <c r="AF59" s="416">
        <f t="shared" si="136"/>
        <v>-43.468083115600393</v>
      </c>
      <c r="AG59" s="419">
        <f t="shared" si="135"/>
        <v>0.97487651204041748</v>
      </c>
    </row>
    <row r="60" spans="2:34" ht="6" customHeight="1" thickBot="1" x14ac:dyDescent="0.5">
      <c r="B60" s="420"/>
      <c r="C60" s="421"/>
      <c r="D60" s="422"/>
      <c r="E60" s="423"/>
      <c r="F60" s="423"/>
      <c r="G60" s="423"/>
      <c r="H60" s="424"/>
      <c r="I60" s="423"/>
      <c r="J60" s="423"/>
      <c r="K60" s="423"/>
      <c r="L60" s="423"/>
      <c r="M60" s="424"/>
      <c r="N60" s="423"/>
      <c r="O60" s="423"/>
      <c r="P60" s="423"/>
      <c r="Q60" s="423"/>
      <c r="R60" s="424"/>
      <c r="S60" s="423"/>
      <c r="T60" s="423"/>
      <c r="U60" s="423"/>
      <c r="V60" s="423"/>
      <c r="W60" s="424"/>
      <c r="X60" s="423"/>
      <c r="Y60" s="423"/>
      <c r="Z60" s="423"/>
      <c r="AA60" s="423"/>
      <c r="AB60" s="424"/>
      <c r="AC60" s="423"/>
      <c r="AD60" s="423"/>
      <c r="AE60" s="423"/>
      <c r="AF60" s="423"/>
      <c r="AG60" s="424"/>
    </row>
    <row r="61" spans="2:34" x14ac:dyDescent="0.45">
      <c r="B61" s="425" t="s">
        <v>455</v>
      </c>
      <c r="C61" s="627" t="s">
        <v>456</v>
      </c>
      <c r="D61" s="407">
        <v>16.520833333333332</v>
      </c>
      <c r="E61" s="407">
        <f>D61</f>
        <v>16.520833333333332</v>
      </c>
      <c r="F61" s="426">
        <f>+AH61*F62</f>
        <v>45.75</v>
      </c>
      <c r="G61" s="407"/>
      <c r="H61" s="410"/>
      <c r="I61" s="407">
        <v>13.979166666666666</v>
      </c>
      <c r="J61" s="407">
        <f>I61</f>
        <v>13.979166666666666</v>
      </c>
      <c r="K61" s="426">
        <f>+AH61*K62</f>
        <v>45.75</v>
      </c>
      <c r="L61" s="407"/>
      <c r="M61" s="410"/>
      <c r="N61" s="407">
        <f>SUM(D61,I61)</f>
        <v>30.5</v>
      </c>
      <c r="O61" s="407">
        <f>SUM(E61,J61)</f>
        <v>30.5</v>
      </c>
      <c r="P61" s="426">
        <f>+AH61*P62</f>
        <v>91.5</v>
      </c>
      <c r="Q61" s="407"/>
      <c r="R61" s="410"/>
      <c r="S61" s="407">
        <v>9.6890000000000001</v>
      </c>
      <c r="T61" s="407">
        <f>S61</f>
        <v>9.6890000000000001</v>
      </c>
      <c r="U61" s="426"/>
      <c r="V61" s="407"/>
      <c r="W61" s="410"/>
      <c r="X61" s="407">
        <v>9.6890000000000001</v>
      </c>
      <c r="Y61" s="407">
        <v>9.6890000000000001</v>
      </c>
      <c r="Z61" s="426">
        <v>10.166499999999999</v>
      </c>
      <c r="AA61" s="407"/>
      <c r="AB61" s="410"/>
      <c r="AC61" s="407">
        <f t="shared" ref="AC61:AD61" si="140">SUM(N61,X61)</f>
        <v>40.189</v>
      </c>
      <c r="AD61" s="411">
        <f t="shared" si="140"/>
        <v>40.189</v>
      </c>
      <c r="AE61" s="427">
        <f>SUM(P61,U61,Z61)</f>
        <v>101.6665</v>
      </c>
      <c r="AF61" s="409"/>
      <c r="AG61" s="412"/>
      <c r="AH61" s="426">
        <v>91.5</v>
      </c>
    </row>
    <row r="62" spans="2:34" s="293" customFormat="1" x14ac:dyDescent="0.45">
      <c r="B62" s="428" t="s">
        <v>457</v>
      </c>
      <c r="C62" s="628"/>
      <c r="D62" s="429">
        <f>SUM(D5,D30)/SUM(N5,N30)</f>
        <v>0.54166666666666663</v>
      </c>
      <c r="E62" s="429">
        <f t="shared" ref="E62" si="141">SUM(E5,E30)/SUM(O5,O30)</f>
        <v>0.54166666666666663</v>
      </c>
      <c r="F62" s="430">
        <v>0.5</v>
      </c>
      <c r="G62" s="429"/>
      <c r="H62" s="431"/>
      <c r="I62" s="429">
        <f>SUM(I5,I30)/SUM(N5,N30)</f>
        <v>0.45833333333333331</v>
      </c>
      <c r="J62" s="429">
        <f t="shared" ref="J62" si="142">SUM(J5,J30)/SUM(O5,O30)</f>
        <v>0.45833333333333331</v>
      </c>
      <c r="K62" s="430">
        <v>0.5</v>
      </c>
      <c r="L62" s="429"/>
      <c r="M62" s="431"/>
      <c r="N62" s="429">
        <f>D62+I62</f>
        <v>1</v>
      </c>
      <c r="O62" s="429">
        <f t="shared" ref="O62:P62" si="143">E62+J62</f>
        <v>1</v>
      </c>
      <c r="P62" s="430">
        <f t="shared" si="143"/>
        <v>1</v>
      </c>
      <c r="Q62" s="429"/>
      <c r="R62" s="431"/>
      <c r="S62" s="429"/>
      <c r="T62" s="429"/>
      <c r="U62" s="430"/>
      <c r="V62" s="429"/>
      <c r="W62" s="431"/>
      <c r="X62" s="429"/>
      <c r="Y62" s="429"/>
      <c r="Z62" s="430"/>
      <c r="AA62" s="429"/>
      <c r="AB62" s="431"/>
      <c r="AC62" s="429">
        <f>SUM(N62,X62)</f>
        <v>1</v>
      </c>
      <c r="AD62" s="432">
        <f>SUM(O62,Y62)</f>
        <v>1</v>
      </c>
      <c r="AE62" s="430">
        <f t="shared" ref="AE62:AE64" si="144">SUM(P62,Z62)</f>
        <v>1</v>
      </c>
      <c r="AF62" s="433"/>
      <c r="AG62" s="434"/>
    </row>
    <row r="63" spans="2:34" x14ac:dyDescent="0.45">
      <c r="B63" s="435" t="s">
        <v>455</v>
      </c>
      <c r="C63" s="629" t="s">
        <v>458</v>
      </c>
      <c r="D63" s="335">
        <v>16.520833333333332</v>
      </c>
      <c r="E63" s="335">
        <f>D63</f>
        <v>16.520833333333332</v>
      </c>
      <c r="F63" s="436">
        <f>+AH63*F64</f>
        <v>45.75</v>
      </c>
      <c r="G63" s="335"/>
      <c r="H63" s="334"/>
      <c r="I63" s="335">
        <v>13.979166666666666</v>
      </c>
      <c r="J63" s="335">
        <f>I63</f>
        <v>13.979166666666666</v>
      </c>
      <c r="K63" s="436">
        <f>+AH63*K64</f>
        <v>45.75</v>
      </c>
      <c r="L63" s="335"/>
      <c r="M63" s="334"/>
      <c r="N63" s="335">
        <f>SUM(D63,I63)</f>
        <v>30.5</v>
      </c>
      <c r="O63" s="335">
        <f>SUM(E63,J63)</f>
        <v>30.5</v>
      </c>
      <c r="P63" s="436">
        <f>+AH63*P64</f>
        <v>91.5</v>
      </c>
      <c r="Q63" s="335"/>
      <c r="R63" s="334"/>
      <c r="S63" s="335">
        <v>9.6890000000000001</v>
      </c>
      <c r="T63" s="335">
        <f>S63</f>
        <v>9.6890000000000001</v>
      </c>
      <c r="U63" s="436"/>
      <c r="V63" s="335"/>
      <c r="W63" s="334"/>
      <c r="X63" s="335">
        <v>9.6890000000000001</v>
      </c>
      <c r="Y63" s="335">
        <v>9.6890000000000001</v>
      </c>
      <c r="Z63" s="436">
        <v>10.166499999999999</v>
      </c>
      <c r="AA63" s="335"/>
      <c r="AB63" s="334"/>
      <c r="AC63" s="335">
        <f t="shared" ref="AC63:AD63" si="145">SUM(N63,X63)</f>
        <v>40.189</v>
      </c>
      <c r="AD63" s="331">
        <f t="shared" si="145"/>
        <v>40.189</v>
      </c>
      <c r="AE63" s="437">
        <f>SUM(P63,U63,Z63)</f>
        <v>101.6665</v>
      </c>
      <c r="AF63" s="333"/>
      <c r="AG63" s="336"/>
      <c r="AH63" s="436">
        <v>91.5</v>
      </c>
    </row>
    <row r="64" spans="2:34" ht="18.600000000000001" thickBot="1" x14ac:dyDescent="0.5">
      <c r="B64" s="438" t="s">
        <v>457</v>
      </c>
      <c r="C64" s="630"/>
      <c r="D64" s="439">
        <f>SUM(D5,D30)/SUM(N5,N30)</f>
        <v>0.54166666666666663</v>
      </c>
      <c r="E64" s="439">
        <f>SUM(E5,E30)/SUM(O5,O30)</f>
        <v>0.54166666666666663</v>
      </c>
      <c r="F64" s="440">
        <v>0.5</v>
      </c>
      <c r="G64" s="439"/>
      <c r="H64" s="441"/>
      <c r="I64" s="439">
        <f>SUM(I5,I30)/SUM(N5,N30)</f>
        <v>0.45833333333333331</v>
      </c>
      <c r="J64" s="439">
        <f t="shared" ref="J64" si="146">SUM(J5,J30)/SUM(O5,O30)</f>
        <v>0.45833333333333331</v>
      </c>
      <c r="K64" s="440">
        <v>0.5</v>
      </c>
      <c r="L64" s="439"/>
      <c r="M64" s="441"/>
      <c r="N64" s="439">
        <f>D64+I64</f>
        <v>1</v>
      </c>
      <c r="O64" s="439">
        <f t="shared" ref="O64:P64" si="147">E64+J64</f>
        <v>1</v>
      </c>
      <c r="P64" s="440">
        <f t="shared" si="147"/>
        <v>1</v>
      </c>
      <c r="Q64" s="439"/>
      <c r="R64" s="441"/>
      <c r="S64" s="439"/>
      <c r="T64" s="439"/>
      <c r="U64" s="440"/>
      <c r="V64" s="439"/>
      <c r="W64" s="441"/>
      <c r="X64" s="439"/>
      <c r="Y64" s="439"/>
      <c r="Z64" s="440"/>
      <c r="AA64" s="439"/>
      <c r="AB64" s="441"/>
      <c r="AC64" s="439">
        <f>SUM(N64,X64)</f>
        <v>1</v>
      </c>
      <c r="AD64" s="442">
        <f>SUM(O64,Y64)</f>
        <v>1</v>
      </c>
      <c r="AE64" s="443">
        <f t="shared" si="144"/>
        <v>1</v>
      </c>
      <c r="AF64" s="444"/>
      <c r="AG64" s="445"/>
    </row>
    <row r="65" spans="2:33" s="447" customFormat="1" ht="18.600000000000001" thickBot="1" x14ac:dyDescent="0.5">
      <c r="B65" s="631" t="s">
        <v>459</v>
      </c>
      <c r="C65" s="632"/>
      <c r="D65" s="315">
        <f>+D61+D63</f>
        <v>33.041666666666664</v>
      </c>
      <c r="E65" s="315">
        <f>+E61+E63</f>
        <v>33.041666666666664</v>
      </c>
      <c r="F65" s="677">
        <f>+F61+F63</f>
        <v>91.5</v>
      </c>
      <c r="G65" s="317"/>
      <c r="H65" s="318"/>
      <c r="I65" s="315">
        <f>+I61+I63</f>
        <v>27.958333333333332</v>
      </c>
      <c r="J65" s="315">
        <f>+J61+J63</f>
        <v>27.958333333333332</v>
      </c>
      <c r="K65" s="677">
        <f>+K61+K63</f>
        <v>91.5</v>
      </c>
      <c r="L65" s="317"/>
      <c r="M65" s="318"/>
      <c r="N65" s="315">
        <f>+N61+N63</f>
        <v>61</v>
      </c>
      <c r="O65" s="315">
        <f>+O61+O63</f>
        <v>61</v>
      </c>
      <c r="P65" s="446">
        <f>+P61+P63</f>
        <v>183</v>
      </c>
      <c r="Q65" s="317"/>
      <c r="R65" s="318"/>
      <c r="S65" s="315">
        <f>+S61+S63</f>
        <v>19.378</v>
      </c>
      <c r="T65" s="315">
        <f>+T61+T63</f>
        <v>19.378</v>
      </c>
      <c r="U65" s="446">
        <f>+U61+U63</f>
        <v>0</v>
      </c>
      <c r="V65" s="317"/>
      <c r="W65" s="318"/>
      <c r="X65" s="315">
        <f>+X61+X63</f>
        <v>19.378</v>
      </c>
      <c r="Y65" s="315">
        <f>+Y61+Y63</f>
        <v>19.378</v>
      </c>
      <c r="Z65" s="446">
        <f>+Z61+Z63</f>
        <v>20.332999999999998</v>
      </c>
      <c r="AA65" s="317"/>
      <c r="AB65" s="318"/>
      <c r="AC65" s="315">
        <f>+AC61+AC63</f>
        <v>80.378</v>
      </c>
      <c r="AD65" s="315">
        <f>+AD61+AD63</f>
        <v>80.378</v>
      </c>
      <c r="AE65" s="446">
        <f>SUM(P65,U65,Z65)</f>
        <v>203.333</v>
      </c>
      <c r="AF65" s="317"/>
      <c r="AG65" s="320"/>
    </row>
    <row r="66" spans="2:33" ht="5.4" customHeight="1" thickBot="1" x14ac:dyDescent="0.5">
      <c r="B66" s="448"/>
      <c r="C66" s="449"/>
      <c r="D66" s="450"/>
      <c r="E66" s="398"/>
      <c r="F66" s="398"/>
      <c r="G66" s="398"/>
      <c r="H66" s="399"/>
      <c r="I66" s="398"/>
      <c r="J66" s="398"/>
      <c r="K66" s="398"/>
      <c r="L66" s="398"/>
      <c r="M66" s="399"/>
      <c r="N66" s="398"/>
      <c r="O66" s="398"/>
      <c r="P66" s="398"/>
      <c r="Q66" s="398"/>
      <c r="R66" s="399"/>
      <c r="S66" s="398"/>
      <c r="T66" s="398"/>
      <c r="U66" s="398"/>
      <c r="V66" s="398"/>
      <c r="W66" s="399"/>
      <c r="X66" s="398"/>
      <c r="Y66" s="398"/>
      <c r="Z66" s="398"/>
      <c r="AA66" s="398"/>
      <c r="AB66" s="399"/>
      <c r="AC66" s="398"/>
      <c r="AD66" s="398"/>
      <c r="AE66" s="398"/>
      <c r="AF66" s="398"/>
      <c r="AG66" s="399"/>
    </row>
    <row r="67" spans="2:33" ht="21" customHeight="1" thickBot="1" x14ac:dyDescent="0.5">
      <c r="B67" s="623" t="s">
        <v>113</v>
      </c>
      <c r="C67" s="624"/>
      <c r="D67" s="331">
        <f>+D59+D65</f>
        <v>420.47431055579716</v>
      </c>
      <c r="E67" s="331">
        <f>+E59+E65</f>
        <v>420.47431055579716</v>
      </c>
      <c r="F67" s="684">
        <f>+F59+F65</f>
        <v>387.33</v>
      </c>
      <c r="G67" s="333"/>
      <c r="H67" s="334"/>
      <c r="I67" s="331">
        <f>+I59+I65</f>
        <v>435.47208668202904</v>
      </c>
      <c r="J67" s="331">
        <f>+J59+J65</f>
        <v>435.47208668202904</v>
      </c>
      <c r="K67" s="666">
        <f>+K59+K65</f>
        <v>427.37</v>
      </c>
      <c r="L67" s="333"/>
      <c r="M67" s="334"/>
      <c r="N67" s="331">
        <f>+N59+N65</f>
        <v>855.9463972378262</v>
      </c>
      <c r="O67" s="331">
        <f>+O59+O65</f>
        <v>855.9463972378262</v>
      </c>
      <c r="P67" s="451">
        <f>+P59+P65</f>
        <v>814.7</v>
      </c>
      <c r="Q67" s="333"/>
      <c r="R67" s="334"/>
      <c r="S67" s="331">
        <f>+S59+S65</f>
        <v>279.47800000000001</v>
      </c>
      <c r="T67" s="331">
        <f>+T59+T65</f>
        <v>279.47800000000001</v>
      </c>
      <c r="U67" s="667">
        <f>+U59+U65</f>
        <v>332.00900000000001</v>
      </c>
      <c r="V67" s="333">
        <f t="shared" ref="V67" si="148">+U67-T67</f>
        <v>52.531000000000006</v>
      </c>
      <c r="W67" s="334"/>
      <c r="X67" s="331">
        <f>+X59+X65</f>
        <v>694.50868587777438</v>
      </c>
      <c r="Y67" s="331">
        <f>+Y59+Y65</f>
        <v>694.50868587777438</v>
      </c>
      <c r="Z67" s="667">
        <f>+Z59+Z65</f>
        <v>743.33299999999997</v>
      </c>
      <c r="AA67" s="333">
        <f t="shared" ref="AA67" si="149">+Z67-Y67</f>
        <v>48.824314122225587</v>
      </c>
      <c r="AB67" s="334"/>
      <c r="AC67" s="331">
        <f>+AC59+AC65</f>
        <v>1810.5550831156004</v>
      </c>
      <c r="AD67" s="331">
        <f>+AD59+AD65</f>
        <v>1810.5550831156004</v>
      </c>
      <c r="AE67" s="667">
        <f>+AE59+AE65</f>
        <v>1890.0420000000001</v>
      </c>
      <c r="AF67" s="333"/>
      <c r="AG67" s="334"/>
    </row>
    <row r="68" spans="2:33" ht="5.4" customHeight="1" thickBot="1" x14ac:dyDescent="0.5">
      <c r="B68" s="448"/>
      <c r="C68" s="448"/>
      <c r="D68" s="398"/>
      <c r="E68" s="398"/>
      <c r="F68" s="398"/>
      <c r="G68" s="398"/>
      <c r="H68" s="399"/>
      <c r="I68" s="398"/>
      <c r="J68" s="398"/>
      <c r="K68" s="398"/>
      <c r="L68" s="398"/>
      <c r="M68" s="399"/>
      <c r="N68" s="398"/>
      <c r="O68" s="398"/>
      <c r="P68" s="398"/>
      <c r="Q68" s="398"/>
      <c r="R68" s="399"/>
      <c r="S68" s="398"/>
      <c r="T68" s="398"/>
      <c r="U68" s="398"/>
      <c r="V68" s="398"/>
      <c r="W68" s="399"/>
      <c r="X68" s="398"/>
      <c r="Y68" s="398"/>
      <c r="Z68" s="398"/>
      <c r="AA68" s="398"/>
      <c r="AB68" s="399"/>
      <c r="AC68" s="354"/>
      <c r="AD68" s="354"/>
      <c r="AE68" s="398"/>
      <c r="AF68" s="354"/>
      <c r="AG68" s="355"/>
    </row>
    <row r="69" spans="2:33" x14ac:dyDescent="0.45">
      <c r="B69" s="452" t="s">
        <v>460</v>
      </c>
      <c r="C69" s="453">
        <v>0.02</v>
      </c>
      <c r="D69" s="411">
        <f>+D67*$C69</f>
        <v>8.4094862111159436</v>
      </c>
      <c r="E69" s="411">
        <f>+E67*$C69</f>
        <v>8.4094862111159436</v>
      </c>
      <c r="F69" s="408">
        <f>+F67*$C69</f>
        <v>7.7465999999999999</v>
      </c>
      <c r="G69" s="409">
        <f>+G59*$C69</f>
        <v>-1.8320528777826099</v>
      </c>
      <c r="H69" s="410">
        <f t="shared" ref="H69:H72" si="150">IF(E69=0,"",F69/E69)</f>
        <v>0.92117399393083987</v>
      </c>
      <c r="I69" s="411">
        <f>+I67*$C69</f>
        <v>8.7094417336405812</v>
      </c>
      <c r="J69" s="411">
        <f>+J67*$C69</f>
        <v>8.7094417336405812</v>
      </c>
      <c r="K69" s="408">
        <f>+K67*$C69</f>
        <v>8.5473999999999997</v>
      </c>
      <c r="L69" s="409">
        <f>+L59*$C69</f>
        <v>-1.4328750669739145</v>
      </c>
      <c r="M69" s="410">
        <f t="shared" ref="M69:M72" si="151">IF(J69=0,"",K69/J69)</f>
        <v>0.981394704896562</v>
      </c>
      <c r="N69" s="411">
        <f>+N67*$C69</f>
        <v>17.118927944756525</v>
      </c>
      <c r="O69" s="411">
        <f>+O67*$C69</f>
        <v>17.118927944756525</v>
      </c>
      <c r="P69" s="408">
        <f>+P67*$C69</f>
        <v>16.294</v>
      </c>
      <c r="Q69" s="409">
        <f>+Q59*$C69</f>
        <v>-3.2649279447565243</v>
      </c>
      <c r="R69" s="454">
        <f t="shared" ref="R69:R72" si="152">IF(O69=0,"",P69/O69)</f>
        <v>0.95181193895911009</v>
      </c>
      <c r="S69" s="407">
        <v>13.2</v>
      </c>
      <c r="T69" s="411">
        <f>S69</f>
        <v>13.2</v>
      </c>
      <c r="U69" s="408">
        <f>U67*C69</f>
        <v>6.6401800000000009</v>
      </c>
      <c r="V69" s="409">
        <f t="shared" ref="V69:V72" si="153">+U69-T69</f>
        <v>-6.5598199999999984</v>
      </c>
      <c r="W69" s="454">
        <f t="shared" ref="W69:W72" si="154">IF(T69=0,"",U69/T69)</f>
        <v>0.50304393939393943</v>
      </c>
      <c r="X69" s="407">
        <v>13.2</v>
      </c>
      <c r="Y69" s="411">
        <v>13.2</v>
      </c>
      <c r="Z69" s="408">
        <f>Z67*C69</f>
        <v>14.86666</v>
      </c>
      <c r="AA69" s="409">
        <f t="shared" ref="AA69:AA72" si="155">+Z69-Y69</f>
        <v>1.6666600000000003</v>
      </c>
      <c r="AB69" s="412">
        <f t="shared" ref="AB69:AB72" si="156">IF(Y69=0,"",Z69/Y69)</f>
        <v>1.1262621212121213</v>
      </c>
      <c r="AC69" s="333">
        <f t="shared" ref="AC69:AE72" si="157">+N69+S69+X69</f>
        <v>43.518927944756527</v>
      </c>
      <c r="AD69" s="331">
        <f t="shared" si="157"/>
        <v>43.518927944756527</v>
      </c>
      <c r="AE69" s="408">
        <f t="shared" si="157"/>
        <v>37.800840000000001</v>
      </c>
      <c r="AF69" s="333">
        <f t="shared" ref="AF69:AF72" si="158">AE69-AD69</f>
        <v>-5.718087944756526</v>
      </c>
      <c r="AG69" s="334">
        <f t="shared" ref="AG69:AG72" si="159">IF(AD69=0,"",AE69/AD69)</f>
        <v>0.86860687487487886</v>
      </c>
    </row>
    <row r="70" spans="2:33" x14ac:dyDescent="0.45">
      <c r="B70" s="633" t="s">
        <v>127</v>
      </c>
      <c r="C70" s="634"/>
      <c r="D70" s="331">
        <f>+D67+D69</f>
        <v>428.88379676691312</v>
      </c>
      <c r="E70" s="331">
        <f>+E67+E69</f>
        <v>428.88379676691312</v>
      </c>
      <c r="F70" s="332">
        <f>+F67+F69</f>
        <v>395.07659999999998</v>
      </c>
      <c r="G70" s="333">
        <f>+G59+G69</f>
        <v>-93.434696766913106</v>
      </c>
      <c r="H70" s="334">
        <f t="shared" si="150"/>
        <v>0.92117399393083987</v>
      </c>
      <c r="I70" s="331">
        <f>+I67+I69</f>
        <v>444.18152841566962</v>
      </c>
      <c r="J70" s="331">
        <f>+J67+J69</f>
        <v>444.18152841566962</v>
      </c>
      <c r="K70" s="332">
        <f>+K67+K69</f>
        <v>435.91739999999999</v>
      </c>
      <c r="L70" s="333">
        <f>+L59+L69</f>
        <v>-73.076628415669646</v>
      </c>
      <c r="M70" s="334">
        <f t="shared" si="151"/>
        <v>0.98139470489656211</v>
      </c>
      <c r="N70" s="331">
        <f>+N67+N69</f>
        <v>873.06532518258268</v>
      </c>
      <c r="O70" s="331">
        <f>+O67+O69</f>
        <v>873.06532518258268</v>
      </c>
      <c r="P70" s="332">
        <f>+P67+P69</f>
        <v>830.99400000000003</v>
      </c>
      <c r="Q70" s="333">
        <f>+Q59+Q69</f>
        <v>-166.51132518258274</v>
      </c>
      <c r="R70" s="393">
        <f t="shared" si="152"/>
        <v>0.95181193895911009</v>
      </c>
      <c r="S70" s="335">
        <f t="shared" ref="S70:T70" si="160">+S67+S69</f>
        <v>292.678</v>
      </c>
      <c r="T70" s="331">
        <f t="shared" si="160"/>
        <v>292.678</v>
      </c>
      <c r="U70" s="332">
        <f>+U67+U69</f>
        <v>338.64918</v>
      </c>
      <c r="V70" s="333">
        <f t="shared" si="153"/>
        <v>45.971180000000004</v>
      </c>
      <c r="W70" s="393">
        <f t="shared" si="154"/>
        <v>1.1570708423591798</v>
      </c>
      <c r="X70" s="335">
        <f t="shared" ref="X70:Y70" si="161">+X67+X69</f>
        <v>707.70868587777443</v>
      </c>
      <c r="Y70" s="331">
        <f t="shared" si="161"/>
        <v>707.70868587777443</v>
      </c>
      <c r="Z70" s="332">
        <f>+Z67+Z69</f>
        <v>758.19965999999999</v>
      </c>
      <c r="AA70" s="333">
        <f t="shared" si="155"/>
        <v>50.490974122225566</v>
      </c>
      <c r="AB70" s="336">
        <f t="shared" si="156"/>
        <v>1.0713442905672428</v>
      </c>
      <c r="AC70" s="333">
        <f t="shared" si="157"/>
        <v>1873.4520110603571</v>
      </c>
      <c r="AD70" s="331">
        <f t="shared" si="157"/>
        <v>1873.4520110603571</v>
      </c>
      <c r="AE70" s="332">
        <f t="shared" si="157"/>
        <v>1927.84284</v>
      </c>
      <c r="AF70" s="333">
        <f t="shared" si="158"/>
        <v>54.390828939642915</v>
      </c>
      <c r="AG70" s="334">
        <f t="shared" si="159"/>
        <v>1.0290324110884794</v>
      </c>
    </row>
    <row r="71" spans="2:33" ht="18.600000000000001" thickBot="1" x14ac:dyDescent="0.5">
      <c r="B71" s="455" t="s">
        <v>461</v>
      </c>
      <c r="C71" s="456">
        <v>0.1</v>
      </c>
      <c r="D71" s="338">
        <f>+D70*$C71</f>
        <v>42.888379676691315</v>
      </c>
      <c r="E71" s="338">
        <f>+E70*$C71</f>
        <v>42.888379676691315</v>
      </c>
      <c r="F71" s="339">
        <f>+F70*$C71</f>
        <v>39.507660000000001</v>
      </c>
      <c r="G71" s="340">
        <f>+G70*$C71</f>
        <v>-9.3434696766913117</v>
      </c>
      <c r="H71" s="341">
        <f t="shared" si="150"/>
        <v>0.92117399393083987</v>
      </c>
      <c r="I71" s="338">
        <f>+I70*$C71</f>
        <v>44.418152841566965</v>
      </c>
      <c r="J71" s="338">
        <f>+J70*$C71</f>
        <v>44.418152841566965</v>
      </c>
      <c r="K71" s="339">
        <f>+K70*$C71</f>
        <v>43.591740000000001</v>
      </c>
      <c r="L71" s="340">
        <f>+L70*$C71</f>
        <v>-7.3076628415669651</v>
      </c>
      <c r="M71" s="341">
        <f t="shared" si="151"/>
        <v>0.98139470489656211</v>
      </c>
      <c r="N71" s="338">
        <f>+N70*$C71</f>
        <v>87.30653251825828</v>
      </c>
      <c r="O71" s="338">
        <f>+O70*$C71</f>
        <v>87.30653251825828</v>
      </c>
      <c r="P71" s="339">
        <f>+P70*$C71</f>
        <v>83.099400000000003</v>
      </c>
      <c r="Q71" s="340">
        <f>+Q70*$C71</f>
        <v>-16.651132518258276</v>
      </c>
      <c r="R71" s="402">
        <f t="shared" si="152"/>
        <v>0.95181193895910998</v>
      </c>
      <c r="S71" s="342">
        <f t="shared" ref="S71:T71" si="162">+S70*$C71</f>
        <v>29.267800000000001</v>
      </c>
      <c r="T71" s="338">
        <f t="shared" si="162"/>
        <v>29.267800000000001</v>
      </c>
      <c r="U71" s="339">
        <f>+U70*$C71</f>
        <v>33.864918000000003</v>
      </c>
      <c r="V71" s="340">
        <f t="shared" si="153"/>
        <v>4.5971180000000018</v>
      </c>
      <c r="W71" s="402">
        <f t="shared" si="154"/>
        <v>1.1570708423591798</v>
      </c>
      <c r="X71" s="342">
        <f t="shared" ref="X71:Y71" si="163">+X70*$C71</f>
        <v>70.770868587777443</v>
      </c>
      <c r="Y71" s="338">
        <f t="shared" si="163"/>
        <v>70.770868587777443</v>
      </c>
      <c r="Z71" s="339">
        <f>+Z70*$C71</f>
        <v>75.819966000000008</v>
      </c>
      <c r="AA71" s="340">
        <f t="shared" si="155"/>
        <v>5.0490974122225651</v>
      </c>
      <c r="AB71" s="343">
        <f t="shared" si="156"/>
        <v>1.071344290567243</v>
      </c>
      <c r="AC71" s="340">
        <f t="shared" si="157"/>
        <v>187.34520110603572</v>
      </c>
      <c r="AD71" s="338">
        <f t="shared" si="157"/>
        <v>187.34520110603572</v>
      </c>
      <c r="AE71" s="339">
        <f t="shared" si="157"/>
        <v>192.78428400000001</v>
      </c>
      <c r="AF71" s="340">
        <f t="shared" si="158"/>
        <v>5.4390828939642972</v>
      </c>
      <c r="AG71" s="341">
        <f t="shared" si="159"/>
        <v>1.0290324110884794</v>
      </c>
    </row>
    <row r="72" spans="2:33" ht="18.600000000000001" thickBot="1" x14ac:dyDescent="0.5">
      <c r="B72" s="623" t="s">
        <v>462</v>
      </c>
      <c r="C72" s="624"/>
      <c r="D72" s="315">
        <f t="shared" ref="D72:F72" si="164">+D70+D71</f>
        <v>471.77217644360445</v>
      </c>
      <c r="E72" s="315">
        <f t="shared" si="164"/>
        <v>471.77217644360445</v>
      </c>
      <c r="F72" s="316">
        <f t="shared" si="164"/>
        <v>434.58425999999997</v>
      </c>
      <c r="G72" s="317">
        <f>+G70+G71</f>
        <v>-102.77816644360442</v>
      </c>
      <c r="H72" s="318">
        <f t="shared" si="150"/>
        <v>0.92117399393083976</v>
      </c>
      <c r="I72" s="315">
        <f t="shared" ref="I72:K72" si="165">+I70+I71</f>
        <v>488.59968125723657</v>
      </c>
      <c r="J72" s="315">
        <f t="shared" si="165"/>
        <v>488.59968125723657</v>
      </c>
      <c r="K72" s="316">
        <f t="shared" si="165"/>
        <v>479.50914</v>
      </c>
      <c r="L72" s="317">
        <f>+L70+L71</f>
        <v>-80.384291257236612</v>
      </c>
      <c r="M72" s="318">
        <f t="shared" si="151"/>
        <v>0.98139470489656211</v>
      </c>
      <c r="N72" s="315">
        <f t="shared" ref="N72:P72" si="166">+N70+N71</f>
        <v>960.37185770084102</v>
      </c>
      <c r="O72" s="315">
        <f t="shared" si="166"/>
        <v>960.37185770084102</v>
      </c>
      <c r="P72" s="316">
        <f t="shared" si="166"/>
        <v>914.09339999999997</v>
      </c>
      <c r="Q72" s="317">
        <f>+Q70+Q71</f>
        <v>-183.162457700841</v>
      </c>
      <c r="R72" s="385">
        <f t="shared" si="152"/>
        <v>0.95181193895910998</v>
      </c>
      <c r="S72" s="319">
        <f t="shared" ref="S72:U72" si="167">+S70+S71</f>
        <v>321.94580000000002</v>
      </c>
      <c r="T72" s="315">
        <f t="shared" si="167"/>
        <v>321.94580000000002</v>
      </c>
      <c r="U72" s="316">
        <f t="shared" si="167"/>
        <v>372.51409799999999</v>
      </c>
      <c r="V72" s="317">
        <f t="shared" si="153"/>
        <v>50.56829799999997</v>
      </c>
      <c r="W72" s="385">
        <f t="shared" si="154"/>
        <v>1.1570708423591796</v>
      </c>
      <c r="X72" s="319">
        <f t="shared" ref="X72:Z72" si="168">+X70+X71</f>
        <v>778.47955446555193</v>
      </c>
      <c r="Y72" s="315">
        <f t="shared" si="168"/>
        <v>778.47955446555193</v>
      </c>
      <c r="Z72" s="316">
        <f t="shared" si="168"/>
        <v>834.01962600000002</v>
      </c>
      <c r="AA72" s="317">
        <f t="shared" si="155"/>
        <v>55.540071534448089</v>
      </c>
      <c r="AB72" s="320">
        <f t="shared" si="156"/>
        <v>1.0713442905672428</v>
      </c>
      <c r="AC72" s="317">
        <f t="shared" si="157"/>
        <v>2060.7972121663929</v>
      </c>
      <c r="AD72" s="315">
        <f t="shared" si="157"/>
        <v>2060.7972121663929</v>
      </c>
      <c r="AE72" s="664">
        <f t="shared" si="157"/>
        <v>2120.6271239999996</v>
      </c>
      <c r="AF72" s="317">
        <f t="shared" si="158"/>
        <v>59.829911833606729</v>
      </c>
      <c r="AG72" s="320">
        <f t="shared" si="159"/>
        <v>1.0290324110884792</v>
      </c>
    </row>
    <row r="73" spans="2:33" x14ac:dyDescent="0.45">
      <c r="F73" s="458"/>
      <c r="K73" s="458" t="s">
        <v>583</v>
      </c>
      <c r="Z73" s="459"/>
      <c r="AB73" s="459"/>
      <c r="AC73" s="460"/>
      <c r="AD73" s="460"/>
      <c r="AE73" s="460"/>
      <c r="AF73" s="461"/>
      <c r="AG73" s="462"/>
    </row>
    <row r="74" spans="2:33" x14ac:dyDescent="0.45">
      <c r="K74" s="458"/>
    </row>
    <row r="75" spans="2:33" x14ac:dyDescent="0.45">
      <c r="B75" s="292" t="s">
        <v>584</v>
      </c>
      <c r="F75" s="668">
        <f>F67+Z75</f>
        <v>568.07999999999993</v>
      </c>
      <c r="G75" s="668"/>
      <c r="H75" s="668"/>
      <c r="I75" s="668"/>
      <c r="J75" s="668"/>
      <c r="K75" s="668">
        <f>K67+Z75</f>
        <v>608.12</v>
      </c>
      <c r="L75" s="668"/>
      <c r="M75" s="668"/>
      <c r="N75" s="668"/>
      <c r="O75" s="668"/>
      <c r="P75" s="668"/>
      <c r="Q75" s="668"/>
      <c r="R75" s="668"/>
      <c r="S75" s="668"/>
      <c r="T75" s="668"/>
      <c r="U75" s="668"/>
      <c r="V75" s="668"/>
      <c r="W75" s="668"/>
      <c r="X75" s="668"/>
      <c r="Y75" s="668"/>
      <c r="Z75" s="682">
        <f>Z59/4</f>
        <v>180.75</v>
      </c>
      <c r="AA75" s="683" t="s">
        <v>617</v>
      </c>
      <c r="AB75" s="292" t="s">
        <v>618</v>
      </c>
    </row>
    <row r="76" spans="2:33" x14ac:dyDescent="0.45">
      <c r="Z76" s="292" t="s">
        <v>619</v>
      </c>
    </row>
  </sheetData>
  <mergeCells count="57">
    <mergeCell ref="B72:C72"/>
    <mergeCell ref="B59:C59"/>
    <mergeCell ref="C61:C62"/>
    <mergeCell ref="C63:C64"/>
    <mergeCell ref="B65:C65"/>
    <mergeCell ref="B67:C67"/>
    <mergeCell ref="B70:C70"/>
    <mergeCell ref="B52:C52"/>
    <mergeCell ref="B53:C53"/>
    <mergeCell ref="B54:C54"/>
    <mergeCell ref="B56:C56"/>
    <mergeCell ref="B57:C57"/>
    <mergeCell ref="B58:C58"/>
    <mergeCell ref="B46:C46"/>
    <mergeCell ref="B47:C47"/>
    <mergeCell ref="B48:C48"/>
    <mergeCell ref="B49:C49"/>
    <mergeCell ref="B50:C50"/>
    <mergeCell ref="B51:C51"/>
    <mergeCell ref="B38:C38"/>
    <mergeCell ref="B40:C40"/>
    <mergeCell ref="B41:C41"/>
    <mergeCell ref="B42:C42"/>
    <mergeCell ref="B43:C43"/>
    <mergeCell ref="B45:C45"/>
    <mergeCell ref="B30:C30"/>
    <mergeCell ref="B32:C32"/>
    <mergeCell ref="B33:C33"/>
    <mergeCell ref="B34:C34"/>
    <mergeCell ref="B35:C35"/>
    <mergeCell ref="B37:C37"/>
    <mergeCell ref="B20:C20"/>
    <mergeCell ref="B21:C21"/>
    <mergeCell ref="B22:C22"/>
    <mergeCell ref="B23:C23"/>
    <mergeCell ref="B24:C24"/>
    <mergeCell ref="B25:C25"/>
    <mergeCell ref="B13:C13"/>
    <mergeCell ref="B14:C14"/>
    <mergeCell ref="B15:C15"/>
    <mergeCell ref="B17:C17"/>
    <mergeCell ref="B18:C18"/>
    <mergeCell ref="B19:C19"/>
    <mergeCell ref="B5:C5"/>
    <mergeCell ref="B7:C7"/>
    <mergeCell ref="B8:C8"/>
    <mergeCell ref="B9:C9"/>
    <mergeCell ref="B10:C10"/>
    <mergeCell ref="B12:C12"/>
    <mergeCell ref="AE1:AG1"/>
    <mergeCell ref="AL1:AN1"/>
    <mergeCell ref="D2:H2"/>
    <mergeCell ref="I2:M2"/>
    <mergeCell ref="N2:R2"/>
    <mergeCell ref="S2:W2"/>
    <mergeCell ref="X2:AB2"/>
    <mergeCell ref="AC2:AG2"/>
  </mergeCells>
  <phoneticPr fontId="5"/>
  <pageMargins left="0.39370078740157483" right="0" top="0" bottom="0" header="0" footer="0"/>
  <pageSetup paperSize="8" scale="82"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5C25C-1C03-4FDA-94AC-72A1B5AB592C}">
  <sheetPr>
    <pageSetUpPr fitToPage="1"/>
  </sheetPr>
  <dimension ref="A1:AB46"/>
  <sheetViews>
    <sheetView zoomScale="130" zoomScaleNormal="130" workbookViewId="0">
      <selection sqref="A1:XFD8"/>
    </sheetView>
  </sheetViews>
  <sheetFormatPr defaultRowHeight="18" x14ac:dyDescent="0.45"/>
  <cols>
    <col min="2" max="2" width="10.296875" bestFit="1" customWidth="1"/>
    <col min="3" max="3" width="11.69921875" bestFit="1" customWidth="1"/>
    <col min="4" max="4" width="9.3984375" bestFit="1" customWidth="1"/>
    <col min="5" max="5" width="11.69921875" bestFit="1" customWidth="1"/>
    <col min="9" max="9" width="9" bestFit="1" customWidth="1"/>
    <col min="13" max="13" width="11.69921875" bestFit="1" customWidth="1"/>
    <col min="14" max="14" width="9.3984375" bestFit="1" customWidth="1"/>
    <col min="15" max="15" width="11.69921875" bestFit="1" customWidth="1"/>
    <col min="16" max="16" width="12.59765625" bestFit="1" customWidth="1"/>
    <col min="17" max="17" width="11.5" bestFit="1" customWidth="1"/>
  </cols>
  <sheetData>
    <row r="1" spans="1:20" x14ac:dyDescent="0.45">
      <c r="I1" s="1">
        <v>45257</v>
      </c>
    </row>
    <row r="2" spans="1:20" ht="15" customHeight="1" x14ac:dyDescent="0.45"/>
    <row r="3" spans="1:20" x14ac:dyDescent="0.45">
      <c r="A3" s="525" t="s">
        <v>41</v>
      </c>
      <c r="B3" s="526"/>
      <c r="C3" s="526"/>
      <c r="D3" s="526"/>
      <c r="E3" s="526"/>
      <c r="F3" s="526"/>
      <c r="G3" s="526"/>
      <c r="H3" s="526"/>
      <c r="I3" s="526"/>
    </row>
    <row r="4" spans="1:20" ht="15" customHeight="1" x14ac:dyDescent="0.45"/>
    <row r="5" spans="1:20" x14ac:dyDescent="0.45">
      <c r="A5" t="s">
        <v>42</v>
      </c>
    </row>
    <row r="6" spans="1:20" x14ac:dyDescent="0.45">
      <c r="A6" t="s">
        <v>43</v>
      </c>
    </row>
    <row r="7" spans="1:20" x14ac:dyDescent="0.45">
      <c r="A7" t="s">
        <v>44</v>
      </c>
    </row>
    <row r="9" spans="1:20" x14ac:dyDescent="0.45">
      <c r="A9" s="2" t="s">
        <v>45</v>
      </c>
    </row>
    <row r="10" spans="1:20" x14ac:dyDescent="0.45">
      <c r="A10" t="s">
        <v>46</v>
      </c>
    </row>
    <row r="14" spans="1:20" x14ac:dyDescent="0.45">
      <c r="O14" t="s">
        <v>8</v>
      </c>
      <c r="S14" t="s">
        <v>47</v>
      </c>
    </row>
    <row r="15" spans="1:20" x14ac:dyDescent="0.45">
      <c r="O15" t="s">
        <v>560</v>
      </c>
      <c r="P15" s="465">
        <v>22915.058988762685</v>
      </c>
      <c r="Q15" t="s">
        <v>10</v>
      </c>
      <c r="R15" s="476">
        <v>4.583011797752537E-2</v>
      </c>
      <c r="S15" s="477" t="s">
        <v>49</v>
      </c>
      <c r="T15" s="478"/>
    </row>
    <row r="16" spans="1:20" x14ac:dyDescent="0.45">
      <c r="O16" t="s">
        <v>561</v>
      </c>
      <c r="P16" s="464">
        <v>6243.823184163638</v>
      </c>
      <c r="Q16" t="s">
        <v>10</v>
      </c>
      <c r="R16" s="476">
        <v>1.3875162631474751E-2</v>
      </c>
      <c r="S16" s="477" t="s">
        <v>50</v>
      </c>
      <c r="T16" s="478"/>
    </row>
    <row r="17" spans="1:28" x14ac:dyDescent="0.45">
      <c r="Q17" t="s">
        <v>567</v>
      </c>
      <c r="R17" t="s">
        <v>566</v>
      </c>
      <c r="V17" t="s">
        <v>562</v>
      </c>
      <c r="W17" t="s">
        <v>563</v>
      </c>
      <c r="X17" t="s">
        <v>564</v>
      </c>
      <c r="Y17" t="s">
        <v>565</v>
      </c>
    </row>
    <row r="18" spans="1:28" ht="12.6" customHeight="1" x14ac:dyDescent="0.45">
      <c r="P18" s="484">
        <f>P16/12*5</f>
        <v>2601.5929934015157</v>
      </c>
      <c r="Q18" s="660">
        <f>P18/0.02</f>
        <v>130079.64967007579</v>
      </c>
      <c r="R18">
        <v>3379</v>
      </c>
      <c r="S18" s="661">
        <f>R18/Q18</f>
        <v>2.5976392222536275E-2</v>
      </c>
      <c r="V18" s="660">
        <v>130000</v>
      </c>
      <c r="W18" s="660">
        <v>76000</v>
      </c>
      <c r="X18" s="660">
        <v>5000</v>
      </c>
      <c r="Y18" s="660"/>
      <c r="Z18" s="660">
        <f>R18+V18+W18+X18</f>
        <v>214379</v>
      </c>
      <c r="AA18" s="237">
        <f>Z18/Q18</f>
        <v>1.6480594815848193</v>
      </c>
      <c r="AB18" s="662">
        <f>Z18-Q18</f>
        <v>84299.350329924215</v>
      </c>
    </row>
    <row r="19" spans="1:28" x14ac:dyDescent="0.45">
      <c r="A19" t="s">
        <v>8</v>
      </c>
      <c r="E19" t="s">
        <v>47</v>
      </c>
      <c r="L19" t="s">
        <v>48</v>
      </c>
      <c r="P19" s="484">
        <f>P15/12*5</f>
        <v>9547.9412453177847</v>
      </c>
      <c r="Q19" s="660">
        <f>P19/0.05</f>
        <v>190958.82490635567</v>
      </c>
      <c r="R19">
        <v>99327</v>
      </c>
      <c r="S19" s="237">
        <f>R19/Q19</f>
        <v>0.52014878101972495</v>
      </c>
      <c r="V19" s="660">
        <v>105000</v>
      </c>
      <c r="W19" s="660">
        <v>9300</v>
      </c>
      <c r="X19" s="660">
        <v>75000</v>
      </c>
      <c r="Y19" s="660"/>
      <c r="Z19" s="660">
        <f>R19+V19+W19+X19</f>
        <v>288627</v>
      </c>
      <c r="AA19" s="237">
        <f>Z19/Q19</f>
        <v>1.5114619611926279</v>
      </c>
      <c r="AB19" s="662">
        <f>Z19-Q19</f>
        <v>97668.175093644328</v>
      </c>
    </row>
    <row r="20" spans="1:28" x14ac:dyDescent="0.45">
      <c r="A20" t="s">
        <v>9</v>
      </c>
      <c r="B20" s="465">
        <f>'参考_APIC(2023年度) '!AV113*1000</f>
        <v>22915.058988762685</v>
      </c>
      <c r="C20" t="s">
        <v>10</v>
      </c>
      <c r="D20" s="476">
        <f>B20/500000</f>
        <v>4.583011797752537E-2</v>
      </c>
      <c r="E20" s="477" t="s">
        <v>49</v>
      </c>
      <c r="F20" s="478"/>
      <c r="L20" s="479">
        <f>0.05*150</f>
        <v>7.5</v>
      </c>
      <c r="P20" s="484"/>
      <c r="Q20" s="660"/>
      <c r="S20" s="237"/>
      <c r="V20" s="660"/>
      <c r="W20" s="660"/>
      <c r="X20" s="660"/>
      <c r="Y20" s="660"/>
      <c r="Z20" s="660"/>
      <c r="AA20" s="237"/>
      <c r="AB20" s="662"/>
    </row>
    <row r="21" spans="1:28" x14ac:dyDescent="0.45">
      <c r="A21" t="s">
        <v>12</v>
      </c>
      <c r="B21" s="464">
        <f>'参考_BTNB(2023年度) '!AT114*1000</f>
        <v>6243.823184163638</v>
      </c>
      <c r="C21" t="s">
        <v>10</v>
      </c>
      <c r="D21" s="476">
        <f>B21/450000</f>
        <v>1.3875162631474751E-2</v>
      </c>
      <c r="E21" s="477" t="s">
        <v>50</v>
      </c>
      <c r="F21" s="478"/>
      <c r="L21" s="479">
        <f>0.02*150</f>
        <v>3</v>
      </c>
      <c r="O21" t="s">
        <v>569</v>
      </c>
      <c r="T21" t="s">
        <v>47</v>
      </c>
    </row>
    <row r="22" spans="1:28" x14ac:dyDescent="0.45">
      <c r="B22" s="464" t="s">
        <v>51</v>
      </c>
      <c r="D22" s="483"/>
      <c r="E22" s="484"/>
      <c r="L22" s="479"/>
      <c r="O22" t="s">
        <v>570</v>
      </c>
      <c r="P22" s="465">
        <v>15929.30769230769</v>
      </c>
      <c r="Q22" t="s">
        <v>10</v>
      </c>
      <c r="R22" s="476">
        <f>P22/600000</f>
        <v>2.6548846153846149E-2</v>
      </c>
      <c r="S22" s="477" t="s">
        <v>571</v>
      </c>
      <c r="T22" s="478"/>
    </row>
    <row r="23" spans="1:28" x14ac:dyDescent="0.45">
      <c r="B23" t="s">
        <v>52</v>
      </c>
      <c r="O23" t="s">
        <v>561</v>
      </c>
      <c r="P23" s="464">
        <f>8.54941818181818*1000</f>
        <v>8549.4181818181787</v>
      </c>
      <c r="Q23" t="s">
        <v>10</v>
      </c>
      <c r="R23" s="476">
        <f>P23/500000</f>
        <v>1.7098836363636356E-2</v>
      </c>
      <c r="S23" s="477" t="s">
        <v>568</v>
      </c>
      <c r="T23" s="478"/>
    </row>
    <row r="25" spans="1:28" x14ac:dyDescent="0.45">
      <c r="A25" t="s">
        <v>53</v>
      </c>
    </row>
    <row r="26" spans="1:28" x14ac:dyDescent="0.45">
      <c r="A26" t="s">
        <v>54</v>
      </c>
    </row>
    <row r="27" spans="1:28" x14ac:dyDescent="0.45">
      <c r="A27" t="s">
        <v>55</v>
      </c>
      <c r="O27" t="s">
        <v>573</v>
      </c>
      <c r="P27" s="484">
        <v>35000</v>
      </c>
      <c r="Q27" t="s">
        <v>572</v>
      </c>
    </row>
    <row r="28" spans="1:28" x14ac:dyDescent="0.45">
      <c r="A28" t="s">
        <v>56</v>
      </c>
      <c r="O28" t="s">
        <v>574</v>
      </c>
      <c r="P28" s="485"/>
    </row>
    <row r="29" spans="1:28" x14ac:dyDescent="0.45">
      <c r="O29" t="s">
        <v>575</v>
      </c>
    </row>
    <row r="30" spans="1:28" x14ac:dyDescent="0.45">
      <c r="A30" t="s">
        <v>57</v>
      </c>
    </row>
    <row r="31" spans="1:28" x14ac:dyDescent="0.45">
      <c r="A31" t="s">
        <v>58</v>
      </c>
    </row>
    <row r="32" spans="1:28" x14ac:dyDescent="0.45">
      <c r="A32" t="s">
        <v>59</v>
      </c>
    </row>
    <row r="34" spans="1:9" x14ac:dyDescent="0.45">
      <c r="A34" t="s">
        <v>60</v>
      </c>
    </row>
    <row r="35" spans="1:9" x14ac:dyDescent="0.45">
      <c r="A35" t="s">
        <v>61</v>
      </c>
    </row>
    <row r="36" spans="1:9" x14ac:dyDescent="0.45">
      <c r="A36" t="s">
        <v>62</v>
      </c>
    </row>
    <row r="37" spans="1:9" x14ac:dyDescent="0.45">
      <c r="A37" t="s">
        <v>63</v>
      </c>
    </row>
    <row r="38" spans="1:9" x14ac:dyDescent="0.45">
      <c r="A38" t="s">
        <v>64</v>
      </c>
    </row>
    <row r="39" spans="1:9" x14ac:dyDescent="0.45">
      <c r="A39" t="s">
        <v>65</v>
      </c>
    </row>
    <row r="40" spans="1:9" x14ac:dyDescent="0.45">
      <c r="A40" t="s">
        <v>66</v>
      </c>
    </row>
    <row r="41" spans="1:9" x14ac:dyDescent="0.45">
      <c r="A41" t="s">
        <v>67</v>
      </c>
    </row>
    <row r="42" spans="1:9" x14ac:dyDescent="0.45">
      <c r="A42" t="s">
        <v>68</v>
      </c>
    </row>
    <row r="43" spans="1:9" x14ac:dyDescent="0.45">
      <c r="A43" t="s">
        <v>69</v>
      </c>
    </row>
    <row r="44" spans="1:9" x14ac:dyDescent="0.45">
      <c r="A44" t="s">
        <v>70</v>
      </c>
    </row>
    <row r="45" spans="1:9" x14ac:dyDescent="0.45">
      <c r="A45" t="s">
        <v>71</v>
      </c>
    </row>
    <row r="46" spans="1:9" x14ac:dyDescent="0.45">
      <c r="I46" t="s">
        <v>23</v>
      </c>
    </row>
  </sheetData>
  <mergeCells count="1">
    <mergeCell ref="A3:I3"/>
  </mergeCells>
  <phoneticPr fontId="5"/>
  <pageMargins left="0.31496062992125984" right="0.31496062992125984" top="0.35433070866141736" bottom="0.35433070866141736" header="0.11811023622047245" footer="0.11811023622047245"/>
  <pageSetup paperSize="9" scale="94"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9BC96-BAE4-4B9B-994E-DE8946A90608}">
  <dimension ref="A1:J48"/>
  <sheetViews>
    <sheetView workbookViewId="0">
      <selection activeCell="A7" sqref="A7"/>
    </sheetView>
  </sheetViews>
  <sheetFormatPr defaultRowHeight="18" x14ac:dyDescent="0.45"/>
  <cols>
    <col min="1" max="1" width="2.8984375" customWidth="1"/>
    <col min="2" max="2" width="13.09765625" customWidth="1"/>
    <col min="3" max="3" width="11.09765625" customWidth="1"/>
    <col min="4" max="4" width="27.09765625" customWidth="1"/>
    <col min="5" max="5" width="9.796875" customWidth="1"/>
    <col min="6" max="6" width="9.09765625" bestFit="1" customWidth="1"/>
    <col min="7" max="7" width="12.09765625" customWidth="1"/>
    <col min="10" max="10" width="9" bestFit="1" customWidth="1"/>
    <col min="14" max="14" width="11.69921875" bestFit="1" customWidth="1"/>
    <col min="15" max="15" width="9.3984375" bestFit="1" customWidth="1"/>
    <col min="16" max="16" width="11.69921875" bestFit="1" customWidth="1"/>
  </cols>
  <sheetData>
    <row r="1" spans="1:10" ht="37.950000000000003" customHeight="1" x14ac:dyDescent="0.45"/>
    <row r="2" spans="1:10" x14ac:dyDescent="0.45">
      <c r="B2" t="s">
        <v>72</v>
      </c>
      <c r="J2" s="1"/>
    </row>
    <row r="3" spans="1:10" x14ac:dyDescent="0.45">
      <c r="B3" t="s">
        <v>73</v>
      </c>
    </row>
    <row r="5" spans="1:10" x14ac:dyDescent="0.45">
      <c r="B5" t="s">
        <v>74</v>
      </c>
    </row>
    <row r="6" spans="1:10" x14ac:dyDescent="0.45">
      <c r="B6" t="s">
        <v>75</v>
      </c>
    </row>
    <row r="8" spans="1:10" x14ac:dyDescent="0.45">
      <c r="E8" t="s">
        <v>76</v>
      </c>
      <c r="F8" s="478" t="s">
        <v>77</v>
      </c>
      <c r="G8" s="478"/>
    </row>
    <row r="9" spans="1:10" x14ac:dyDescent="0.45">
      <c r="E9" t="s">
        <v>78</v>
      </c>
      <c r="F9" s="478" t="s">
        <v>79</v>
      </c>
      <c r="G9" s="478"/>
    </row>
    <row r="12" spans="1:10" x14ac:dyDescent="0.45">
      <c r="A12" s="525" t="s">
        <v>80</v>
      </c>
      <c r="B12" s="525"/>
      <c r="C12" s="525"/>
      <c r="D12" s="525"/>
      <c r="E12" s="525"/>
      <c r="F12" s="525"/>
      <c r="G12" s="525"/>
      <c r="H12" s="474"/>
      <c r="I12" s="474"/>
      <c r="J12" s="474"/>
    </row>
    <row r="13" spans="1:10" ht="9.6" customHeight="1" x14ac:dyDescent="0.45"/>
    <row r="14" spans="1:10" x14ac:dyDescent="0.45">
      <c r="B14" s="614" t="s">
        <v>81</v>
      </c>
      <c r="C14" s="614" t="s">
        <v>82</v>
      </c>
      <c r="D14" s="614" t="s">
        <v>83</v>
      </c>
      <c r="E14" s="614" t="s">
        <v>84</v>
      </c>
      <c r="F14" s="613" t="s">
        <v>85</v>
      </c>
      <c r="G14" s="613"/>
    </row>
    <row r="15" spans="1:10" x14ac:dyDescent="0.45">
      <c r="B15" s="614"/>
      <c r="C15" s="614"/>
      <c r="D15" s="614"/>
      <c r="E15" s="614"/>
      <c r="F15" s="473" t="s">
        <v>86</v>
      </c>
      <c r="G15" s="473" t="s">
        <v>87</v>
      </c>
    </row>
    <row r="16" spans="1:10" x14ac:dyDescent="0.45">
      <c r="B16" s="55" t="s">
        <v>88</v>
      </c>
      <c r="C16" s="55" t="s">
        <v>89</v>
      </c>
      <c r="D16" s="55" t="s">
        <v>90</v>
      </c>
      <c r="E16" s="480">
        <v>500</v>
      </c>
      <c r="F16" s="472">
        <v>0.05</v>
      </c>
      <c r="G16" s="472">
        <f>E16*F16</f>
        <v>25</v>
      </c>
    </row>
    <row r="17" spans="1:7" x14ac:dyDescent="0.45">
      <c r="B17" s="55" t="s">
        <v>88</v>
      </c>
      <c r="C17" s="55" t="s">
        <v>91</v>
      </c>
      <c r="D17" s="55" t="s">
        <v>92</v>
      </c>
      <c r="E17" s="480">
        <v>500</v>
      </c>
      <c r="F17" s="472">
        <v>0.05</v>
      </c>
      <c r="G17" s="472">
        <f t="shared" ref="G17:G19" si="0">E17*F17</f>
        <v>25</v>
      </c>
    </row>
    <row r="18" spans="1:7" x14ac:dyDescent="0.45">
      <c r="B18" s="55" t="s">
        <v>88</v>
      </c>
      <c r="C18" s="55" t="s">
        <v>93</v>
      </c>
      <c r="D18" s="55" t="s">
        <v>94</v>
      </c>
      <c r="E18" s="480">
        <v>500</v>
      </c>
      <c r="F18" s="472">
        <v>0.05</v>
      </c>
      <c r="G18" s="472">
        <f t="shared" si="0"/>
        <v>25</v>
      </c>
    </row>
    <row r="19" spans="1:7" x14ac:dyDescent="0.45">
      <c r="A19" s="2"/>
      <c r="B19" s="55" t="s">
        <v>88</v>
      </c>
      <c r="C19" s="55" t="s">
        <v>95</v>
      </c>
      <c r="D19" s="55" t="s">
        <v>96</v>
      </c>
      <c r="E19" s="480">
        <v>500</v>
      </c>
      <c r="F19" s="472">
        <v>0.05</v>
      </c>
      <c r="G19" s="472">
        <f t="shared" si="0"/>
        <v>25</v>
      </c>
    </row>
    <row r="20" spans="1:7" x14ac:dyDescent="0.45">
      <c r="B20" s="56"/>
      <c r="C20" s="56"/>
      <c r="D20" s="56"/>
      <c r="E20" s="56"/>
      <c r="F20" s="56"/>
      <c r="G20" s="56"/>
    </row>
    <row r="21" spans="1:7" x14ac:dyDescent="0.45">
      <c r="A21" s="19"/>
      <c r="B21" s="56"/>
      <c r="C21" s="56"/>
      <c r="D21" s="56"/>
      <c r="E21" s="56"/>
      <c r="F21" s="475" t="s">
        <v>97</v>
      </c>
      <c r="G21" s="472">
        <f>SUM(G16:G20)</f>
        <v>100</v>
      </c>
    </row>
    <row r="22" spans="1:7" x14ac:dyDescent="0.45">
      <c r="A22" s="19"/>
    </row>
    <row r="23" spans="1:7" x14ac:dyDescent="0.45">
      <c r="A23" s="20"/>
      <c r="B23" s="481" t="s">
        <v>98</v>
      </c>
    </row>
    <row r="24" spans="1:7" x14ac:dyDescent="0.45">
      <c r="A24" s="19"/>
    </row>
    <row r="25" spans="1:7" ht="12.6" customHeight="1" x14ac:dyDescent="0.45">
      <c r="E25" t="s">
        <v>99</v>
      </c>
    </row>
    <row r="26" spans="1:7" x14ac:dyDescent="0.45">
      <c r="A26" s="2"/>
    </row>
    <row r="28" spans="1:7" x14ac:dyDescent="0.45">
      <c r="E28" s="482"/>
      <c r="F28" s="482"/>
      <c r="G28" s="482"/>
    </row>
    <row r="35" spans="2:2" ht="12.6" customHeight="1" x14ac:dyDescent="0.45"/>
    <row r="37" spans="2:2" x14ac:dyDescent="0.45">
      <c r="B37" s="465"/>
    </row>
    <row r="38" spans="2:2" x14ac:dyDescent="0.45">
      <c r="B38" s="464"/>
    </row>
    <row r="39" spans="2:2" ht="12.6" customHeight="1" x14ac:dyDescent="0.45"/>
    <row r="43" spans="2:2" ht="12.6" customHeight="1" x14ac:dyDescent="0.45"/>
    <row r="48" spans="2:2" ht="8.4" customHeight="1" x14ac:dyDescent="0.45"/>
  </sheetData>
  <mergeCells count="6">
    <mergeCell ref="A12:G12"/>
    <mergeCell ref="F14:G14"/>
    <mergeCell ref="B14:B15"/>
    <mergeCell ref="C14:C15"/>
    <mergeCell ref="E14:E15"/>
    <mergeCell ref="D14:D15"/>
  </mergeCells>
  <phoneticPr fontId="5"/>
  <pageMargins left="0.31496062992125984" right="0.31496062992125984" top="0.35433070866141736" bottom="0.35433070866141736" header="0.11811023622047245" footer="0.11811023622047245"/>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EDAA0-5B9F-4244-8322-E58BAB31B205}">
  <dimension ref="A1:J48"/>
  <sheetViews>
    <sheetView workbookViewId="0">
      <selection activeCell="G30" sqref="A1:G30"/>
    </sheetView>
  </sheetViews>
  <sheetFormatPr defaultRowHeight="18" x14ac:dyDescent="0.45"/>
  <cols>
    <col min="1" max="1" width="2.8984375" customWidth="1"/>
    <col min="2" max="2" width="13.09765625" customWidth="1"/>
    <col min="3" max="3" width="11.09765625" customWidth="1"/>
    <col min="4" max="4" width="27.09765625" customWidth="1"/>
    <col min="5" max="5" width="9.796875" customWidth="1"/>
    <col min="6" max="6" width="9.09765625" bestFit="1" customWidth="1"/>
    <col min="7" max="7" width="12.09765625" customWidth="1"/>
    <col min="10" max="10" width="9" bestFit="1" customWidth="1"/>
    <col min="14" max="14" width="11.69921875" bestFit="1" customWidth="1"/>
    <col min="15" max="15" width="9.3984375" bestFit="1" customWidth="1"/>
    <col min="16" max="16" width="11.69921875" bestFit="1" customWidth="1"/>
  </cols>
  <sheetData>
    <row r="1" spans="1:10" ht="37.950000000000003" customHeight="1" x14ac:dyDescent="0.45"/>
    <row r="2" spans="1:10" x14ac:dyDescent="0.45">
      <c r="B2" t="s">
        <v>72</v>
      </c>
      <c r="J2" s="1"/>
    </row>
    <row r="3" spans="1:10" x14ac:dyDescent="0.45">
      <c r="B3" t="s">
        <v>73</v>
      </c>
    </row>
    <row r="5" spans="1:10" x14ac:dyDescent="0.45">
      <c r="B5" t="s">
        <v>74</v>
      </c>
    </row>
    <row r="6" spans="1:10" x14ac:dyDescent="0.45">
      <c r="B6" t="s">
        <v>75</v>
      </c>
    </row>
    <row r="8" spans="1:10" x14ac:dyDescent="0.45">
      <c r="E8" t="s">
        <v>76</v>
      </c>
      <c r="F8" s="478" t="s">
        <v>77</v>
      </c>
      <c r="G8" s="478"/>
    </row>
    <row r="9" spans="1:10" x14ac:dyDescent="0.45">
      <c r="E9" t="s">
        <v>78</v>
      </c>
      <c r="F9" s="478" t="s">
        <v>79</v>
      </c>
      <c r="G9" s="478"/>
    </row>
    <row r="12" spans="1:10" x14ac:dyDescent="0.45">
      <c r="A12" s="525" t="s">
        <v>80</v>
      </c>
      <c r="B12" s="525"/>
      <c r="C12" s="525"/>
      <c r="D12" s="525"/>
      <c r="E12" s="525"/>
      <c r="F12" s="525"/>
      <c r="G12" s="525"/>
      <c r="H12" s="474"/>
      <c r="I12" s="474"/>
      <c r="J12" s="474"/>
    </row>
    <row r="13" spans="1:10" ht="9.6" customHeight="1" x14ac:dyDescent="0.45"/>
    <row r="14" spans="1:10" x14ac:dyDescent="0.45">
      <c r="B14" s="614" t="s">
        <v>81</v>
      </c>
      <c r="C14" s="614" t="s">
        <v>82</v>
      </c>
      <c r="D14" s="614" t="s">
        <v>83</v>
      </c>
      <c r="E14" s="614" t="s">
        <v>84</v>
      </c>
      <c r="F14" s="613" t="s">
        <v>85</v>
      </c>
      <c r="G14" s="613"/>
    </row>
    <row r="15" spans="1:10" x14ac:dyDescent="0.45">
      <c r="B15" s="614"/>
      <c r="C15" s="614"/>
      <c r="D15" s="614"/>
      <c r="E15" s="614"/>
      <c r="F15" s="473" t="s">
        <v>86</v>
      </c>
      <c r="G15" s="473" t="s">
        <v>87</v>
      </c>
    </row>
    <row r="16" spans="1:10" x14ac:dyDescent="0.45">
      <c r="B16" s="55" t="s">
        <v>88</v>
      </c>
      <c r="C16" s="55" t="s">
        <v>89</v>
      </c>
      <c r="D16" s="55" t="s">
        <v>90</v>
      </c>
      <c r="E16" s="480">
        <v>500</v>
      </c>
      <c r="F16" s="472">
        <v>0.02</v>
      </c>
      <c r="G16" s="472">
        <f>E16*F16</f>
        <v>10</v>
      </c>
    </row>
    <row r="17" spans="1:7" x14ac:dyDescent="0.45">
      <c r="B17" s="55" t="s">
        <v>88</v>
      </c>
      <c r="C17" s="55" t="s">
        <v>91</v>
      </c>
      <c r="D17" s="55" t="s">
        <v>92</v>
      </c>
      <c r="E17" s="480">
        <v>500</v>
      </c>
      <c r="F17" s="472">
        <v>0.02</v>
      </c>
      <c r="G17" s="472">
        <f t="shared" ref="G17:G19" si="0">E17*F17</f>
        <v>10</v>
      </c>
    </row>
    <row r="18" spans="1:7" x14ac:dyDescent="0.45">
      <c r="B18" s="55" t="s">
        <v>88</v>
      </c>
      <c r="C18" s="55" t="s">
        <v>93</v>
      </c>
      <c r="D18" s="55" t="s">
        <v>94</v>
      </c>
      <c r="E18" s="480">
        <v>500</v>
      </c>
      <c r="F18" s="472">
        <v>0.02</v>
      </c>
      <c r="G18" s="472">
        <f t="shared" si="0"/>
        <v>10</v>
      </c>
    </row>
    <row r="19" spans="1:7" x14ac:dyDescent="0.45">
      <c r="A19" s="2"/>
      <c r="B19" s="55" t="s">
        <v>88</v>
      </c>
      <c r="C19" s="55" t="s">
        <v>95</v>
      </c>
      <c r="D19" s="55" t="s">
        <v>96</v>
      </c>
      <c r="E19" s="480">
        <v>500</v>
      </c>
      <c r="F19" s="472">
        <v>0.02</v>
      </c>
      <c r="G19" s="472">
        <f t="shared" si="0"/>
        <v>10</v>
      </c>
    </row>
    <row r="20" spans="1:7" x14ac:dyDescent="0.45">
      <c r="B20" s="56"/>
      <c r="C20" s="56"/>
      <c r="D20" s="56"/>
      <c r="E20" s="56"/>
      <c r="F20" s="56"/>
      <c r="G20" s="56"/>
    </row>
    <row r="21" spans="1:7" x14ac:dyDescent="0.45">
      <c r="A21" s="19"/>
      <c r="B21" s="56"/>
      <c r="C21" s="56"/>
      <c r="D21" s="56"/>
      <c r="E21" s="56"/>
      <c r="F21" s="475" t="s">
        <v>97</v>
      </c>
      <c r="G21" s="472">
        <f>SUM(G16:G20)</f>
        <v>40</v>
      </c>
    </row>
    <row r="22" spans="1:7" x14ac:dyDescent="0.45">
      <c r="A22" s="19"/>
    </row>
    <row r="23" spans="1:7" x14ac:dyDescent="0.45">
      <c r="A23" s="20"/>
      <c r="B23" s="481" t="s">
        <v>98</v>
      </c>
    </row>
    <row r="24" spans="1:7" x14ac:dyDescent="0.45">
      <c r="A24" s="19"/>
    </row>
    <row r="25" spans="1:7" ht="12.6" customHeight="1" x14ac:dyDescent="0.45">
      <c r="E25" t="s">
        <v>99</v>
      </c>
    </row>
    <row r="26" spans="1:7" x14ac:dyDescent="0.45">
      <c r="A26" s="2"/>
    </row>
    <row r="28" spans="1:7" x14ac:dyDescent="0.45">
      <c r="E28" s="482"/>
      <c r="F28" s="482"/>
      <c r="G28" s="482"/>
    </row>
    <row r="35" spans="2:2" ht="12.6" customHeight="1" x14ac:dyDescent="0.45"/>
    <row r="37" spans="2:2" x14ac:dyDescent="0.45">
      <c r="B37" s="465"/>
    </row>
    <row r="38" spans="2:2" x14ac:dyDescent="0.45">
      <c r="B38" s="464"/>
    </row>
    <row r="39" spans="2:2" ht="12.6" customHeight="1" x14ac:dyDescent="0.45"/>
    <row r="43" spans="2:2" ht="12.6" customHeight="1" x14ac:dyDescent="0.45"/>
    <row r="48" spans="2:2" ht="8.4" customHeight="1" x14ac:dyDescent="0.45"/>
  </sheetData>
  <mergeCells count="6">
    <mergeCell ref="A12:G12"/>
    <mergeCell ref="B14:B15"/>
    <mergeCell ref="C14:C15"/>
    <mergeCell ref="D14:D15"/>
    <mergeCell ref="E14:E15"/>
    <mergeCell ref="F14:G14"/>
  </mergeCells>
  <phoneticPr fontId="5"/>
  <pageMargins left="0.31496062992125984" right="0.31496062992125984" top="0.35433070866141736" bottom="0.35433070866141736" header="0.11811023622047245" footer="0.11811023622047245"/>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EF8B1-967B-403E-9701-375936E771FF}">
  <sheetPr>
    <pageSetUpPr fitToPage="1"/>
  </sheetPr>
  <dimension ref="A1:AX116"/>
  <sheetViews>
    <sheetView zoomScaleNormal="100" workbookViewId="0">
      <pane xSplit="6" ySplit="12" topLeftCell="G13" activePane="bottomRight" state="frozen"/>
      <selection pane="topRight" activeCell="M13" sqref="M13"/>
      <selection pane="bottomLeft" activeCell="M13" sqref="M13"/>
      <selection pane="bottomRight" activeCell="I25" sqref="I25:J29"/>
    </sheetView>
  </sheetViews>
  <sheetFormatPr defaultRowHeight="18" x14ac:dyDescent="0.45"/>
  <cols>
    <col min="1" max="1" width="7.69921875" customWidth="1"/>
    <col min="2" max="2" width="7.09765625" customWidth="1"/>
    <col min="3" max="3" width="2.796875" customWidth="1"/>
    <col min="4" max="4" width="15.796875" customWidth="1"/>
    <col min="5" max="5" width="36.796875" customWidth="1"/>
    <col min="6" max="6" width="13" customWidth="1"/>
    <col min="7" max="7" width="4.19921875" customWidth="1"/>
    <col min="8" max="8" width="6.796875" bestFit="1" customWidth="1"/>
    <col min="9" max="9" width="5.09765625" bestFit="1" customWidth="1"/>
    <col min="10" max="12" width="6.796875" bestFit="1" customWidth="1"/>
    <col min="13" max="13" width="4.296875" customWidth="1"/>
    <col min="14" max="14" width="5.296875" customWidth="1"/>
    <col min="15" max="15" width="5.09765625" bestFit="1" customWidth="1"/>
    <col min="16" max="16" width="6.796875" bestFit="1" customWidth="1"/>
    <col min="17" max="17" width="5.09765625" bestFit="1" customWidth="1"/>
    <col min="18" max="18" width="8.19921875" customWidth="1"/>
    <col min="19" max="19" width="5.09765625" bestFit="1" customWidth="1"/>
    <col min="20" max="20" width="6.796875" bestFit="1" customWidth="1"/>
    <col min="21" max="21" width="5.09765625" bestFit="1" customWidth="1"/>
    <col min="22" max="22" width="6.796875" customWidth="1"/>
    <col min="23" max="23" width="5.09765625" bestFit="1" customWidth="1"/>
    <col min="24" max="24" width="6.796875" customWidth="1"/>
    <col min="25" max="25" width="4.8984375" bestFit="1" customWidth="1"/>
    <col min="26" max="26" width="6.796875" bestFit="1" customWidth="1"/>
    <col min="27" max="27" width="5.09765625" bestFit="1" customWidth="1"/>
    <col min="28" max="28" width="6.796875" bestFit="1" customWidth="1"/>
    <col min="29" max="30" width="7.796875" bestFit="1" customWidth="1"/>
    <col min="31" max="31" width="4.19921875" customWidth="1"/>
    <col min="32" max="32" width="6" bestFit="1" customWidth="1"/>
    <col min="33" max="33" width="5.09765625" bestFit="1" customWidth="1"/>
    <col min="34" max="34" width="6" bestFit="1" customWidth="1"/>
    <col min="35" max="35" width="5.09765625" bestFit="1" customWidth="1"/>
    <col min="36" max="36" width="6" bestFit="1" customWidth="1"/>
    <col min="37" max="37" width="5.09765625" bestFit="1" customWidth="1"/>
    <col min="38" max="38" width="8.19921875" bestFit="1" customWidth="1"/>
    <col min="39" max="39" width="8.296875" customWidth="1"/>
    <col min="41" max="41" width="6.796875" customWidth="1"/>
    <col min="43" max="43" width="6.296875" customWidth="1"/>
    <col min="44" max="44" width="7.296875" customWidth="1"/>
    <col min="45" max="45" width="6.796875" style="22" customWidth="1"/>
    <col min="46" max="46" width="6.796875" style="22" bestFit="1" customWidth="1"/>
    <col min="48" max="48" width="17.19921875" bestFit="1" customWidth="1"/>
  </cols>
  <sheetData>
    <row r="1" spans="1:50" x14ac:dyDescent="0.45">
      <c r="I1" s="527"/>
      <c r="J1" s="527"/>
      <c r="K1" s="527"/>
      <c r="L1" s="527"/>
      <c r="M1" s="528" t="s">
        <v>100</v>
      </c>
      <c r="N1" s="528"/>
      <c r="O1" s="529" t="s">
        <v>101</v>
      </c>
      <c r="P1" s="530"/>
      <c r="Q1" s="530"/>
      <c r="R1" s="530"/>
      <c r="S1" s="530"/>
      <c r="T1" s="531"/>
      <c r="AU1" s="532">
        <v>45091</v>
      </c>
      <c r="AV1" s="532"/>
    </row>
    <row r="2" spans="1:50" ht="13.95" customHeight="1" x14ac:dyDescent="0.45">
      <c r="A2" s="23" t="s">
        <v>102</v>
      </c>
      <c r="B2" s="24"/>
      <c r="C2" s="25"/>
      <c r="D2" s="24"/>
      <c r="E2" s="24"/>
      <c r="F2" s="26"/>
      <c r="G2" s="27"/>
      <c r="H2" s="27"/>
      <c r="I2" s="527"/>
      <c r="J2" s="527"/>
      <c r="K2" s="527"/>
      <c r="L2" s="527"/>
      <c r="M2" s="528"/>
      <c r="N2" s="528"/>
      <c r="O2" s="528" t="s">
        <v>103</v>
      </c>
      <c r="P2" s="528"/>
      <c r="Q2" s="528"/>
      <c r="R2" s="533" t="s">
        <v>104</v>
      </c>
      <c r="S2" s="533"/>
      <c r="T2" s="533"/>
      <c r="AS2" s="28"/>
      <c r="AU2" s="29"/>
      <c r="AV2" s="28" t="s">
        <v>105</v>
      </c>
    </row>
    <row r="3" spans="1:50" ht="13.95" customHeight="1" x14ac:dyDescent="0.45">
      <c r="A3" s="23"/>
      <c r="B3" s="24"/>
      <c r="C3" s="25"/>
      <c r="D3" s="24"/>
      <c r="E3" s="24"/>
      <c r="F3" s="26"/>
      <c r="G3" s="27"/>
      <c r="H3" s="27"/>
      <c r="I3" s="534" t="s">
        <v>106</v>
      </c>
      <c r="J3" s="534"/>
      <c r="K3" s="534"/>
      <c r="L3" s="534"/>
      <c r="M3" s="615">
        <v>2</v>
      </c>
      <c r="N3" s="615"/>
      <c r="O3" s="615">
        <f>R3/M3</f>
        <v>56.034999999999997</v>
      </c>
      <c r="P3" s="615"/>
      <c r="Q3" s="615"/>
      <c r="R3" s="616">
        <v>112.07</v>
      </c>
      <c r="S3" s="616"/>
      <c r="T3" s="616"/>
      <c r="AS3" s="28"/>
    </row>
    <row r="4" spans="1:50" ht="13.95" customHeight="1" x14ac:dyDescent="0.45">
      <c r="A4" s="23"/>
      <c r="B4" s="24"/>
      <c r="C4" s="25"/>
      <c r="D4" s="24"/>
      <c r="E4" s="24"/>
      <c r="F4" s="26"/>
      <c r="G4" s="27"/>
      <c r="H4" s="27"/>
      <c r="I4" s="534" t="s">
        <v>107</v>
      </c>
      <c r="J4" s="534"/>
      <c r="K4" s="534"/>
      <c r="L4" s="534"/>
      <c r="M4" s="615">
        <v>8</v>
      </c>
      <c r="N4" s="615"/>
      <c r="O4" s="615">
        <f t="shared" ref="O4:O6" si="0">R4/M4</f>
        <v>22.946861628442033</v>
      </c>
      <c r="P4" s="615"/>
      <c r="Q4" s="615"/>
      <c r="R4" s="616">
        <v>183.57489302753626</v>
      </c>
      <c r="S4" s="616"/>
      <c r="T4" s="616"/>
      <c r="AS4" s="28"/>
    </row>
    <row r="5" spans="1:50" ht="19.2" x14ac:dyDescent="0.45">
      <c r="A5" s="30" t="s">
        <v>108</v>
      </c>
      <c r="B5" s="30"/>
      <c r="C5" s="30"/>
      <c r="D5" s="30"/>
      <c r="E5" s="30"/>
      <c r="F5" s="30"/>
      <c r="G5" s="27"/>
      <c r="H5" s="27"/>
      <c r="I5" s="534" t="s">
        <v>109</v>
      </c>
      <c r="J5" s="534"/>
      <c r="K5" s="534"/>
      <c r="L5" s="534"/>
      <c r="M5" s="536">
        <v>4</v>
      </c>
      <c r="N5" s="536"/>
      <c r="O5" s="615">
        <f t="shared" si="0"/>
        <v>22.946861628442033</v>
      </c>
      <c r="P5" s="615"/>
      <c r="Q5" s="615"/>
      <c r="R5" s="537">
        <v>91.787446513768131</v>
      </c>
      <c r="S5" s="537"/>
      <c r="T5" s="537"/>
      <c r="U5" t="s">
        <v>110</v>
      </c>
      <c r="AS5" s="28"/>
    </row>
    <row r="6" spans="1:50" ht="13.95" customHeight="1" x14ac:dyDescent="0.45">
      <c r="A6" s="30"/>
      <c r="B6" s="30"/>
      <c r="C6" s="30"/>
      <c r="D6" s="30"/>
      <c r="E6" s="30"/>
      <c r="F6" s="30"/>
      <c r="G6" s="27"/>
      <c r="H6" s="27"/>
      <c r="I6" s="538" t="s">
        <v>111</v>
      </c>
      <c r="J6" s="539"/>
      <c r="K6" s="539"/>
      <c r="L6" s="540"/>
      <c r="M6" s="541">
        <v>1</v>
      </c>
      <c r="N6" s="542"/>
      <c r="O6" s="615">
        <f t="shared" si="0"/>
        <v>33.042000000000002</v>
      </c>
      <c r="P6" s="615"/>
      <c r="Q6" s="615"/>
      <c r="R6" s="543">
        <v>33.042000000000002</v>
      </c>
      <c r="S6" s="544"/>
      <c r="T6" s="545"/>
      <c r="U6" t="s">
        <v>112</v>
      </c>
    </row>
    <row r="7" spans="1:50" ht="13.95" customHeight="1" x14ac:dyDescent="0.45">
      <c r="A7" s="31"/>
      <c r="B7" s="32"/>
      <c r="C7" s="33"/>
      <c r="D7" s="34"/>
      <c r="E7" s="34"/>
      <c r="F7" s="26"/>
      <c r="G7" s="27"/>
      <c r="H7" s="27"/>
      <c r="I7" s="534" t="s">
        <v>113</v>
      </c>
      <c r="J7" s="534"/>
      <c r="K7" s="534"/>
      <c r="L7" s="534"/>
      <c r="M7" s="537">
        <f>SUM(M3:N6)</f>
        <v>15</v>
      </c>
      <c r="N7" s="537"/>
      <c r="O7" s="537" t="s">
        <v>114</v>
      </c>
      <c r="P7" s="537"/>
      <c r="Q7" s="537"/>
      <c r="R7" s="546">
        <f>SUM(R3:T6)</f>
        <v>420.4743395413044</v>
      </c>
      <c r="S7" s="546"/>
      <c r="T7" s="546"/>
      <c r="U7" t="s">
        <v>115</v>
      </c>
      <c r="V7" s="35">
        <f>R7/12</f>
        <v>35.039528295108703</v>
      </c>
      <c r="W7" s="35" t="s">
        <v>116</v>
      </c>
      <c r="X7" t="s">
        <v>117</v>
      </c>
      <c r="Y7" s="547">
        <f>V7*1000*135</f>
        <v>4730336.319839674</v>
      </c>
      <c r="Z7" s="547"/>
      <c r="AA7" t="s">
        <v>118</v>
      </c>
    </row>
    <row r="8" spans="1:50" ht="18.600000000000001" thickBot="1" x14ac:dyDescent="0.5">
      <c r="A8" s="27"/>
      <c r="B8" s="27"/>
      <c r="C8" s="27"/>
      <c r="D8" s="27"/>
      <c r="E8" s="27"/>
      <c r="F8" s="27"/>
      <c r="G8" s="27"/>
      <c r="H8" s="27"/>
      <c r="I8" s="27"/>
      <c r="J8" s="27"/>
      <c r="K8" s="27"/>
      <c r="L8" s="27"/>
      <c r="M8" s="27"/>
      <c r="N8" s="27"/>
      <c r="O8" s="27"/>
      <c r="P8" s="27"/>
      <c r="Q8" s="27"/>
      <c r="R8" s="27"/>
      <c r="S8" s="27"/>
      <c r="T8" s="27"/>
      <c r="U8" s="36"/>
      <c r="V8" s="36"/>
      <c r="W8" s="36"/>
      <c r="Y8" s="37"/>
      <c r="Z8" s="37"/>
      <c r="AA8" s="37"/>
      <c r="AB8" s="37"/>
      <c r="AV8" t="s">
        <v>119</v>
      </c>
    </row>
    <row r="9" spans="1:50" x14ac:dyDescent="0.45">
      <c r="A9" s="38"/>
      <c r="B9" s="39"/>
      <c r="C9" s="40"/>
      <c r="D9" s="39"/>
      <c r="E9" s="39"/>
      <c r="F9" s="41"/>
      <c r="G9" s="564" t="s">
        <v>120</v>
      </c>
      <c r="H9" s="565"/>
      <c r="I9" s="565"/>
      <c r="J9" s="565"/>
      <c r="K9" s="565"/>
      <c r="L9" s="566"/>
      <c r="M9" s="550" t="s">
        <v>121</v>
      </c>
      <c r="N9" s="551"/>
      <c r="O9" s="551"/>
      <c r="P9" s="551"/>
      <c r="Q9" s="551"/>
      <c r="R9" s="551"/>
      <c r="S9" s="551"/>
      <c r="T9" s="551"/>
      <c r="U9" s="551"/>
      <c r="V9" s="551"/>
      <c r="W9" s="551"/>
      <c r="X9" s="551"/>
      <c r="Y9" s="551"/>
      <c r="Z9" s="551"/>
      <c r="AA9" s="551"/>
      <c r="AB9" s="551"/>
      <c r="AC9" s="551"/>
      <c r="AD9" s="567"/>
      <c r="AE9" s="550" t="s">
        <v>122</v>
      </c>
      <c r="AF9" s="551"/>
      <c r="AG9" s="551"/>
      <c r="AH9" s="551"/>
      <c r="AI9" s="551"/>
      <c r="AJ9" s="551"/>
      <c r="AK9" s="551"/>
      <c r="AL9" s="551"/>
      <c r="AM9" s="551"/>
      <c r="AN9" s="552"/>
      <c r="AO9" s="553" t="s">
        <v>123</v>
      </c>
      <c r="AP9" s="554"/>
      <c r="AQ9" s="554"/>
      <c r="AR9" s="555"/>
      <c r="AS9" s="556" t="s">
        <v>124</v>
      </c>
      <c r="AT9" s="557"/>
    </row>
    <row r="10" spans="1:50" x14ac:dyDescent="0.45">
      <c r="A10" s="42"/>
      <c r="B10" s="24"/>
      <c r="C10" s="25"/>
      <c r="D10" s="24"/>
      <c r="E10" s="24"/>
      <c r="F10" s="43"/>
      <c r="G10" s="560" t="s">
        <v>125</v>
      </c>
      <c r="H10" s="561"/>
      <c r="I10" s="561" t="s">
        <v>126</v>
      </c>
      <c r="J10" s="561"/>
      <c r="K10" s="562" t="s">
        <v>127</v>
      </c>
      <c r="L10" s="563"/>
      <c r="M10" s="548" t="s">
        <v>128</v>
      </c>
      <c r="N10" s="549"/>
      <c r="O10" s="549" t="s">
        <v>129</v>
      </c>
      <c r="P10" s="549"/>
      <c r="Q10" s="549" t="s">
        <v>130</v>
      </c>
      <c r="R10" s="549"/>
      <c r="S10" s="549" t="s">
        <v>131</v>
      </c>
      <c r="T10" s="549"/>
      <c r="U10" s="549" t="s">
        <v>132</v>
      </c>
      <c r="V10" s="549"/>
      <c r="W10" s="549" t="s">
        <v>133</v>
      </c>
      <c r="X10" s="549"/>
      <c r="Y10" s="549" t="s">
        <v>134</v>
      </c>
      <c r="Z10" s="549"/>
      <c r="AA10" s="549" t="s">
        <v>135</v>
      </c>
      <c r="AB10" s="549"/>
      <c r="AC10" s="568" t="s">
        <v>136</v>
      </c>
      <c r="AD10" s="569"/>
      <c r="AE10" s="548" t="s">
        <v>137</v>
      </c>
      <c r="AF10" s="549"/>
      <c r="AG10" s="549" t="s">
        <v>138</v>
      </c>
      <c r="AH10" s="549"/>
      <c r="AI10" s="549" t="s">
        <v>139</v>
      </c>
      <c r="AJ10" s="549"/>
      <c r="AK10" s="549" t="s">
        <v>140</v>
      </c>
      <c r="AL10" s="549"/>
      <c r="AM10" s="568" t="s">
        <v>136</v>
      </c>
      <c r="AN10" s="570"/>
      <c r="AO10" s="548" t="s">
        <v>141</v>
      </c>
      <c r="AP10" s="549"/>
      <c r="AQ10" s="568" t="s">
        <v>136</v>
      </c>
      <c r="AR10" s="569"/>
      <c r="AS10" s="558"/>
      <c r="AT10" s="559"/>
    </row>
    <row r="11" spans="1:50" x14ac:dyDescent="0.45">
      <c r="A11" s="42"/>
      <c r="B11" s="24"/>
      <c r="C11" s="25"/>
      <c r="D11" s="24"/>
      <c r="E11" s="24"/>
      <c r="F11" s="43"/>
      <c r="G11" s="44" t="s">
        <v>100</v>
      </c>
      <c r="H11" s="45" t="s">
        <v>142</v>
      </c>
      <c r="I11" s="44" t="s">
        <v>100</v>
      </c>
      <c r="J11" s="45" t="s">
        <v>142</v>
      </c>
      <c r="K11" s="46" t="s">
        <v>100</v>
      </c>
      <c r="L11" s="47" t="s">
        <v>142</v>
      </c>
      <c r="M11" s="48" t="s">
        <v>100</v>
      </c>
      <c r="N11" s="49" t="s">
        <v>142</v>
      </c>
      <c r="O11" s="49" t="s">
        <v>100</v>
      </c>
      <c r="P11" s="49" t="s">
        <v>142</v>
      </c>
      <c r="Q11" s="49" t="s">
        <v>100</v>
      </c>
      <c r="R11" s="49" t="s">
        <v>142</v>
      </c>
      <c r="S11" s="49" t="s">
        <v>100</v>
      </c>
      <c r="T11" s="49" t="s">
        <v>142</v>
      </c>
      <c r="U11" s="49" t="s">
        <v>100</v>
      </c>
      <c r="V11" s="49" t="s">
        <v>142</v>
      </c>
      <c r="W11" s="49" t="s">
        <v>100</v>
      </c>
      <c r="X11" s="49" t="s">
        <v>142</v>
      </c>
      <c r="Y11" s="49" t="s">
        <v>100</v>
      </c>
      <c r="Z11" s="49" t="s">
        <v>142</v>
      </c>
      <c r="AA11" s="49" t="s">
        <v>100</v>
      </c>
      <c r="AB11" s="49" t="s">
        <v>142</v>
      </c>
      <c r="AC11" s="50" t="s">
        <v>100</v>
      </c>
      <c r="AD11" s="51" t="s">
        <v>142</v>
      </c>
      <c r="AE11" s="48" t="s">
        <v>100</v>
      </c>
      <c r="AF11" s="49" t="s">
        <v>142</v>
      </c>
      <c r="AG11" s="49" t="s">
        <v>100</v>
      </c>
      <c r="AH11" s="49" t="s">
        <v>142</v>
      </c>
      <c r="AI11" s="49" t="s">
        <v>100</v>
      </c>
      <c r="AJ11" s="49" t="s">
        <v>142</v>
      </c>
      <c r="AK11" s="49" t="s">
        <v>100</v>
      </c>
      <c r="AL11" s="49" t="s">
        <v>142</v>
      </c>
      <c r="AM11" s="50" t="s">
        <v>100</v>
      </c>
      <c r="AN11" s="52" t="s">
        <v>142</v>
      </c>
      <c r="AO11" s="48" t="s">
        <v>100</v>
      </c>
      <c r="AP11" s="49" t="s">
        <v>142</v>
      </c>
      <c r="AQ11" s="50" t="s">
        <v>100</v>
      </c>
      <c r="AR11" s="51" t="s">
        <v>142</v>
      </c>
      <c r="AS11" s="53" t="s">
        <v>100</v>
      </c>
      <c r="AT11" s="54" t="s">
        <v>142</v>
      </c>
      <c r="AU11" s="55" t="s">
        <v>143</v>
      </c>
      <c r="AV11" s="56" t="s">
        <v>144</v>
      </c>
    </row>
    <row r="12" spans="1:50" ht="18.600000000000001" thickBot="1" x14ac:dyDescent="0.5">
      <c r="A12" s="57" t="s">
        <v>145</v>
      </c>
      <c r="B12" s="58" t="s">
        <v>146</v>
      </c>
      <c r="C12" s="59"/>
      <c r="D12" s="58" t="s">
        <v>147</v>
      </c>
      <c r="E12" s="58" t="s">
        <v>148</v>
      </c>
      <c r="F12" s="60" t="s">
        <v>149</v>
      </c>
      <c r="G12" s="61">
        <v>1</v>
      </c>
      <c r="H12" s="62">
        <f>O3</f>
        <v>56.034999999999997</v>
      </c>
      <c r="I12" s="62">
        <v>1</v>
      </c>
      <c r="J12" s="62">
        <f>O3</f>
        <v>56.034999999999997</v>
      </c>
      <c r="K12" s="63">
        <f>G12+I12</f>
        <v>2</v>
      </c>
      <c r="L12" s="64">
        <f>H12+J12</f>
        <v>112.07</v>
      </c>
      <c r="M12" s="65">
        <v>1</v>
      </c>
      <c r="N12" s="66">
        <f>O4</f>
        <v>22.946861628442033</v>
      </c>
      <c r="O12" s="66">
        <v>1</v>
      </c>
      <c r="P12" s="66">
        <f>O4</f>
        <v>22.946861628442033</v>
      </c>
      <c r="Q12" s="66">
        <v>1</v>
      </c>
      <c r="R12" s="66">
        <f>O4</f>
        <v>22.946861628442033</v>
      </c>
      <c r="S12" s="66">
        <v>1</v>
      </c>
      <c r="T12" s="66">
        <f>O4</f>
        <v>22.946861628442033</v>
      </c>
      <c r="U12" s="66">
        <v>1</v>
      </c>
      <c r="V12" s="66">
        <f>O4</f>
        <v>22.946861628442033</v>
      </c>
      <c r="W12" s="66">
        <v>1</v>
      </c>
      <c r="X12" s="66">
        <f>O4</f>
        <v>22.946861628442033</v>
      </c>
      <c r="Y12" s="66">
        <v>1</v>
      </c>
      <c r="Z12" s="66">
        <f>O4</f>
        <v>22.946861628442033</v>
      </c>
      <c r="AA12" s="66">
        <v>1</v>
      </c>
      <c r="AB12" s="66">
        <f>O4</f>
        <v>22.946861628442033</v>
      </c>
      <c r="AC12" s="67">
        <f>M12+O12+Q12+S12+U12+W12+Y12+AA12</f>
        <v>8</v>
      </c>
      <c r="AD12" s="68">
        <f>N12+P12+R12+T12+V12+X12+Z12+AB12</f>
        <v>183.57489302753626</v>
      </c>
      <c r="AE12" s="65">
        <v>1</v>
      </c>
      <c r="AF12" s="66">
        <f>O5</f>
        <v>22.946861628442033</v>
      </c>
      <c r="AG12" s="66">
        <v>1</v>
      </c>
      <c r="AH12" s="66">
        <f>O5</f>
        <v>22.946861628442033</v>
      </c>
      <c r="AI12" s="66">
        <v>1</v>
      </c>
      <c r="AJ12" s="66">
        <f>O5</f>
        <v>22.946861628442033</v>
      </c>
      <c r="AK12" s="66">
        <v>1</v>
      </c>
      <c r="AL12" s="66">
        <f>O5</f>
        <v>22.946861628442033</v>
      </c>
      <c r="AM12" s="67">
        <f>AE12+AG12+AI12+AK12</f>
        <v>4</v>
      </c>
      <c r="AN12" s="69">
        <f>AF12+AH12+AJ12+AL12</f>
        <v>91.787446513768131</v>
      </c>
      <c r="AO12" s="65">
        <v>1</v>
      </c>
      <c r="AP12" s="66">
        <f>O6</f>
        <v>33.042000000000002</v>
      </c>
      <c r="AQ12" s="67">
        <f>AO12</f>
        <v>1</v>
      </c>
      <c r="AR12" s="70">
        <f>AP12</f>
        <v>33.042000000000002</v>
      </c>
      <c r="AS12" s="71">
        <f>K12+AC12+AM12+AQ12</f>
        <v>15</v>
      </c>
      <c r="AT12" s="72">
        <f>L12+AD12+AN12+AR12</f>
        <v>420.4743395413044</v>
      </c>
      <c r="AU12" s="56"/>
      <c r="AV12" s="56"/>
    </row>
    <row r="13" spans="1:50" ht="15" customHeight="1" x14ac:dyDescent="0.45">
      <c r="A13" s="73" t="s">
        <v>150</v>
      </c>
      <c r="B13" s="74" t="s">
        <v>151</v>
      </c>
      <c r="C13" s="75">
        <v>1</v>
      </c>
      <c r="D13" s="74" t="s">
        <v>152</v>
      </c>
      <c r="E13" s="76" t="s">
        <v>153</v>
      </c>
      <c r="F13" s="77" t="s">
        <v>154</v>
      </c>
      <c r="G13" s="78"/>
      <c r="H13" s="79">
        <f>$H$12/$G$12*G13</f>
        <v>0</v>
      </c>
      <c r="I13" s="79"/>
      <c r="J13" s="79">
        <f>$J$12/$I$12*I13</f>
        <v>0</v>
      </c>
      <c r="K13" s="80">
        <f t="shared" ref="K13:L76" si="1">G13+I13</f>
        <v>0</v>
      </c>
      <c r="L13" s="81">
        <f t="shared" si="1"/>
        <v>0</v>
      </c>
      <c r="M13" s="82"/>
      <c r="N13" s="83">
        <f>N$12/M$12*M13</f>
        <v>0</v>
      </c>
      <c r="O13" s="83"/>
      <c r="P13" s="83">
        <f>P$12/O$12*O13</f>
        <v>0</v>
      </c>
      <c r="Q13" s="83"/>
      <c r="R13" s="83">
        <f>R$12/Q$12*Q13</f>
        <v>0</v>
      </c>
      <c r="S13" s="83"/>
      <c r="T13" s="83">
        <f>T$12/S$12*S13</f>
        <v>0</v>
      </c>
      <c r="U13" s="83"/>
      <c r="V13" s="83">
        <f>V$12/U$12*U13</f>
        <v>0</v>
      </c>
      <c r="W13" s="83"/>
      <c r="X13" s="83">
        <f>X$12/W$12*W13</f>
        <v>0</v>
      </c>
      <c r="Y13" s="83">
        <v>0.02</v>
      </c>
      <c r="Z13" s="83">
        <f>Z$12/Y$12*Y13</f>
        <v>0.45893723256884067</v>
      </c>
      <c r="AA13" s="83"/>
      <c r="AB13" s="83">
        <f>AB$12/AA$12*AA13</f>
        <v>0</v>
      </c>
      <c r="AC13" s="84">
        <f t="shared" ref="AC13:AD76" si="2">M13+O13+Q13+S13+U13+W13+Y13+AA13</f>
        <v>0.02</v>
      </c>
      <c r="AD13" s="85">
        <f t="shared" si="2"/>
        <v>0.45893723256884067</v>
      </c>
      <c r="AE13" s="82"/>
      <c r="AF13" s="83">
        <f>AF$12/AE$12*AE13</f>
        <v>0</v>
      </c>
      <c r="AG13" s="83"/>
      <c r="AH13" s="83">
        <f>AH$12/AG$12*AG13</f>
        <v>0</v>
      </c>
      <c r="AI13" s="83"/>
      <c r="AJ13" s="83">
        <f>AJ$12/AI$12*AI13</f>
        <v>0</v>
      </c>
      <c r="AK13" s="83"/>
      <c r="AL13" s="83">
        <f>AL$12/AK$12*AK13</f>
        <v>0</v>
      </c>
      <c r="AM13" s="84">
        <f t="shared" ref="AM13:AN76" si="3">AE13+AG13+AI13+AK13</f>
        <v>0</v>
      </c>
      <c r="AN13" s="86">
        <f t="shared" si="3"/>
        <v>0</v>
      </c>
      <c r="AO13" s="82"/>
      <c r="AP13" s="83"/>
      <c r="AQ13" s="84">
        <f>AO13</f>
        <v>0</v>
      </c>
      <c r="AR13" s="87">
        <f t="shared" ref="AR13:AR76" si="4">AP13</f>
        <v>0</v>
      </c>
      <c r="AS13" s="88">
        <f t="shared" ref="AS13:AS76" si="5">K13+AC13+AM13</f>
        <v>0.02</v>
      </c>
      <c r="AT13" s="89">
        <f t="shared" ref="AT13:AT76" si="6">L13+AD13+AN13+AR13</f>
        <v>0.45893723256884067</v>
      </c>
      <c r="AU13" s="56" t="s">
        <v>155</v>
      </c>
      <c r="AV13" s="56">
        <f>IF(AU13="●",AT13,0)</f>
        <v>0</v>
      </c>
      <c r="AX13" s="56" t="s">
        <v>156</v>
      </c>
    </row>
    <row r="14" spans="1:50" ht="15" customHeight="1" x14ac:dyDescent="0.45">
      <c r="A14" s="73"/>
      <c r="B14" s="90" t="s">
        <v>157</v>
      </c>
      <c r="C14" s="91">
        <v>2</v>
      </c>
      <c r="D14" s="74" t="s">
        <v>158</v>
      </c>
      <c r="E14" s="76" t="s">
        <v>159</v>
      </c>
      <c r="F14" s="92" t="s">
        <v>154</v>
      </c>
      <c r="G14" s="93"/>
      <c r="H14" s="94">
        <f t="shared" ref="H14:H77" si="7">$H$12/$G$12*G14</f>
        <v>0</v>
      </c>
      <c r="I14" s="94"/>
      <c r="J14" s="94">
        <f t="shared" ref="J14:J77" si="8">$J$12/$I$12*I14</f>
        <v>0</v>
      </c>
      <c r="K14" s="95">
        <f t="shared" si="1"/>
        <v>0</v>
      </c>
      <c r="L14" s="96">
        <f t="shared" si="1"/>
        <v>0</v>
      </c>
      <c r="M14" s="97"/>
      <c r="N14" s="98">
        <f t="shared" ref="N14:N77" si="9">N$12/M$12*M14</f>
        <v>0</v>
      </c>
      <c r="O14" s="98"/>
      <c r="P14" s="98">
        <f t="shared" ref="P14:R29" si="10">P$12/O$12*O14</f>
        <v>0</v>
      </c>
      <c r="Q14" s="98"/>
      <c r="R14" s="98">
        <f t="shared" si="10"/>
        <v>0</v>
      </c>
      <c r="S14" s="98"/>
      <c r="T14" s="98">
        <f t="shared" ref="T14:V29" si="11">T$12/S$12*S14</f>
        <v>0</v>
      </c>
      <c r="U14" s="98"/>
      <c r="V14" s="98">
        <f t="shared" si="11"/>
        <v>0</v>
      </c>
      <c r="W14" s="98"/>
      <c r="X14" s="98">
        <f t="shared" ref="X14:Z29" si="12">X$12/W$12*W14</f>
        <v>0</v>
      </c>
      <c r="Y14" s="98"/>
      <c r="Z14" s="98">
        <f t="shared" si="12"/>
        <v>0</v>
      </c>
      <c r="AA14" s="98"/>
      <c r="AB14" s="98">
        <f t="shared" ref="AB14:AB77" si="13">AB$12/AA$12*AA14</f>
        <v>0</v>
      </c>
      <c r="AC14" s="99">
        <f t="shared" si="2"/>
        <v>0</v>
      </c>
      <c r="AD14" s="100">
        <f t="shared" si="2"/>
        <v>0</v>
      </c>
      <c r="AE14" s="97"/>
      <c r="AF14" s="98">
        <f t="shared" ref="AF14:AF77" si="14">AF$12/AE$12*AE14</f>
        <v>0</v>
      </c>
      <c r="AG14" s="98"/>
      <c r="AH14" s="98">
        <f t="shared" ref="AH14:AH77" si="15">AH$12/AG$12*AG14</f>
        <v>0</v>
      </c>
      <c r="AI14" s="98"/>
      <c r="AJ14" s="98">
        <f t="shared" ref="AJ14:AJ77" si="16">AJ$12/AI$12*AI14</f>
        <v>0</v>
      </c>
      <c r="AK14" s="98"/>
      <c r="AL14" s="98">
        <f t="shared" ref="AL14:AL77" si="17">AL$12/AK$12*AK14</f>
        <v>0</v>
      </c>
      <c r="AM14" s="99">
        <f t="shared" si="3"/>
        <v>0</v>
      </c>
      <c r="AN14" s="101">
        <f t="shared" si="3"/>
        <v>0</v>
      </c>
      <c r="AO14" s="97"/>
      <c r="AP14" s="98"/>
      <c r="AQ14" s="99">
        <f t="shared" ref="AQ14:AR77" si="18">AO14</f>
        <v>0</v>
      </c>
      <c r="AR14" s="102">
        <f t="shared" si="4"/>
        <v>0</v>
      </c>
      <c r="AS14" s="103">
        <f t="shared" si="5"/>
        <v>0</v>
      </c>
      <c r="AT14" s="104">
        <f t="shared" si="6"/>
        <v>0</v>
      </c>
      <c r="AU14" s="56" t="s">
        <v>155</v>
      </c>
      <c r="AV14" s="56">
        <f t="shared" ref="AV14:AV77" si="19">IF(AU14="●",AT14,0)</f>
        <v>0</v>
      </c>
      <c r="AX14" t="s">
        <v>114</v>
      </c>
    </row>
    <row r="15" spans="1:50" ht="15" customHeight="1" x14ac:dyDescent="0.45">
      <c r="A15" s="73"/>
      <c r="B15" s="90"/>
      <c r="C15" s="91">
        <v>3</v>
      </c>
      <c r="D15" s="74" t="s">
        <v>160</v>
      </c>
      <c r="E15" s="76" t="s">
        <v>161</v>
      </c>
      <c r="F15" s="77" t="s">
        <v>162</v>
      </c>
      <c r="G15" s="93">
        <v>0.01</v>
      </c>
      <c r="H15" s="94">
        <f t="shared" si="7"/>
        <v>0.56035000000000001</v>
      </c>
      <c r="I15" s="94"/>
      <c r="J15" s="94">
        <f t="shared" si="8"/>
        <v>0</v>
      </c>
      <c r="K15" s="95">
        <f t="shared" si="1"/>
        <v>0.01</v>
      </c>
      <c r="L15" s="96">
        <f t="shared" si="1"/>
        <v>0.56035000000000001</v>
      </c>
      <c r="M15" s="97">
        <v>0.01</v>
      </c>
      <c r="N15" s="98">
        <f t="shared" si="9"/>
        <v>0.22946861628442033</v>
      </c>
      <c r="O15" s="98"/>
      <c r="P15" s="98">
        <f t="shared" si="10"/>
        <v>0</v>
      </c>
      <c r="Q15" s="98"/>
      <c r="R15" s="98">
        <f t="shared" si="10"/>
        <v>0</v>
      </c>
      <c r="S15" s="98"/>
      <c r="T15" s="98">
        <f t="shared" si="11"/>
        <v>0</v>
      </c>
      <c r="U15" s="98"/>
      <c r="V15" s="98">
        <f t="shared" si="11"/>
        <v>0</v>
      </c>
      <c r="W15" s="98"/>
      <c r="X15" s="98">
        <f t="shared" si="12"/>
        <v>0</v>
      </c>
      <c r="Y15" s="98"/>
      <c r="Z15" s="98">
        <f t="shared" si="12"/>
        <v>0</v>
      </c>
      <c r="AA15" s="98"/>
      <c r="AB15" s="98">
        <f t="shared" si="13"/>
        <v>0</v>
      </c>
      <c r="AC15" s="99">
        <f t="shared" si="2"/>
        <v>0.01</v>
      </c>
      <c r="AD15" s="100">
        <f t="shared" si="2"/>
        <v>0.22946861628442033</v>
      </c>
      <c r="AE15" s="97"/>
      <c r="AF15" s="98">
        <f t="shared" si="14"/>
        <v>0</v>
      </c>
      <c r="AG15" s="98"/>
      <c r="AH15" s="98">
        <f t="shared" si="15"/>
        <v>0</v>
      </c>
      <c r="AI15" s="98"/>
      <c r="AJ15" s="98">
        <f t="shared" si="16"/>
        <v>0</v>
      </c>
      <c r="AK15" s="98"/>
      <c r="AL15" s="98">
        <f t="shared" si="17"/>
        <v>0</v>
      </c>
      <c r="AM15" s="99">
        <f t="shared" si="3"/>
        <v>0</v>
      </c>
      <c r="AN15" s="101">
        <f t="shared" si="3"/>
        <v>0</v>
      </c>
      <c r="AO15" s="97"/>
      <c r="AP15" s="98"/>
      <c r="AQ15" s="99">
        <f t="shared" si="18"/>
        <v>0</v>
      </c>
      <c r="AR15" s="102">
        <f t="shared" si="4"/>
        <v>0</v>
      </c>
      <c r="AS15" s="103">
        <f t="shared" si="5"/>
        <v>0.02</v>
      </c>
      <c r="AT15" s="104">
        <f t="shared" si="6"/>
        <v>0.78981861628442029</v>
      </c>
      <c r="AU15" s="56" t="s">
        <v>155</v>
      </c>
      <c r="AV15" s="56">
        <f t="shared" si="19"/>
        <v>0</v>
      </c>
    </row>
    <row r="16" spans="1:50" ht="15" customHeight="1" x14ac:dyDescent="0.45">
      <c r="A16" s="73"/>
      <c r="B16" s="90"/>
      <c r="C16" s="105">
        <v>4</v>
      </c>
      <c r="D16" s="74" t="s">
        <v>163</v>
      </c>
      <c r="E16" s="76" t="s">
        <v>164</v>
      </c>
      <c r="F16" s="77" t="s">
        <v>165</v>
      </c>
      <c r="G16" s="93">
        <v>0.08</v>
      </c>
      <c r="H16" s="94">
        <f t="shared" si="7"/>
        <v>4.4828000000000001</v>
      </c>
      <c r="I16" s="94"/>
      <c r="J16" s="94">
        <f t="shared" si="8"/>
        <v>0</v>
      </c>
      <c r="K16" s="95">
        <f t="shared" si="1"/>
        <v>0.08</v>
      </c>
      <c r="L16" s="96">
        <f t="shared" si="1"/>
        <v>4.4828000000000001</v>
      </c>
      <c r="M16" s="97">
        <v>0.01</v>
      </c>
      <c r="N16" s="98">
        <f t="shared" si="9"/>
        <v>0.22946861628442033</v>
      </c>
      <c r="O16" s="98"/>
      <c r="P16" s="98">
        <f t="shared" si="10"/>
        <v>0</v>
      </c>
      <c r="Q16" s="98"/>
      <c r="R16" s="98">
        <f t="shared" si="10"/>
        <v>0</v>
      </c>
      <c r="S16" s="98"/>
      <c r="T16" s="98">
        <f t="shared" si="11"/>
        <v>0</v>
      </c>
      <c r="U16" s="98"/>
      <c r="V16" s="98">
        <f t="shared" si="11"/>
        <v>0</v>
      </c>
      <c r="W16" s="98"/>
      <c r="X16" s="98">
        <f t="shared" si="12"/>
        <v>0</v>
      </c>
      <c r="Y16" s="98"/>
      <c r="Z16" s="98">
        <f t="shared" si="12"/>
        <v>0</v>
      </c>
      <c r="AA16" s="98"/>
      <c r="AB16" s="98">
        <f t="shared" si="13"/>
        <v>0</v>
      </c>
      <c r="AC16" s="99">
        <f t="shared" si="2"/>
        <v>0.01</v>
      </c>
      <c r="AD16" s="100">
        <f t="shared" si="2"/>
        <v>0.22946861628442033</v>
      </c>
      <c r="AE16" s="97"/>
      <c r="AF16" s="98">
        <f t="shared" si="14"/>
        <v>0</v>
      </c>
      <c r="AG16" s="98"/>
      <c r="AH16" s="98">
        <f t="shared" si="15"/>
        <v>0</v>
      </c>
      <c r="AI16" s="98"/>
      <c r="AJ16" s="98">
        <f t="shared" si="16"/>
        <v>0</v>
      </c>
      <c r="AK16" s="98"/>
      <c r="AL16" s="98">
        <f t="shared" si="17"/>
        <v>0</v>
      </c>
      <c r="AM16" s="99">
        <f t="shared" si="3"/>
        <v>0</v>
      </c>
      <c r="AN16" s="101">
        <f t="shared" si="3"/>
        <v>0</v>
      </c>
      <c r="AO16" s="97"/>
      <c r="AP16" s="98"/>
      <c r="AQ16" s="99">
        <f t="shared" si="18"/>
        <v>0</v>
      </c>
      <c r="AR16" s="102">
        <f t="shared" si="4"/>
        <v>0</v>
      </c>
      <c r="AS16" s="103">
        <f t="shared" si="5"/>
        <v>0.09</v>
      </c>
      <c r="AT16" s="104">
        <f t="shared" si="6"/>
        <v>4.7122686162844207</v>
      </c>
      <c r="AU16" s="56" t="s">
        <v>155</v>
      </c>
      <c r="AV16" s="56">
        <f t="shared" si="19"/>
        <v>0</v>
      </c>
    </row>
    <row r="17" spans="1:48" ht="15" customHeight="1" x14ac:dyDescent="0.45">
      <c r="A17" s="73"/>
      <c r="B17" s="90"/>
      <c r="C17" s="105">
        <v>5</v>
      </c>
      <c r="D17" s="74" t="s">
        <v>166</v>
      </c>
      <c r="E17" s="76"/>
      <c r="F17" s="77" t="s">
        <v>162</v>
      </c>
      <c r="G17" s="93">
        <v>0.01</v>
      </c>
      <c r="H17" s="94">
        <f t="shared" si="7"/>
        <v>0.56035000000000001</v>
      </c>
      <c r="I17" s="94"/>
      <c r="J17" s="94">
        <f t="shared" si="8"/>
        <v>0</v>
      </c>
      <c r="K17" s="95">
        <f t="shared" si="1"/>
        <v>0.01</v>
      </c>
      <c r="L17" s="96">
        <f t="shared" si="1"/>
        <v>0.56035000000000001</v>
      </c>
      <c r="M17" s="97">
        <v>0.01</v>
      </c>
      <c r="N17" s="98">
        <f t="shared" si="9"/>
        <v>0.22946861628442033</v>
      </c>
      <c r="O17" s="98"/>
      <c r="P17" s="98">
        <f t="shared" si="10"/>
        <v>0</v>
      </c>
      <c r="Q17" s="98"/>
      <c r="R17" s="98">
        <f t="shared" si="10"/>
        <v>0</v>
      </c>
      <c r="S17" s="98"/>
      <c r="T17" s="98">
        <f t="shared" si="11"/>
        <v>0</v>
      </c>
      <c r="U17" s="98"/>
      <c r="V17" s="98">
        <f t="shared" si="11"/>
        <v>0</v>
      </c>
      <c r="W17" s="98"/>
      <c r="X17" s="98">
        <f t="shared" si="12"/>
        <v>0</v>
      </c>
      <c r="Y17" s="98"/>
      <c r="Z17" s="98">
        <f t="shared" si="12"/>
        <v>0</v>
      </c>
      <c r="AA17" s="98"/>
      <c r="AB17" s="98">
        <f t="shared" si="13"/>
        <v>0</v>
      </c>
      <c r="AC17" s="99">
        <f t="shared" si="2"/>
        <v>0.01</v>
      </c>
      <c r="AD17" s="100">
        <f t="shared" si="2"/>
        <v>0.22946861628442033</v>
      </c>
      <c r="AE17" s="97"/>
      <c r="AF17" s="98">
        <f t="shared" si="14"/>
        <v>0</v>
      </c>
      <c r="AG17" s="98"/>
      <c r="AH17" s="98">
        <f t="shared" si="15"/>
        <v>0</v>
      </c>
      <c r="AI17" s="98"/>
      <c r="AJ17" s="98">
        <f t="shared" si="16"/>
        <v>0</v>
      </c>
      <c r="AK17" s="98"/>
      <c r="AL17" s="98">
        <f t="shared" si="17"/>
        <v>0</v>
      </c>
      <c r="AM17" s="99">
        <f t="shared" si="3"/>
        <v>0</v>
      </c>
      <c r="AN17" s="101">
        <f t="shared" si="3"/>
        <v>0</v>
      </c>
      <c r="AO17" s="97"/>
      <c r="AP17" s="98"/>
      <c r="AQ17" s="99">
        <f t="shared" si="18"/>
        <v>0</v>
      </c>
      <c r="AR17" s="102">
        <f t="shared" si="4"/>
        <v>0</v>
      </c>
      <c r="AS17" s="103">
        <f t="shared" si="5"/>
        <v>0.02</v>
      </c>
      <c r="AT17" s="104">
        <f t="shared" si="6"/>
        <v>0.78981861628442029</v>
      </c>
      <c r="AU17" s="56" t="s">
        <v>155</v>
      </c>
      <c r="AV17" s="56">
        <f t="shared" si="19"/>
        <v>0</v>
      </c>
    </row>
    <row r="18" spans="1:48" ht="15" customHeight="1" x14ac:dyDescent="0.45">
      <c r="A18" s="73"/>
      <c r="B18" s="90"/>
      <c r="C18" s="91">
        <v>6</v>
      </c>
      <c r="D18" s="74" t="s">
        <v>167</v>
      </c>
      <c r="E18" s="76"/>
      <c r="F18" s="77" t="s">
        <v>162</v>
      </c>
      <c r="G18" s="93">
        <v>0.01</v>
      </c>
      <c r="H18" s="94">
        <f t="shared" si="7"/>
        <v>0.56035000000000001</v>
      </c>
      <c r="I18" s="94"/>
      <c r="J18" s="94">
        <f t="shared" si="8"/>
        <v>0</v>
      </c>
      <c r="K18" s="95">
        <f t="shared" si="1"/>
        <v>0.01</v>
      </c>
      <c r="L18" s="96">
        <f t="shared" si="1"/>
        <v>0.56035000000000001</v>
      </c>
      <c r="M18" s="97">
        <v>0.01</v>
      </c>
      <c r="N18" s="98">
        <f t="shared" si="9"/>
        <v>0.22946861628442033</v>
      </c>
      <c r="O18" s="98"/>
      <c r="P18" s="98">
        <f t="shared" si="10"/>
        <v>0</v>
      </c>
      <c r="Q18" s="98"/>
      <c r="R18" s="98">
        <f t="shared" si="10"/>
        <v>0</v>
      </c>
      <c r="S18" s="98"/>
      <c r="T18" s="98">
        <f t="shared" si="11"/>
        <v>0</v>
      </c>
      <c r="U18" s="98"/>
      <c r="V18" s="98">
        <f t="shared" si="11"/>
        <v>0</v>
      </c>
      <c r="W18" s="98"/>
      <c r="X18" s="98">
        <f t="shared" si="12"/>
        <v>0</v>
      </c>
      <c r="Y18" s="98"/>
      <c r="Z18" s="98">
        <f t="shared" si="12"/>
        <v>0</v>
      </c>
      <c r="AA18" s="98"/>
      <c r="AB18" s="98">
        <f t="shared" si="13"/>
        <v>0</v>
      </c>
      <c r="AC18" s="99">
        <f t="shared" si="2"/>
        <v>0.01</v>
      </c>
      <c r="AD18" s="100">
        <f t="shared" si="2"/>
        <v>0.22946861628442033</v>
      </c>
      <c r="AE18" s="97"/>
      <c r="AF18" s="98">
        <f t="shared" si="14"/>
        <v>0</v>
      </c>
      <c r="AG18" s="98"/>
      <c r="AH18" s="98">
        <f t="shared" si="15"/>
        <v>0</v>
      </c>
      <c r="AI18" s="98"/>
      <c r="AJ18" s="98">
        <f t="shared" si="16"/>
        <v>0</v>
      </c>
      <c r="AK18" s="98"/>
      <c r="AL18" s="98">
        <f t="shared" si="17"/>
        <v>0</v>
      </c>
      <c r="AM18" s="99">
        <f t="shared" si="3"/>
        <v>0</v>
      </c>
      <c r="AN18" s="101">
        <f t="shared" si="3"/>
        <v>0</v>
      </c>
      <c r="AO18" s="97"/>
      <c r="AP18" s="98"/>
      <c r="AQ18" s="99">
        <f t="shared" si="18"/>
        <v>0</v>
      </c>
      <c r="AR18" s="102">
        <f t="shared" si="4"/>
        <v>0</v>
      </c>
      <c r="AS18" s="103">
        <f t="shared" si="5"/>
        <v>0.02</v>
      </c>
      <c r="AT18" s="104">
        <f t="shared" si="6"/>
        <v>0.78981861628442029</v>
      </c>
      <c r="AU18" s="56" t="s">
        <v>155</v>
      </c>
      <c r="AV18" s="56">
        <f t="shared" si="19"/>
        <v>0</v>
      </c>
    </row>
    <row r="19" spans="1:48" ht="15" customHeight="1" x14ac:dyDescent="0.45">
      <c r="A19" s="73"/>
      <c r="B19" s="90"/>
      <c r="C19" s="75">
        <v>7</v>
      </c>
      <c r="D19" s="74" t="s">
        <v>168</v>
      </c>
      <c r="E19" s="76"/>
      <c r="F19" s="77" t="s">
        <v>162</v>
      </c>
      <c r="G19" s="93">
        <v>0.01</v>
      </c>
      <c r="H19" s="94">
        <f t="shared" si="7"/>
        <v>0.56035000000000001</v>
      </c>
      <c r="I19" s="94"/>
      <c r="J19" s="94">
        <f t="shared" si="8"/>
        <v>0</v>
      </c>
      <c r="K19" s="95">
        <f t="shared" si="1"/>
        <v>0.01</v>
      </c>
      <c r="L19" s="96">
        <f t="shared" si="1"/>
        <v>0.56035000000000001</v>
      </c>
      <c r="M19" s="97">
        <v>0.01</v>
      </c>
      <c r="N19" s="98">
        <f t="shared" si="9"/>
        <v>0.22946861628442033</v>
      </c>
      <c r="O19" s="98"/>
      <c r="P19" s="98">
        <f t="shared" si="10"/>
        <v>0</v>
      </c>
      <c r="Q19" s="98"/>
      <c r="R19" s="98">
        <f t="shared" si="10"/>
        <v>0</v>
      </c>
      <c r="S19" s="98"/>
      <c r="T19" s="98">
        <f t="shared" si="11"/>
        <v>0</v>
      </c>
      <c r="U19" s="98"/>
      <c r="V19" s="98">
        <f t="shared" si="11"/>
        <v>0</v>
      </c>
      <c r="W19" s="98"/>
      <c r="X19" s="98">
        <f t="shared" si="12"/>
        <v>0</v>
      </c>
      <c r="Y19" s="98"/>
      <c r="Z19" s="98">
        <f t="shared" si="12"/>
        <v>0</v>
      </c>
      <c r="AA19" s="98"/>
      <c r="AB19" s="98">
        <f t="shared" si="13"/>
        <v>0</v>
      </c>
      <c r="AC19" s="99">
        <f t="shared" si="2"/>
        <v>0.01</v>
      </c>
      <c r="AD19" s="100">
        <f t="shared" si="2"/>
        <v>0.22946861628442033</v>
      </c>
      <c r="AE19" s="97"/>
      <c r="AF19" s="98">
        <f t="shared" si="14"/>
        <v>0</v>
      </c>
      <c r="AG19" s="98"/>
      <c r="AH19" s="98">
        <f t="shared" si="15"/>
        <v>0</v>
      </c>
      <c r="AI19" s="98"/>
      <c r="AJ19" s="98">
        <f t="shared" si="16"/>
        <v>0</v>
      </c>
      <c r="AK19" s="98"/>
      <c r="AL19" s="98">
        <f t="shared" si="17"/>
        <v>0</v>
      </c>
      <c r="AM19" s="99">
        <f t="shared" si="3"/>
        <v>0</v>
      </c>
      <c r="AN19" s="101">
        <f t="shared" si="3"/>
        <v>0</v>
      </c>
      <c r="AO19" s="97"/>
      <c r="AP19" s="98"/>
      <c r="AQ19" s="99">
        <f t="shared" si="18"/>
        <v>0</v>
      </c>
      <c r="AR19" s="102">
        <f t="shared" si="4"/>
        <v>0</v>
      </c>
      <c r="AS19" s="103">
        <f t="shared" si="5"/>
        <v>0.02</v>
      </c>
      <c r="AT19" s="104">
        <f t="shared" si="6"/>
        <v>0.78981861628442029</v>
      </c>
      <c r="AU19" s="56" t="s">
        <v>155</v>
      </c>
      <c r="AV19" s="56">
        <f t="shared" si="19"/>
        <v>0</v>
      </c>
    </row>
    <row r="20" spans="1:48" ht="15" customHeight="1" x14ac:dyDescent="0.45">
      <c r="A20" s="73"/>
      <c r="B20" s="106" t="s">
        <v>169</v>
      </c>
      <c r="C20" s="107">
        <v>8</v>
      </c>
      <c r="D20" s="108" t="s">
        <v>170</v>
      </c>
      <c r="E20" s="109" t="s">
        <v>171</v>
      </c>
      <c r="F20" s="110" t="s">
        <v>162</v>
      </c>
      <c r="G20" s="93"/>
      <c r="H20" s="94">
        <f t="shared" si="7"/>
        <v>0</v>
      </c>
      <c r="I20" s="94"/>
      <c r="J20" s="94">
        <f t="shared" si="8"/>
        <v>0</v>
      </c>
      <c r="K20" s="95">
        <f t="shared" si="1"/>
        <v>0</v>
      </c>
      <c r="L20" s="96">
        <f t="shared" si="1"/>
        <v>0</v>
      </c>
      <c r="M20" s="111"/>
      <c r="N20" s="112">
        <f t="shared" si="9"/>
        <v>0</v>
      </c>
      <c r="O20" s="112"/>
      <c r="P20" s="112">
        <f t="shared" si="10"/>
        <v>0</v>
      </c>
      <c r="Q20" s="112"/>
      <c r="R20" s="112">
        <f t="shared" si="10"/>
        <v>0</v>
      </c>
      <c r="S20" s="112"/>
      <c r="T20" s="112">
        <f t="shared" si="11"/>
        <v>0</v>
      </c>
      <c r="U20" s="112"/>
      <c r="V20" s="112">
        <f t="shared" si="11"/>
        <v>0</v>
      </c>
      <c r="W20" s="112"/>
      <c r="X20" s="112">
        <f t="shared" si="12"/>
        <v>0</v>
      </c>
      <c r="Y20" s="112">
        <v>0.01</v>
      </c>
      <c r="Z20" s="112">
        <f t="shared" si="12"/>
        <v>0.22946861628442033</v>
      </c>
      <c r="AA20" s="112"/>
      <c r="AB20" s="112">
        <f t="shared" si="13"/>
        <v>0</v>
      </c>
      <c r="AC20" s="99">
        <f t="shared" si="2"/>
        <v>0.01</v>
      </c>
      <c r="AD20" s="100">
        <f t="shared" si="2"/>
        <v>0.22946861628442033</v>
      </c>
      <c r="AE20" s="111"/>
      <c r="AF20" s="112">
        <f t="shared" si="14"/>
        <v>0</v>
      </c>
      <c r="AG20" s="112"/>
      <c r="AH20" s="112">
        <f t="shared" si="15"/>
        <v>0</v>
      </c>
      <c r="AI20" s="112"/>
      <c r="AJ20" s="112">
        <f t="shared" si="16"/>
        <v>0</v>
      </c>
      <c r="AK20" s="112"/>
      <c r="AL20" s="112">
        <f t="shared" si="17"/>
        <v>0</v>
      </c>
      <c r="AM20" s="99">
        <f t="shared" si="3"/>
        <v>0</v>
      </c>
      <c r="AN20" s="101">
        <f t="shared" si="3"/>
        <v>0</v>
      </c>
      <c r="AO20" s="111"/>
      <c r="AP20" s="112"/>
      <c r="AQ20" s="99">
        <f t="shared" si="18"/>
        <v>0</v>
      </c>
      <c r="AR20" s="102">
        <f t="shared" si="4"/>
        <v>0</v>
      </c>
      <c r="AS20" s="103">
        <f t="shared" si="5"/>
        <v>0.01</v>
      </c>
      <c r="AT20" s="104">
        <f t="shared" si="6"/>
        <v>0.22946861628442033</v>
      </c>
      <c r="AU20" s="56" t="s">
        <v>155</v>
      </c>
      <c r="AV20" s="56">
        <f t="shared" si="19"/>
        <v>0</v>
      </c>
    </row>
    <row r="21" spans="1:48" ht="15" customHeight="1" x14ac:dyDescent="0.45">
      <c r="A21" s="73"/>
      <c r="B21" s="90" t="s">
        <v>172</v>
      </c>
      <c r="C21" s="107">
        <v>9</v>
      </c>
      <c r="D21" s="108" t="s">
        <v>173</v>
      </c>
      <c r="E21" s="109"/>
      <c r="F21" s="110" t="s">
        <v>162</v>
      </c>
      <c r="G21" s="93">
        <v>0.01</v>
      </c>
      <c r="H21" s="94">
        <f t="shared" si="7"/>
        <v>0.56035000000000001</v>
      </c>
      <c r="I21" s="94"/>
      <c r="J21" s="94">
        <f t="shared" si="8"/>
        <v>0</v>
      </c>
      <c r="K21" s="95">
        <f t="shared" si="1"/>
        <v>0.01</v>
      </c>
      <c r="L21" s="96">
        <f t="shared" si="1"/>
        <v>0.56035000000000001</v>
      </c>
      <c r="M21" s="111"/>
      <c r="N21" s="112">
        <f t="shared" si="9"/>
        <v>0</v>
      </c>
      <c r="O21" s="112"/>
      <c r="P21" s="112">
        <f t="shared" si="10"/>
        <v>0</v>
      </c>
      <c r="Q21" s="112"/>
      <c r="R21" s="112">
        <f t="shared" si="10"/>
        <v>0</v>
      </c>
      <c r="S21" s="112"/>
      <c r="T21" s="112">
        <f t="shared" si="11"/>
        <v>0</v>
      </c>
      <c r="U21" s="112"/>
      <c r="V21" s="112">
        <f t="shared" si="11"/>
        <v>0</v>
      </c>
      <c r="W21" s="112"/>
      <c r="X21" s="112">
        <f t="shared" si="12"/>
        <v>0</v>
      </c>
      <c r="Y21" s="112">
        <v>0.01</v>
      </c>
      <c r="Z21" s="112">
        <f t="shared" si="12"/>
        <v>0.22946861628442033</v>
      </c>
      <c r="AA21" s="112"/>
      <c r="AB21" s="112">
        <f t="shared" si="13"/>
        <v>0</v>
      </c>
      <c r="AC21" s="99">
        <f t="shared" si="2"/>
        <v>0.01</v>
      </c>
      <c r="AD21" s="100">
        <f t="shared" si="2"/>
        <v>0.22946861628442033</v>
      </c>
      <c r="AE21" s="111"/>
      <c r="AF21" s="112">
        <f t="shared" si="14"/>
        <v>0</v>
      </c>
      <c r="AG21" s="112"/>
      <c r="AH21" s="112">
        <f t="shared" si="15"/>
        <v>0</v>
      </c>
      <c r="AI21" s="112"/>
      <c r="AJ21" s="112">
        <f t="shared" si="16"/>
        <v>0</v>
      </c>
      <c r="AK21" s="112"/>
      <c r="AL21" s="112">
        <f t="shared" si="17"/>
        <v>0</v>
      </c>
      <c r="AM21" s="99">
        <f t="shared" si="3"/>
        <v>0</v>
      </c>
      <c r="AN21" s="101">
        <f t="shared" si="3"/>
        <v>0</v>
      </c>
      <c r="AO21" s="111"/>
      <c r="AP21" s="112"/>
      <c r="AQ21" s="99">
        <f t="shared" si="18"/>
        <v>0</v>
      </c>
      <c r="AR21" s="102">
        <f t="shared" si="4"/>
        <v>0</v>
      </c>
      <c r="AS21" s="103">
        <f t="shared" si="5"/>
        <v>0.02</v>
      </c>
      <c r="AT21" s="104">
        <f t="shared" si="6"/>
        <v>0.78981861628442029</v>
      </c>
      <c r="AU21" s="56" t="s">
        <v>155</v>
      </c>
      <c r="AV21" s="56">
        <f t="shared" si="19"/>
        <v>0</v>
      </c>
    </row>
    <row r="22" spans="1:48" ht="15" customHeight="1" x14ac:dyDescent="0.45">
      <c r="A22" s="73"/>
      <c r="B22" s="113" t="s">
        <v>174</v>
      </c>
      <c r="C22" s="114">
        <v>10</v>
      </c>
      <c r="D22" s="108" t="s">
        <v>175</v>
      </c>
      <c r="E22" s="109" t="s">
        <v>176</v>
      </c>
      <c r="F22" s="110" t="s">
        <v>177</v>
      </c>
      <c r="G22" s="93">
        <v>0.01</v>
      </c>
      <c r="H22" s="94">
        <f t="shared" si="7"/>
        <v>0.56035000000000001</v>
      </c>
      <c r="I22" s="94"/>
      <c r="J22" s="94">
        <f t="shared" si="8"/>
        <v>0</v>
      </c>
      <c r="K22" s="95">
        <f t="shared" si="1"/>
        <v>0.01</v>
      </c>
      <c r="L22" s="96">
        <f t="shared" si="1"/>
        <v>0.56035000000000001</v>
      </c>
      <c r="M22" s="111"/>
      <c r="N22" s="112">
        <f t="shared" si="9"/>
        <v>0</v>
      </c>
      <c r="O22" s="112"/>
      <c r="P22" s="112">
        <f t="shared" si="10"/>
        <v>0</v>
      </c>
      <c r="Q22" s="112"/>
      <c r="R22" s="112">
        <f t="shared" si="10"/>
        <v>0</v>
      </c>
      <c r="S22" s="112"/>
      <c r="T22" s="112">
        <f t="shared" si="11"/>
        <v>0</v>
      </c>
      <c r="U22" s="112"/>
      <c r="V22" s="112">
        <f t="shared" si="11"/>
        <v>0</v>
      </c>
      <c r="W22" s="112"/>
      <c r="X22" s="112">
        <f t="shared" si="12"/>
        <v>0</v>
      </c>
      <c r="Y22" s="112"/>
      <c r="Z22" s="112">
        <f t="shared" si="12"/>
        <v>0</v>
      </c>
      <c r="AA22" s="112">
        <v>0.01</v>
      </c>
      <c r="AB22" s="112">
        <f t="shared" si="13"/>
        <v>0.22946861628442033</v>
      </c>
      <c r="AC22" s="99">
        <f t="shared" si="2"/>
        <v>0.01</v>
      </c>
      <c r="AD22" s="100">
        <f t="shared" si="2"/>
        <v>0.22946861628442033</v>
      </c>
      <c r="AE22" s="111"/>
      <c r="AF22" s="112">
        <f t="shared" si="14"/>
        <v>0</v>
      </c>
      <c r="AG22" s="112"/>
      <c r="AH22" s="112">
        <f t="shared" si="15"/>
        <v>0</v>
      </c>
      <c r="AI22" s="112"/>
      <c r="AJ22" s="112">
        <f t="shared" si="16"/>
        <v>0</v>
      </c>
      <c r="AK22" s="112"/>
      <c r="AL22" s="112">
        <f t="shared" si="17"/>
        <v>0</v>
      </c>
      <c r="AM22" s="99">
        <f t="shared" si="3"/>
        <v>0</v>
      </c>
      <c r="AN22" s="101">
        <f t="shared" si="3"/>
        <v>0</v>
      </c>
      <c r="AO22" s="111">
        <v>0.5</v>
      </c>
      <c r="AP22" s="112">
        <f>$AP$12/$AO$12*AO22</f>
        <v>16.521000000000001</v>
      </c>
      <c r="AQ22" s="99">
        <f t="shared" si="18"/>
        <v>0.5</v>
      </c>
      <c r="AR22" s="102">
        <f t="shared" si="4"/>
        <v>16.521000000000001</v>
      </c>
      <c r="AS22" s="103">
        <f t="shared" si="5"/>
        <v>0.02</v>
      </c>
      <c r="AT22" s="104">
        <f t="shared" si="6"/>
        <v>17.310818616284422</v>
      </c>
      <c r="AU22" s="56" t="s">
        <v>155</v>
      </c>
      <c r="AV22" s="56">
        <f t="shared" si="19"/>
        <v>0</v>
      </c>
    </row>
    <row r="23" spans="1:48" ht="15" customHeight="1" x14ac:dyDescent="0.45">
      <c r="A23" s="73"/>
      <c r="B23" s="90" t="s">
        <v>178</v>
      </c>
      <c r="C23" s="107">
        <v>11</v>
      </c>
      <c r="D23" s="108" t="s">
        <v>179</v>
      </c>
      <c r="E23" s="109" t="s">
        <v>180</v>
      </c>
      <c r="F23" s="110" t="s">
        <v>162</v>
      </c>
      <c r="G23" s="93">
        <v>0.05</v>
      </c>
      <c r="H23" s="94">
        <f t="shared" si="7"/>
        <v>2.8017500000000002</v>
      </c>
      <c r="I23" s="94">
        <v>0.03</v>
      </c>
      <c r="J23" s="94">
        <f t="shared" si="8"/>
        <v>1.6810499999999999</v>
      </c>
      <c r="K23" s="95">
        <f t="shared" si="1"/>
        <v>0.08</v>
      </c>
      <c r="L23" s="96">
        <f t="shared" si="1"/>
        <v>4.4828000000000001</v>
      </c>
      <c r="M23" s="111">
        <v>0.01</v>
      </c>
      <c r="N23" s="112">
        <f t="shared" si="9"/>
        <v>0.22946861628442033</v>
      </c>
      <c r="O23" s="112"/>
      <c r="P23" s="112">
        <f t="shared" si="10"/>
        <v>0</v>
      </c>
      <c r="Q23" s="112"/>
      <c r="R23" s="112">
        <f t="shared" si="10"/>
        <v>0</v>
      </c>
      <c r="S23" s="112"/>
      <c r="T23" s="112">
        <f t="shared" si="11"/>
        <v>0</v>
      </c>
      <c r="U23" s="112"/>
      <c r="V23" s="112">
        <f t="shared" si="11"/>
        <v>0</v>
      </c>
      <c r="W23" s="112"/>
      <c r="X23" s="112">
        <f t="shared" si="12"/>
        <v>0</v>
      </c>
      <c r="Y23" s="112"/>
      <c r="Z23" s="112">
        <f t="shared" si="12"/>
        <v>0</v>
      </c>
      <c r="AA23" s="112"/>
      <c r="AB23" s="112">
        <f t="shared" si="13"/>
        <v>0</v>
      </c>
      <c r="AC23" s="99">
        <f t="shared" si="2"/>
        <v>0.01</v>
      </c>
      <c r="AD23" s="100">
        <f t="shared" si="2"/>
        <v>0.22946861628442033</v>
      </c>
      <c r="AE23" s="111"/>
      <c r="AF23" s="112">
        <f t="shared" si="14"/>
        <v>0</v>
      </c>
      <c r="AG23" s="112">
        <v>0.05</v>
      </c>
      <c r="AH23" s="112">
        <f t="shared" si="15"/>
        <v>1.1473430814221017</v>
      </c>
      <c r="AI23" s="112">
        <v>0.03</v>
      </c>
      <c r="AJ23" s="112">
        <f t="shared" si="16"/>
        <v>0.68840584885326095</v>
      </c>
      <c r="AK23" s="112">
        <v>0.02</v>
      </c>
      <c r="AL23" s="112">
        <f t="shared" si="17"/>
        <v>0.45893723256884067</v>
      </c>
      <c r="AM23" s="99">
        <f t="shared" si="3"/>
        <v>0.1</v>
      </c>
      <c r="AN23" s="101">
        <f t="shared" si="3"/>
        <v>2.2946861628442035</v>
      </c>
      <c r="AO23" s="111">
        <v>0.5</v>
      </c>
      <c r="AP23" s="112">
        <f>$AP$12/$AO$12*AO23</f>
        <v>16.521000000000001</v>
      </c>
      <c r="AQ23" s="99">
        <f t="shared" si="18"/>
        <v>0.5</v>
      </c>
      <c r="AR23" s="102">
        <f t="shared" si="4"/>
        <v>16.521000000000001</v>
      </c>
      <c r="AS23" s="103">
        <f t="shared" si="5"/>
        <v>0.19</v>
      </c>
      <c r="AT23" s="104">
        <f t="shared" si="6"/>
        <v>23.527954779128624</v>
      </c>
      <c r="AU23" s="56" t="s">
        <v>155</v>
      </c>
      <c r="AV23" s="56">
        <f t="shared" si="19"/>
        <v>0</v>
      </c>
    </row>
    <row r="24" spans="1:48" ht="15" customHeight="1" thickBot="1" x14ac:dyDescent="0.5">
      <c r="A24" s="73"/>
      <c r="B24" s="90"/>
      <c r="C24" s="107">
        <v>12</v>
      </c>
      <c r="D24" s="115" t="s">
        <v>181</v>
      </c>
      <c r="E24" s="116" t="s">
        <v>182</v>
      </c>
      <c r="F24" s="117" t="s">
        <v>177</v>
      </c>
      <c r="G24" s="118">
        <v>0.05</v>
      </c>
      <c r="H24" s="119">
        <f t="shared" si="7"/>
        <v>2.8017500000000002</v>
      </c>
      <c r="I24" s="119"/>
      <c r="J24" s="119">
        <f t="shared" si="8"/>
        <v>0</v>
      </c>
      <c r="K24" s="120">
        <f t="shared" si="1"/>
        <v>0.05</v>
      </c>
      <c r="L24" s="121">
        <f t="shared" si="1"/>
        <v>2.8017500000000002</v>
      </c>
      <c r="M24" s="122">
        <v>0.01</v>
      </c>
      <c r="N24" s="123">
        <f t="shared" si="9"/>
        <v>0.22946861628442033</v>
      </c>
      <c r="O24" s="123"/>
      <c r="P24" s="123">
        <f t="shared" si="10"/>
        <v>0</v>
      </c>
      <c r="Q24" s="123"/>
      <c r="R24" s="123">
        <f t="shared" si="10"/>
        <v>0</v>
      </c>
      <c r="S24" s="123"/>
      <c r="T24" s="123">
        <f t="shared" si="11"/>
        <v>0</v>
      </c>
      <c r="U24" s="123"/>
      <c r="V24" s="123">
        <f t="shared" si="11"/>
        <v>0</v>
      </c>
      <c r="W24" s="123"/>
      <c r="X24" s="123">
        <f t="shared" si="12"/>
        <v>0</v>
      </c>
      <c r="Y24" s="123"/>
      <c r="Z24" s="123">
        <f t="shared" si="12"/>
        <v>0</v>
      </c>
      <c r="AA24" s="123"/>
      <c r="AB24" s="123">
        <f t="shared" si="13"/>
        <v>0</v>
      </c>
      <c r="AC24" s="124">
        <f t="shared" si="2"/>
        <v>0.01</v>
      </c>
      <c r="AD24" s="125">
        <f t="shared" si="2"/>
        <v>0.22946861628442033</v>
      </c>
      <c r="AE24" s="122"/>
      <c r="AF24" s="123">
        <f t="shared" si="14"/>
        <v>0</v>
      </c>
      <c r="AG24" s="123"/>
      <c r="AH24" s="123">
        <f t="shared" si="15"/>
        <v>0</v>
      </c>
      <c r="AI24" s="123"/>
      <c r="AJ24" s="123">
        <f t="shared" si="16"/>
        <v>0</v>
      </c>
      <c r="AK24" s="123"/>
      <c r="AL24" s="123">
        <f t="shared" si="17"/>
        <v>0</v>
      </c>
      <c r="AM24" s="124">
        <f t="shared" si="3"/>
        <v>0</v>
      </c>
      <c r="AN24" s="126">
        <f t="shared" si="3"/>
        <v>0</v>
      </c>
      <c r="AO24" s="122"/>
      <c r="AP24" s="123"/>
      <c r="AQ24" s="124">
        <f t="shared" si="18"/>
        <v>0</v>
      </c>
      <c r="AR24" s="127">
        <f t="shared" si="4"/>
        <v>0</v>
      </c>
      <c r="AS24" s="128">
        <f t="shared" si="5"/>
        <v>6.0000000000000005E-2</v>
      </c>
      <c r="AT24" s="129">
        <f t="shared" si="6"/>
        <v>3.0312186162844204</v>
      </c>
      <c r="AU24" s="130" t="s">
        <v>155</v>
      </c>
      <c r="AV24" s="56">
        <f t="shared" si="19"/>
        <v>0</v>
      </c>
    </row>
    <row r="25" spans="1:48" ht="15" customHeight="1" thickTop="1" x14ac:dyDescent="0.45">
      <c r="A25" s="131" t="s">
        <v>183</v>
      </c>
      <c r="B25" s="132" t="s">
        <v>184</v>
      </c>
      <c r="C25" s="133">
        <v>13</v>
      </c>
      <c r="D25" s="134" t="s">
        <v>185</v>
      </c>
      <c r="E25" s="135" t="s">
        <v>186</v>
      </c>
      <c r="F25" s="136" t="s">
        <v>187</v>
      </c>
      <c r="G25" s="137"/>
      <c r="H25" s="138">
        <f t="shared" si="7"/>
        <v>0</v>
      </c>
      <c r="I25" s="138">
        <v>0.02</v>
      </c>
      <c r="J25" s="138">
        <f t="shared" si="8"/>
        <v>1.1207</v>
      </c>
      <c r="K25" s="139">
        <f t="shared" si="1"/>
        <v>0.02</v>
      </c>
      <c r="L25" s="140">
        <f t="shared" si="1"/>
        <v>1.1207</v>
      </c>
      <c r="M25" s="141"/>
      <c r="N25" s="142">
        <f t="shared" si="9"/>
        <v>0</v>
      </c>
      <c r="O25" s="142"/>
      <c r="P25" s="142">
        <f t="shared" si="10"/>
        <v>0</v>
      </c>
      <c r="Q25" s="142"/>
      <c r="R25" s="142">
        <f t="shared" si="10"/>
        <v>0</v>
      </c>
      <c r="S25" s="142"/>
      <c r="T25" s="142">
        <f t="shared" si="11"/>
        <v>0</v>
      </c>
      <c r="U25" s="142"/>
      <c r="V25" s="142">
        <f t="shared" si="11"/>
        <v>0</v>
      </c>
      <c r="W25" s="142"/>
      <c r="X25" s="142">
        <f t="shared" si="12"/>
        <v>0</v>
      </c>
      <c r="Y25" s="142"/>
      <c r="Z25" s="142">
        <f t="shared" si="12"/>
        <v>0</v>
      </c>
      <c r="AA25" s="142">
        <v>0.02</v>
      </c>
      <c r="AB25" s="142">
        <f t="shared" si="13"/>
        <v>0.45893723256884067</v>
      </c>
      <c r="AC25" s="143">
        <f t="shared" si="2"/>
        <v>0.02</v>
      </c>
      <c r="AD25" s="144">
        <f t="shared" si="2"/>
        <v>0.45893723256884067</v>
      </c>
      <c r="AE25" s="141"/>
      <c r="AF25" s="142">
        <f t="shared" si="14"/>
        <v>0</v>
      </c>
      <c r="AG25" s="142"/>
      <c r="AH25" s="142">
        <f t="shared" si="15"/>
        <v>0</v>
      </c>
      <c r="AI25" s="142"/>
      <c r="AJ25" s="142">
        <f t="shared" si="16"/>
        <v>0</v>
      </c>
      <c r="AK25" s="142"/>
      <c r="AL25" s="142">
        <f t="shared" si="17"/>
        <v>0</v>
      </c>
      <c r="AM25" s="143">
        <f t="shared" si="3"/>
        <v>0</v>
      </c>
      <c r="AN25" s="145">
        <f t="shared" si="3"/>
        <v>0</v>
      </c>
      <c r="AO25" s="141"/>
      <c r="AP25" s="142"/>
      <c r="AQ25" s="143">
        <f t="shared" si="18"/>
        <v>0</v>
      </c>
      <c r="AR25" s="146">
        <f t="shared" si="4"/>
        <v>0</v>
      </c>
      <c r="AS25" s="147">
        <f t="shared" si="5"/>
        <v>0.04</v>
      </c>
      <c r="AT25" s="148">
        <f t="shared" si="6"/>
        <v>1.5796372325688406</v>
      </c>
      <c r="AU25" s="149" t="s">
        <v>156</v>
      </c>
      <c r="AV25" s="56">
        <f t="shared" si="19"/>
        <v>1.5796372325688406</v>
      </c>
    </row>
    <row r="26" spans="1:48" ht="15" customHeight="1" x14ac:dyDescent="0.45">
      <c r="A26" s="73"/>
      <c r="B26" s="90"/>
      <c r="C26" s="114">
        <v>14</v>
      </c>
      <c r="D26" s="108" t="s">
        <v>188</v>
      </c>
      <c r="E26" s="109" t="s">
        <v>189</v>
      </c>
      <c r="F26" s="110" t="s">
        <v>187</v>
      </c>
      <c r="G26" s="93"/>
      <c r="H26" s="94">
        <f t="shared" si="7"/>
        <v>0</v>
      </c>
      <c r="I26" s="94">
        <v>0.02</v>
      </c>
      <c r="J26" s="94">
        <f t="shared" si="8"/>
        <v>1.1207</v>
      </c>
      <c r="K26" s="95">
        <f t="shared" si="1"/>
        <v>0.02</v>
      </c>
      <c r="L26" s="96">
        <f t="shared" si="1"/>
        <v>1.1207</v>
      </c>
      <c r="M26" s="111"/>
      <c r="N26" s="112">
        <f t="shared" si="9"/>
        <v>0</v>
      </c>
      <c r="O26" s="112"/>
      <c r="P26" s="112">
        <f t="shared" si="10"/>
        <v>0</v>
      </c>
      <c r="Q26" s="112"/>
      <c r="R26" s="112">
        <f t="shared" si="10"/>
        <v>0</v>
      </c>
      <c r="S26" s="112"/>
      <c r="T26" s="112">
        <f t="shared" si="11"/>
        <v>0</v>
      </c>
      <c r="U26" s="112"/>
      <c r="V26" s="112">
        <f t="shared" si="11"/>
        <v>0</v>
      </c>
      <c r="W26" s="112"/>
      <c r="X26" s="112">
        <f t="shared" si="12"/>
        <v>0</v>
      </c>
      <c r="Y26" s="112"/>
      <c r="Z26" s="112">
        <f t="shared" si="12"/>
        <v>0</v>
      </c>
      <c r="AA26" s="112">
        <v>0.02</v>
      </c>
      <c r="AB26" s="112">
        <f t="shared" si="13"/>
        <v>0.45893723256884067</v>
      </c>
      <c r="AC26" s="99">
        <f t="shared" si="2"/>
        <v>0.02</v>
      </c>
      <c r="AD26" s="100">
        <f t="shared" si="2"/>
        <v>0.45893723256884067</v>
      </c>
      <c r="AE26" s="111"/>
      <c r="AF26" s="112">
        <f t="shared" si="14"/>
        <v>0</v>
      </c>
      <c r="AG26" s="112"/>
      <c r="AH26" s="112">
        <f t="shared" si="15"/>
        <v>0</v>
      </c>
      <c r="AI26" s="112"/>
      <c r="AJ26" s="112">
        <f t="shared" si="16"/>
        <v>0</v>
      </c>
      <c r="AK26" s="112"/>
      <c r="AL26" s="112">
        <f t="shared" si="17"/>
        <v>0</v>
      </c>
      <c r="AM26" s="99">
        <f t="shared" si="3"/>
        <v>0</v>
      </c>
      <c r="AN26" s="101">
        <f t="shared" si="3"/>
        <v>0</v>
      </c>
      <c r="AO26" s="111"/>
      <c r="AP26" s="112"/>
      <c r="AQ26" s="99">
        <f t="shared" si="18"/>
        <v>0</v>
      </c>
      <c r="AR26" s="102">
        <f t="shared" si="4"/>
        <v>0</v>
      </c>
      <c r="AS26" s="103">
        <f t="shared" si="5"/>
        <v>0.04</v>
      </c>
      <c r="AT26" s="104">
        <f t="shared" si="6"/>
        <v>1.5796372325688406</v>
      </c>
      <c r="AU26" s="56" t="s">
        <v>190</v>
      </c>
      <c r="AV26" s="56">
        <f t="shared" si="19"/>
        <v>1.5796372325688406</v>
      </c>
    </row>
    <row r="27" spans="1:48" ht="15" customHeight="1" x14ac:dyDescent="0.45">
      <c r="A27" s="73"/>
      <c r="B27" s="90"/>
      <c r="C27" s="107">
        <v>15</v>
      </c>
      <c r="D27" s="108" t="s">
        <v>191</v>
      </c>
      <c r="E27" s="109" t="s">
        <v>192</v>
      </c>
      <c r="F27" s="110" t="s">
        <v>162</v>
      </c>
      <c r="G27" s="93"/>
      <c r="H27" s="94">
        <f t="shared" si="7"/>
        <v>0</v>
      </c>
      <c r="I27" s="94">
        <v>0.02</v>
      </c>
      <c r="J27" s="94">
        <f t="shared" si="8"/>
        <v>1.1207</v>
      </c>
      <c r="K27" s="95">
        <f t="shared" si="1"/>
        <v>0.02</v>
      </c>
      <c r="L27" s="96">
        <f t="shared" si="1"/>
        <v>1.1207</v>
      </c>
      <c r="M27" s="111"/>
      <c r="N27" s="112">
        <f t="shared" si="9"/>
        <v>0</v>
      </c>
      <c r="O27" s="112"/>
      <c r="P27" s="112">
        <f t="shared" si="10"/>
        <v>0</v>
      </c>
      <c r="Q27" s="112"/>
      <c r="R27" s="112">
        <f t="shared" si="10"/>
        <v>0</v>
      </c>
      <c r="S27" s="112"/>
      <c r="T27" s="112">
        <f t="shared" si="11"/>
        <v>0</v>
      </c>
      <c r="U27" s="112"/>
      <c r="V27" s="112">
        <f t="shared" si="11"/>
        <v>0</v>
      </c>
      <c r="W27" s="112"/>
      <c r="X27" s="112">
        <f t="shared" si="12"/>
        <v>0</v>
      </c>
      <c r="Y27" s="112"/>
      <c r="Z27" s="112">
        <f t="shared" si="12"/>
        <v>0</v>
      </c>
      <c r="AA27" s="112">
        <v>0.02</v>
      </c>
      <c r="AB27" s="112">
        <f t="shared" si="13"/>
        <v>0.45893723256884067</v>
      </c>
      <c r="AC27" s="99">
        <f t="shared" si="2"/>
        <v>0.02</v>
      </c>
      <c r="AD27" s="100">
        <f t="shared" si="2"/>
        <v>0.45893723256884067</v>
      </c>
      <c r="AE27" s="111"/>
      <c r="AF27" s="112">
        <f t="shared" si="14"/>
        <v>0</v>
      </c>
      <c r="AG27" s="112"/>
      <c r="AH27" s="112">
        <f t="shared" si="15"/>
        <v>0</v>
      </c>
      <c r="AI27" s="112"/>
      <c r="AJ27" s="112">
        <f t="shared" si="16"/>
        <v>0</v>
      </c>
      <c r="AK27" s="112"/>
      <c r="AL27" s="112">
        <f t="shared" si="17"/>
        <v>0</v>
      </c>
      <c r="AM27" s="99">
        <f t="shared" si="3"/>
        <v>0</v>
      </c>
      <c r="AN27" s="101">
        <f t="shared" si="3"/>
        <v>0</v>
      </c>
      <c r="AO27" s="111"/>
      <c r="AP27" s="112"/>
      <c r="AQ27" s="99">
        <f t="shared" si="18"/>
        <v>0</v>
      </c>
      <c r="AR27" s="102">
        <f t="shared" si="4"/>
        <v>0</v>
      </c>
      <c r="AS27" s="103">
        <f t="shared" si="5"/>
        <v>0.04</v>
      </c>
      <c r="AT27" s="104">
        <f t="shared" si="6"/>
        <v>1.5796372325688406</v>
      </c>
      <c r="AU27" s="56" t="s">
        <v>190</v>
      </c>
      <c r="AV27" s="56">
        <f t="shared" si="19"/>
        <v>1.5796372325688406</v>
      </c>
    </row>
    <row r="28" spans="1:48" ht="15" customHeight="1" x14ac:dyDescent="0.45">
      <c r="A28" s="73"/>
      <c r="B28" s="90"/>
      <c r="C28" s="114">
        <v>16</v>
      </c>
      <c r="D28" s="108" t="s">
        <v>193</v>
      </c>
      <c r="E28" s="109" t="s">
        <v>194</v>
      </c>
      <c r="F28" s="110" t="s">
        <v>187</v>
      </c>
      <c r="G28" s="93"/>
      <c r="H28" s="94">
        <f t="shared" si="7"/>
        <v>0</v>
      </c>
      <c r="I28" s="94">
        <v>0.02</v>
      </c>
      <c r="J28" s="94">
        <f t="shared" si="8"/>
        <v>1.1207</v>
      </c>
      <c r="K28" s="95">
        <f t="shared" si="1"/>
        <v>0.02</v>
      </c>
      <c r="L28" s="96">
        <f t="shared" si="1"/>
        <v>1.1207</v>
      </c>
      <c r="M28" s="111"/>
      <c r="N28" s="112">
        <f t="shared" si="9"/>
        <v>0</v>
      </c>
      <c r="O28" s="112"/>
      <c r="P28" s="112">
        <f t="shared" si="10"/>
        <v>0</v>
      </c>
      <c r="Q28" s="112"/>
      <c r="R28" s="112">
        <f t="shared" si="10"/>
        <v>0</v>
      </c>
      <c r="S28" s="112"/>
      <c r="T28" s="112">
        <f t="shared" si="11"/>
        <v>0</v>
      </c>
      <c r="U28" s="112"/>
      <c r="V28" s="112">
        <f t="shared" si="11"/>
        <v>0</v>
      </c>
      <c r="W28" s="112"/>
      <c r="X28" s="112">
        <f t="shared" si="12"/>
        <v>0</v>
      </c>
      <c r="Y28" s="112"/>
      <c r="Z28" s="112">
        <f t="shared" si="12"/>
        <v>0</v>
      </c>
      <c r="AA28" s="112">
        <v>0.02</v>
      </c>
      <c r="AB28" s="112">
        <f t="shared" si="13"/>
        <v>0.45893723256884067</v>
      </c>
      <c r="AC28" s="99">
        <f t="shared" si="2"/>
        <v>0.02</v>
      </c>
      <c r="AD28" s="100">
        <f t="shared" si="2"/>
        <v>0.45893723256884067</v>
      </c>
      <c r="AE28" s="111"/>
      <c r="AF28" s="112">
        <f t="shared" si="14"/>
        <v>0</v>
      </c>
      <c r="AG28" s="112"/>
      <c r="AH28" s="112">
        <f t="shared" si="15"/>
        <v>0</v>
      </c>
      <c r="AI28" s="112"/>
      <c r="AJ28" s="112">
        <f t="shared" si="16"/>
        <v>0</v>
      </c>
      <c r="AK28" s="112"/>
      <c r="AL28" s="112">
        <f t="shared" si="17"/>
        <v>0</v>
      </c>
      <c r="AM28" s="99">
        <f t="shared" si="3"/>
        <v>0</v>
      </c>
      <c r="AN28" s="101">
        <f t="shared" si="3"/>
        <v>0</v>
      </c>
      <c r="AO28" s="111"/>
      <c r="AP28" s="112"/>
      <c r="AQ28" s="99">
        <f t="shared" si="18"/>
        <v>0</v>
      </c>
      <c r="AR28" s="102">
        <f t="shared" si="4"/>
        <v>0</v>
      </c>
      <c r="AS28" s="103">
        <f t="shared" si="5"/>
        <v>0.04</v>
      </c>
      <c r="AT28" s="104">
        <f t="shared" si="6"/>
        <v>1.5796372325688406</v>
      </c>
      <c r="AU28" s="56" t="s">
        <v>155</v>
      </c>
      <c r="AV28" s="56">
        <f t="shared" si="19"/>
        <v>0</v>
      </c>
    </row>
    <row r="29" spans="1:48" ht="15" customHeight="1" thickBot="1" x14ac:dyDescent="0.5">
      <c r="A29" s="150"/>
      <c r="B29" s="151"/>
      <c r="C29" s="152">
        <v>17</v>
      </c>
      <c r="D29" s="153" t="s">
        <v>195</v>
      </c>
      <c r="E29" s="154" t="s">
        <v>196</v>
      </c>
      <c r="F29" s="155" t="s">
        <v>187</v>
      </c>
      <c r="G29" s="156"/>
      <c r="H29" s="157">
        <f t="shared" si="7"/>
        <v>0</v>
      </c>
      <c r="I29" s="157">
        <v>0.02</v>
      </c>
      <c r="J29" s="157">
        <f t="shared" si="8"/>
        <v>1.1207</v>
      </c>
      <c r="K29" s="158">
        <f t="shared" si="1"/>
        <v>0.02</v>
      </c>
      <c r="L29" s="159">
        <f t="shared" si="1"/>
        <v>1.1207</v>
      </c>
      <c r="M29" s="160"/>
      <c r="N29" s="161">
        <f t="shared" si="9"/>
        <v>0</v>
      </c>
      <c r="O29" s="161"/>
      <c r="P29" s="161">
        <f t="shared" si="10"/>
        <v>0</v>
      </c>
      <c r="Q29" s="161"/>
      <c r="R29" s="161">
        <f t="shared" si="10"/>
        <v>0</v>
      </c>
      <c r="S29" s="161"/>
      <c r="T29" s="161">
        <f t="shared" si="11"/>
        <v>0</v>
      </c>
      <c r="U29" s="161"/>
      <c r="V29" s="161">
        <f t="shared" si="11"/>
        <v>0</v>
      </c>
      <c r="W29" s="161"/>
      <c r="X29" s="161">
        <f t="shared" si="12"/>
        <v>0</v>
      </c>
      <c r="Y29" s="161"/>
      <c r="Z29" s="161">
        <f t="shared" si="12"/>
        <v>0</v>
      </c>
      <c r="AA29" s="161">
        <v>0.02</v>
      </c>
      <c r="AB29" s="161">
        <f t="shared" si="13"/>
        <v>0.45893723256884067</v>
      </c>
      <c r="AC29" s="162">
        <f t="shared" si="2"/>
        <v>0.02</v>
      </c>
      <c r="AD29" s="163">
        <f t="shared" si="2"/>
        <v>0.45893723256884067</v>
      </c>
      <c r="AE29" s="160"/>
      <c r="AF29" s="161">
        <f t="shared" si="14"/>
        <v>0</v>
      </c>
      <c r="AG29" s="161"/>
      <c r="AH29" s="161">
        <f t="shared" si="15"/>
        <v>0</v>
      </c>
      <c r="AI29" s="161"/>
      <c r="AJ29" s="161">
        <f t="shared" si="16"/>
        <v>0</v>
      </c>
      <c r="AK29" s="161"/>
      <c r="AL29" s="161">
        <f t="shared" si="17"/>
        <v>0</v>
      </c>
      <c r="AM29" s="162">
        <f t="shared" si="3"/>
        <v>0</v>
      </c>
      <c r="AN29" s="164">
        <f t="shared" si="3"/>
        <v>0</v>
      </c>
      <c r="AO29" s="160"/>
      <c r="AP29" s="161"/>
      <c r="AQ29" s="162">
        <f t="shared" si="18"/>
        <v>0</v>
      </c>
      <c r="AR29" s="165">
        <f t="shared" si="4"/>
        <v>0</v>
      </c>
      <c r="AS29" s="166">
        <f t="shared" si="5"/>
        <v>0.04</v>
      </c>
      <c r="AT29" s="167">
        <f t="shared" si="6"/>
        <v>1.5796372325688406</v>
      </c>
      <c r="AU29" s="168" t="s">
        <v>190</v>
      </c>
      <c r="AV29" s="56">
        <f t="shared" si="19"/>
        <v>1.5796372325688406</v>
      </c>
    </row>
    <row r="30" spans="1:48" ht="15" customHeight="1" thickTop="1" x14ac:dyDescent="0.45">
      <c r="A30" s="73" t="s">
        <v>197</v>
      </c>
      <c r="B30" s="90" t="s">
        <v>198</v>
      </c>
      <c r="C30" s="114">
        <v>18</v>
      </c>
      <c r="D30" s="108" t="s">
        <v>199</v>
      </c>
      <c r="E30" s="109" t="s">
        <v>200</v>
      </c>
      <c r="F30" s="110" t="s">
        <v>165</v>
      </c>
      <c r="G30" s="78">
        <v>0.02</v>
      </c>
      <c r="H30" s="79">
        <f t="shared" si="7"/>
        <v>1.1207</v>
      </c>
      <c r="I30" s="79"/>
      <c r="J30" s="79">
        <f t="shared" si="8"/>
        <v>0</v>
      </c>
      <c r="K30" s="80">
        <f t="shared" si="1"/>
        <v>0.02</v>
      </c>
      <c r="L30" s="81">
        <f t="shared" si="1"/>
        <v>1.1207</v>
      </c>
      <c r="M30" s="169">
        <v>0.05</v>
      </c>
      <c r="N30" s="170">
        <f t="shared" si="9"/>
        <v>1.1473430814221017</v>
      </c>
      <c r="O30" s="170"/>
      <c r="P30" s="170">
        <f t="shared" ref="P30:R45" si="20">P$12/O$12*O30</f>
        <v>0</v>
      </c>
      <c r="Q30" s="170"/>
      <c r="R30" s="170">
        <f t="shared" si="20"/>
        <v>0</v>
      </c>
      <c r="S30" s="170"/>
      <c r="T30" s="170">
        <f t="shared" ref="T30:V45" si="21">T$12/S$12*S30</f>
        <v>0</v>
      </c>
      <c r="U30" s="170"/>
      <c r="V30" s="170">
        <f t="shared" si="21"/>
        <v>0</v>
      </c>
      <c r="W30" s="170"/>
      <c r="X30" s="170">
        <f t="shared" ref="X30:Z45" si="22">X$12/W$12*W30</f>
        <v>0</v>
      </c>
      <c r="Y30" s="170"/>
      <c r="Z30" s="170">
        <f t="shared" si="22"/>
        <v>0</v>
      </c>
      <c r="AA30" s="170"/>
      <c r="AB30" s="170">
        <f t="shared" si="13"/>
        <v>0</v>
      </c>
      <c r="AC30" s="84">
        <f t="shared" si="2"/>
        <v>0.05</v>
      </c>
      <c r="AD30" s="85">
        <f t="shared" si="2"/>
        <v>1.1473430814221017</v>
      </c>
      <c r="AE30" s="169"/>
      <c r="AF30" s="170">
        <f t="shared" si="14"/>
        <v>0</v>
      </c>
      <c r="AG30" s="170"/>
      <c r="AH30" s="170">
        <f t="shared" si="15"/>
        <v>0</v>
      </c>
      <c r="AI30" s="170"/>
      <c r="AJ30" s="170">
        <f t="shared" si="16"/>
        <v>0</v>
      </c>
      <c r="AK30" s="170"/>
      <c r="AL30" s="170">
        <f t="shared" si="17"/>
        <v>0</v>
      </c>
      <c r="AM30" s="84">
        <f t="shared" si="3"/>
        <v>0</v>
      </c>
      <c r="AN30" s="86">
        <f t="shared" si="3"/>
        <v>0</v>
      </c>
      <c r="AO30" s="169"/>
      <c r="AP30" s="170"/>
      <c r="AQ30" s="84">
        <f t="shared" si="18"/>
        <v>0</v>
      </c>
      <c r="AR30" s="87">
        <f t="shared" si="4"/>
        <v>0</v>
      </c>
      <c r="AS30" s="88">
        <f t="shared" si="5"/>
        <v>7.0000000000000007E-2</v>
      </c>
      <c r="AT30" s="89">
        <f t="shared" si="6"/>
        <v>2.2680430814221015</v>
      </c>
      <c r="AU30" s="171" t="s">
        <v>155</v>
      </c>
      <c r="AV30" s="56">
        <f t="shared" si="19"/>
        <v>0</v>
      </c>
    </row>
    <row r="31" spans="1:48" ht="15" customHeight="1" x14ac:dyDescent="0.45">
      <c r="A31" s="73"/>
      <c r="B31" s="90"/>
      <c r="C31" s="114">
        <v>19</v>
      </c>
      <c r="D31" s="172" t="s">
        <v>201</v>
      </c>
      <c r="E31" s="173" t="s">
        <v>202</v>
      </c>
      <c r="F31" s="174" t="s">
        <v>203</v>
      </c>
      <c r="G31" s="93"/>
      <c r="H31" s="94">
        <f t="shared" si="7"/>
        <v>0</v>
      </c>
      <c r="I31" s="94"/>
      <c r="J31" s="94">
        <f t="shared" si="8"/>
        <v>0</v>
      </c>
      <c r="K31" s="95">
        <f t="shared" si="1"/>
        <v>0</v>
      </c>
      <c r="L31" s="96">
        <f t="shared" si="1"/>
        <v>0</v>
      </c>
      <c r="M31" s="111">
        <v>0.01</v>
      </c>
      <c r="N31" s="112">
        <f t="shared" si="9"/>
        <v>0.22946861628442033</v>
      </c>
      <c r="O31" s="112">
        <v>0.01</v>
      </c>
      <c r="P31" s="112">
        <f t="shared" si="20"/>
        <v>0.22946861628442033</v>
      </c>
      <c r="Q31" s="112">
        <v>0.01</v>
      </c>
      <c r="R31" s="112">
        <f t="shared" si="20"/>
        <v>0.22946861628442033</v>
      </c>
      <c r="S31" s="112">
        <v>0.01</v>
      </c>
      <c r="T31" s="112">
        <f t="shared" si="21"/>
        <v>0.22946861628442033</v>
      </c>
      <c r="U31" s="112">
        <v>0.01</v>
      </c>
      <c r="V31" s="112">
        <f t="shared" si="21"/>
        <v>0.22946861628442033</v>
      </c>
      <c r="W31" s="112">
        <v>0.01</v>
      </c>
      <c r="X31" s="112">
        <f t="shared" si="22"/>
        <v>0.22946861628442033</v>
      </c>
      <c r="Y31" s="112">
        <v>0.01</v>
      </c>
      <c r="Z31" s="112">
        <f t="shared" si="22"/>
        <v>0.22946861628442033</v>
      </c>
      <c r="AA31" s="112"/>
      <c r="AB31" s="112">
        <f t="shared" si="13"/>
        <v>0</v>
      </c>
      <c r="AC31" s="99">
        <f t="shared" si="2"/>
        <v>7.0000000000000007E-2</v>
      </c>
      <c r="AD31" s="100">
        <f t="shared" si="2"/>
        <v>1.6062803139909425</v>
      </c>
      <c r="AE31" s="111"/>
      <c r="AF31" s="112">
        <f t="shared" si="14"/>
        <v>0</v>
      </c>
      <c r="AG31" s="112"/>
      <c r="AH31" s="112">
        <f t="shared" si="15"/>
        <v>0</v>
      </c>
      <c r="AI31" s="112"/>
      <c r="AJ31" s="112">
        <f t="shared" si="16"/>
        <v>0</v>
      </c>
      <c r="AK31" s="112"/>
      <c r="AL31" s="112">
        <f t="shared" si="17"/>
        <v>0</v>
      </c>
      <c r="AM31" s="99">
        <f t="shared" si="3"/>
        <v>0</v>
      </c>
      <c r="AN31" s="101">
        <f t="shared" si="3"/>
        <v>0</v>
      </c>
      <c r="AO31" s="111"/>
      <c r="AP31" s="112"/>
      <c r="AQ31" s="99">
        <f t="shared" si="18"/>
        <v>0</v>
      </c>
      <c r="AR31" s="102">
        <f t="shared" si="4"/>
        <v>0</v>
      </c>
      <c r="AS31" s="103">
        <f t="shared" si="5"/>
        <v>7.0000000000000007E-2</v>
      </c>
      <c r="AT31" s="104">
        <f t="shared" si="6"/>
        <v>1.6062803139909425</v>
      </c>
      <c r="AU31" s="56" t="s">
        <v>155</v>
      </c>
      <c r="AV31" s="56">
        <f t="shared" si="19"/>
        <v>0</v>
      </c>
    </row>
    <row r="32" spans="1:48" ht="15" customHeight="1" x14ac:dyDescent="0.45">
      <c r="A32" s="73"/>
      <c r="B32" s="90"/>
      <c r="C32" s="114">
        <v>20</v>
      </c>
      <c r="D32" s="172" t="s">
        <v>204</v>
      </c>
      <c r="E32" s="173" t="s">
        <v>205</v>
      </c>
      <c r="F32" s="174" t="s">
        <v>165</v>
      </c>
      <c r="G32" s="93">
        <v>0.02</v>
      </c>
      <c r="H32" s="94">
        <f t="shared" si="7"/>
        <v>1.1207</v>
      </c>
      <c r="I32" s="94"/>
      <c r="J32" s="94">
        <f t="shared" si="8"/>
        <v>0</v>
      </c>
      <c r="K32" s="95">
        <f t="shared" si="1"/>
        <v>0.02</v>
      </c>
      <c r="L32" s="96">
        <f t="shared" si="1"/>
        <v>1.1207</v>
      </c>
      <c r="M32" s="111">
        <v>0.05</v>
      </c>
      <c r="N32" s="112">
        <f t="shared" si="9"/>
        <v>1.1473430814221017</v>
      </c>
      <c r="O32" s="112"/>
      <c r="P32" s="112">
        <f t="shared" si="20"/>
        <v>0</v>
      </c>
      <c r="Q32" s="112"/>
      <c r="R32" s="112">
        <f t="shared" si="20"/>
        <v>0</v>
      </c>
      <c r="S32" s="112"/>
      <c r="T32" s="112">
        <f t="shared" si="21"/>
        <v>0</v>
      </c>
      <c r="U32" s="112"/>
      <c r="V32" s="112">
        <f t="shared" si="21"/>
        <v>0</v>
      </c>
      <c r="W32" s="112"/>
      <c r="X32" s="112">
        <f t="shared" si="22"/>
        <v>0</v>
      </c>
      <c r="Y32" s="112"/>
      <c r="Z32" s="112">
        <f t="shared" si="22"/>
        <v>0</v>
      </c>
      <c r="AA32" s="112"/>
      <c r="AB32" s="112">
        <f t="shared" si="13"/>
        <v>0</v>
      </c>
      <c r="AC32" s="99">
        <f t="shared" si="2"/>
        <v>0.05</v>
      </c>
      <c r="AD32" s="100">
        <f t="shared" si="2"/>
        <v>1.1473430814221017</v>
      </c>
      <c r="AE32" s="111"/>
      <c r="AF32" s="112">
        <f t="shared" si="14"/>
        <v>0</v>
      </c>
      <c r="AG32" s="112"/>
      <c r="AH32" s="112">
        <f t="shared" si="15"/>
        <v>0</v>
      </c>
      <c r="AI32" s="112"/>
      <c r="AJ32" s="112">
        <f t="shared" si="16"/>
        <v>0</v>
      </c>
      <c r="AK32" s="112"/>
      <c r="AL32" s="112">
        <f t="shared" si="17"/>
        <v>0</v>
      </c>
      <c r="AM32" s="99">
        <f t="shared" si="3"/>
        <v>0</v>
      </c>
      <c r="AN32" s="101">
        <f t="shared" si="3"/>
        <v>0</v>
      </c>
      <c r="AO32" s="111"/>
      <c r="AP32" s="112"/>
      <c r="AQ32" s="99">
        <f t="shared" si="18"/>
        <v>0</v>
      </c>
      <c r="AR32" s="102">
        <f t="shared" si="4"/>
        <v>0</v>
      </c>
      <c r="AS32" s="103">
        <f t="shared" si="5"/>
        <v>7.0000000000000007E-2</v>
      </c>
      <c r="AT32" s="104">
        <f t="shared" si="6"/>
        <v>2.2680430814221015</v>
      </c>
      <c r="AU32" s="56" t="s">
        <v>155</v>
      </c>
      <c r="AV32" s="56">
        <f t="shared" si="19"/>
        <v>0</v>
      </c>
    </row>
    <row r="33" spans="1:48" ht="15" customHeight="1" x14ac:dyDescent="0.45">
      <c r="A33" s="73"/>
      <c r="B33" s="90"/>
      <c r="C33" s="107">
        <v>21</v>
      </c>
      <c r="D33" s="172" t="s">
        <v>206</v>
      </c>
      <c r="E33" s="173" t="s">
        <v>207</v>
      </c>
      <c r="F33" s="174" t="s">
        <v>203</v>
      </c>
      <c r="G33" s="93"/>
      <c r="H33" s="94">
        <f t="shared" si="7"/>
        <v>0</v>
      </c>
      <c r="I33" s="94"/>
      <c r="J33" s="94">
        <f t="shared" si="8"/>
        <v>0</v>
      </c>
      <c r="K33" s="95">
        <f t="shared" si="1"/>
        <v>0</v>
      </c>
      <c r="L33" s="96">
        <f t="shared" si="1"/>
        <v>0</v>
      </c>
      <c r="M33" s="111">
        <v>0.08</v>
      </c>
      <c r="N33" s="112">
        <f t="shared" si="9"/>
        <v>1.8357489302753627</v>
      </c>
      <c r="O33" s="112">
        <v>0.02</v>
      </c>
      <c r="P33" s="112">
        <f t="shared" si="20"/>
        <v>0.45893723256884067</v>
      </c>
      <c r="Q33" s="112">
        <v>0.02</v>
      </c>
      <c r="R33" s="112">
        <f t="shared" si="20"/>
        <v>0.45893723256884067</v>
      </c>
      <c r="S33" s="112">
        <v>0.02</v>
      </c>
      <c r="T33" s="112">
        <f t="shared" si="21"/>
        <v>0.45893723256884067</v>
      </c>
      <c r="U33" s="112">
        <v>0.02</v>
      </c>
      <c r="V33" s="112">
        <f t="shared" si="21"/>
        <v>0.45893723256884067</v>
      </c>
      <c r="W33" s="112">
        <v>0.05</v>
      </c>
      <c r="X33" s="112">
        <f t="shared" si="22"/>
        <v>1.1473430814221017</v>
      </c>
      <c r="Y33" s="112">
        <v>0.01</v>
      </c>
      <c r="Z33" s="112">
        <f t="shared" si="22"/>
        <v>0.22946861628442033</v>
      </c>
      <c r="AA33" s="112"/>
      <c r="AB33" s="112">
        <f t="shared" si="13"/>
        <v>0</v>
      </c>
      <c r="AC33" s="99">
        <f t="shared" si="2"/>
        <v>0.22000000000000003</v>
      </c>
      <c r="AD33" s="100">
        <f t="shared" si="2"/>
        <v>5.0483095582572481</v>
      </c>
      <c r="AE33" s="111"/>
      <c r="AF33" s="112">
        <f t="shared" si="14"/>
        <v>0</v>
      </c>
      <c r="AG33" s="112"/>
      <c r="AH33" s="112">
        <f t="shared" si="15"/>
        <v>0</v>
      </c>
      <c r="AI33" s="112"/>
      <c r="AJ33" s="112">
        <f t="shared" si="16"/>
        <v>0</v>
      </c>
      <c r="AK33" s="112"/>
      <c r="AL33" s="112">
        <f t="shared" si="17"/>
        <v>0</v>
      </c>
      <c r="AM33" s="99">
        <f t="shared" si="3"/>
        <v>0</v>
      </c>
      <c r="AN33" s="101">
        <f t="shared" si="3"/>
        <v>0</v>
      </c>
      <c r="AO33" s="111"/>
      <c r="AP33" s="112"/>
      <c r="AQ33" s="99">
        <f t="shared" si="18"/>
        <v>0</v>
      </c>
      <c r="AR33" s="102">
        <f t="shared" si="4"/>
        <v>0</v>
      </c>
      <c r="AS33" s="103">
        <f t="shared" si="5"/>
        <v>0.22000000000000003</v>
      </c>
      <c r="AT33" s="104">
        <f t="shared" si="6"/>
        <v>5.0483095582572481</v>
      </c>
      <c r="AU33" s="56" t="s">
        <v>155</v>
      </c>
      <c r="AV33" s="56">
        <f t="shared" si="19"/>
        <v>0</v>
      </c>
    </row>
    <row r="34" spans="1:48" ht="15" customHeight="1" x14ac:dyDescent="0.45">
      <c r="A34" s="73"/>
      <c r="B34" s="90"/>
      <c r="C34" s="175">
        <v>22</v>
      </c>
      <c r="D34" s="172" t="s">
        <v>208</v>
      </c>
      <c r="E34" s="173" t="s">
        <v>209</v>
      </c>
      <c r="F34" s="174" t="s">
        <v>165</v>
      </c>
      <c r="G34" s="93">
        <v>0.01</v>
      </c>
      <c r="H34" s="94">
        <f t="shared" si="7"/>
        <v>0.56035000000000001</v>
      </c>
      <c r="I34" s="94">
        <v>0.01</v>
      </c>
      <c r="J34" s="94">
        <f t="shared" si="8"/>
        <v>0.56035000000000001</v>
      </c>
      <c r="K34" s="95">
        <f t="shared" si="1"/>
        <v>0.02</v>
      </c>
      <c r="L34" s="96">
        <f t="shared" si="1"/>
        <v>1.1207</v>
      </c>
      <c r="M34" s="111">
        <v>0.01</v>
      </c>
      <c r="N34" s="112">
        <f t="shared" si="9"/>
        <v>0.22946861628442033</v>
      </c>
      <c r="O34" s="112"/>
      <c r="P34" s="112">
        <f t="shared" si="20"/>
        <v>0</v>
      </c>
      <c r="Q34" s="112"/>
      <c r="R34" s="112">
        <f t="shared" si="20"/>
        <v>0</v>
      </c>
      <c r="S34" s="112"/>
      <c r="T34" s="112">
        <f t="shared" si="21"/>
        <v>0</v>
      </c>
      <c r="U34" s="112"/>
      <c r="V34" s="112">
        <f t="shared" si="21"/>
        <v>0</v>
      </c>
      <c r="W34" s="112"/>
      <c r="X34" s="112">
        <f t="shared" si="22"/>
        <v>0</v>
      </c>
      <c r="Y34" s="112"/>
      <c r="Z34" s="112">
        <f t="shared" si="22"/>
        <v>0</v>
      </c>
      <c r="AA34" s="112"/>
      <c r="AB34" s="112">
        <f t="shared" si="13"/>
        <v>0</v>
      </c>
      <c r="AC34" s="99">
        <f t="shared" si="2"/>
        <v>0.01</v>
      </c>
      <c r="AD34" s="100">
        <f t="shared" si="2"/>
        <v>0.22946861628442033</v>
      </c>
      <c r="AE34" s="111"/>
      <c r="AF34" s="112">
        <f t="shared" si="14"/>
        <v>0</v>
      </c>
      <c r="AG34" s="112"/>
      <c r="AH34" s="112">
        <f t="shared" si="15"/>
        <v>0</v>
      </c>
      <c r="AI34" s="112"/>
      <c r="AJ34" s="112">
        <f t="shared" si="16"/>
        <v>0</v>
      </c>
      <c r="AK34" s="112"/>
      <c r="AL34" s="112">
        <f t="shared" si="17"/>
        <v>0</v>
      </c>
      <c r="AM34" s="99">
        <f t="shared" si="3"/>
        <v>0</v>
      </c>
      <c r="AN34" s="101">
        <f t="shared" si="3"/>
        <v>0</v>
      </c>
      <c r="AO34" s="111"/>
      <c r="AP34" s="112"/>
      <c r="AQ34" s="99">
        <f t="shared" si="18"/>
        <v>0</v>
      </c>
      <c r="AR34" s="102">
        <f t="shared" si="4"/>
        <v>0</v>
      </c>
      <c r="AS34" s="103">
        <f t="shared" si="5"/>
        <v>0.03</v>
      </c>
      <c r="AT34" s="104">
        <f t="shared" si="6"/>
        <v>1.3501686162844204</v>
      </c>
      <c r="AU34" s="56" t="s">
        <v>155</v>
      </c>
      <c r="AV34" s="56">
        <f t="shared" si="19"/>
        <v>0</v>
      </c>
    </row>
    <row r="35" spans="1:48" ht="15" customHeight="1" x14ac:dyDescent="0.45">
      <c r="A35" s="176"/>
      <c r="B35" s="113" t="s">
        <v>210</v>
      </c>
      <c r="C35" s="107">
        <v>23</v>
      </c>
      <c r="D35" s="177" t="s">
        <v>211</v>
      </c>
      <c r="E35" s="178" t="s">
        <v>212</v>
      </c>
      <c r="F35" s="174" t="s">
        <v>203</v>
      </c>
      <c r="G35" s="93"/>
      <c r="H35" s="94">
        <f t="shared" si="7"/>
        <v>0</v>
      </c>
      <c r="I35" s="94"/>
      <c r="J35" s="94">
        <f t="shared" si="8"/>
        <v>0</v>
      </c>
      <c r="K35" s="95">
        <f t="shared" si="1"/>
        <v>0</v>
      </c>
      <c r="L35" s="96">
        <f t="shared" si="1"/>
        <v>0</v>
      </c>
      <c r="M35" s="179"/>
      <c r="N35" s="180">
        <f t="shared" si="9"/>
        <v>0</v>
      </c>
      <c r="O35" s="112">
        <v>0.02</v>
      </c>
      <c r="P35" s="112">
        <f t="shared" si="20"/>
        <v>0.45893723256884067</v>
      </c>
      <c r="Q35" s="112">
        <v>0.02</v>
      </c>
      <c r="R35" s="112">
        <f t="shared" si="20"/>
        <v>0.45893723256884067</v>
      </c>
      <c r="S35" s="112">
        <v>0.02</v>
      </c>
      <c r="T35" s="112">
        <f t="shared" si="21"/>
        <v>0.45893723256884067</v>
      </c>
      <c r="U35" s="112">
        <v>0.02</v>
      </c>
      <c r="V35" s="112">
        <f t="shared" si="21"/>
        <v>0.45893723256884067</v>
      </c>
      <c r="W35" s="112">
        <v>0.01</v>
      </c>
      <c r="X35" s="112">
        <f t="shared" si="22"/>
        <v>0.22946861628442033</v>
      </c>
      <c r="Y35" s="112">
        <v>0.01</v>
      </c>
      <c r="Z35" s="112">
        <f t="shared" si="22"/>
        <v>0.22946861628442033</v>
      </c>
      <c r="AA35" s="180"/>
      <c r="AB35" s="180">
        <f t="shared" si="13"/>
        <v>0</v>
      </c>
      <c r="AC35" s="99">
        <f t="shared" si="2"/>
        <v>9.9999999999999992E-2</v>
      </c>
      <c r="AD35" s="100">
        <f t="shared" si="2"/>
        <v>2.294686162844203</v>
      </c>
      <c r="AE35" s="111">
        <v>0.04</v>
      </c>
      <c r="AF35" s="112">
        <f t="shared" si="14"/>
        <v>0.91787446513768134</v>
      </c>
      <c r="AG35" s="180"/>
      <c r="AH35" s="180">
        <f t="shared" si="15"/>
        <v>0</v>
      </c>
      <c r="AI35" s="180"/>
      <c r="AJ35" s="180">
        <f t="shared" si="16"/>
        <v>0</v>
      </c>
      <c r="AK35" s="180"/>
      <c r="AL35" s="180">
        <f t="shared" si="17"/>
        <v>0</v>
      </c>
      <c r="AM35" s="99">
        <f t="shared" si="3"/>
        <v>0.04</v>
      </c>
      <c r="AN35" s="101">
        <f t="shared" si="3"/>
        <v>0.91787446513768134</v>
      </c>
      <c r="AO35" s="179"/>
      <c r="AP35" s="180"/>
      <c r="AQ35" s="99">
        <f t="shared" si="18"/>
        <v>0</v>
      </c>
      <c r="AR35" s="102">
        <f t="shared" si="4"/>
        <v>0</v>
      </c>
      <c r="AS35" s="103">
        <f t="shared" si="5"/>
        <v>0.13999999999999999</v>
      </c>
      <c r="AT35" s="104">
        <f t="shared" si="6"/>
        <v>3.2125606279818841</v>
      </c>
      <c r="AU35" s="56" t="s">
        <v>155</v>
      </c>
      <c r="AV35" s="56">
        <f t="shared" si="19"/>
        <v>0</v>
      </c>
    </row>
    <row r="36" spans="1:48" ht="15" customHeight="1" x14ac:dyDescent="0.45">
      <c r="A36" s="176"/>
      <c r="B36" s="90"/>
      <c r="C36" s="107">
        <v>24</v>
      </c>
      <c r="D36" s="177" t="s">
        <v>213</v>
      </c>
      <c r="E36" s="178" t="s">
        <v>214</v>
      </c>
      <c r="F36" s="174" t="s">
        <v>203</v>
      </c>
      <c r="G36" s="93">
        <v>0.01</v>
      </c>
      <c r="H36" s="94">
        <f t="shared" si="7"/>
        <v>0.56035000000000001</v>
      </c>
      <c r="I36" s="94"/>
      <c r="J36" s="94">
        <f t="shared" si="8"/>
        <v>0</v>
      </c>
      <c r="K36" s="95">
        <f t="shared" si="1"/>
        <v>0.01</v>
      </c>
      <c r="L36" s="96">
        <f t="shared" si="1"/>
        <v>0.56035000000000001</v>
      </c>
      <c r="M36" s="179"/>
      <c r="N36" s="180">
        <f t="shared" si="9"/>
        <v>0</v>
      </c>
      <c r="O36" s="112">
        <v>0.02</v>
      </c>
      <c r="P36" s="112">
        <f t="shared" si="20"/>
        <v>0.45893723256884067</v>
      </c>
      <c r="Q36" s="112">
        <v>0.02</v>
      </c>
      <c r="R36" s="112">
        <f t="shared" si="20"/>
        <v>0.45893723256884067</v>
      </c>
      <c r="S36" s="112">
        <v>0.02</v>
      </c>
      <c r="T36" s="112">
        <f t="shared" si="21"/>
        <v>0.45893723256884067</v>
      </c>
      <c r="U36" s="112">
        <v>0.01</v>
      </c>
      <c r="V36" s="112">
        <f t="shared" si="21"/>
        <v>0.22946861628442033</v>
      </c>
      <c r="W36" s="112">
        <v>0.01</v>
      </c>
      <c r="X36" s="112">
        <f t="shared" si="22"/>
        <v>0.22946861628442033</v>
      </c>
      <c r="Y36" s="112">
        <v>0.01</v>
      </c>
      <c r="Z36" s="112">
        <f t="shared" si="22"/>
        <v>0.22946861628442033</v>
      </c>
      <c r="AA36" s="180"/>
      <c r="AB36" s="180">
        <f t="shared" si="13"/>
        <v>0</v>
      </c>
      <c r="AC36" s="99">
        <f t="shared" si="2"/>
        <v>8.9999999999999983E-2</v>
      </c>
      <c r="AD36" s="100">
        <f t="shared" si="2"/>
        <v>2.0652175465597828</v>
      </c>
      <c r="AE36" s="179"/>
      <c r="AF36" s="180">
        <f t="shared" si="14"/>
        <v>0</v>
      </c>
      <c r="AG36" s="180"/>
      <c r="AH36" s="180">
        <f t="shared" si="15"/>
        <v>0</v>
      </c>
      <c r="AI36" s="180"/>
      <c r="AJ36" s="180">
        <f t="shared" si="16"/>
        <v>0</v>
      </c>
      <c r="AK36" s="180"/>
      <c r="AL36" s="180">
        <f t="shared" si="17"/>
        <v>0</v>
      </c>
      <c r="AM36" s="99">
        <f t="shared" si="3"/>
        <v>0</v>
      </c>
      <c r="AN36" s="101">
        <f t="shared" si="3"/>
        <v>0</v>
      </c>
      <c r="AO36" s="179"/>
      <c r="AP36" s="180"/>
      <c r="AQ36" s="99">
        <f t="shared" si="18"/>
        <v>0</v>
      </c>
      <c r="AR36" s="102">
        <f t="shared" si="4"/>
        <v>0</v>
      </c>
      <c r="AS36" s="103">
        <f t="shared" si="5"/>
        <v>9.9999999999999978E-2</v>
      </c>
      <c r="AT36" s="104">
        <f t="shared" si="6"/>
        <v>2.625567546559783</v>
      </c>
      <c r="AU36" s="56" t="s">
        <v>155</v>
      </c>
      <c r="AV36" s="56">
        <f t="shared" si="19"/>
        <v>0</v>
      </c>
    </row>
    <row r="37" spans="1:48" ht="15" customHeight="1" x14ac:dyDescent="0.45">
      <c r="A37" s="176"/>
      <c r="B37" s="90"/>
      <c r="C37" s="114">
        <v>25</v>
      </c>
      <c r="D37" s="177" t="s">
        <v>215</v>
      </c>
      <c r="E37" s="178" t="s">
        <v>216</v>
      </c>
      <c r="F37" s="174" t="s">
        <v>203</v>
      </c>
      <c r="G37" s="93">
        <v>0.01</v>
      </c>
      <c r="H37" s="94">
        <f t="shared" si="7"/>
        <v>0.56035000000000001</v>
      </c>
      <c r="I37" s="94"/>
      <c r="J37" s="94">
        <f t="shared" si="8"/>
        <v>0</v>
      </c>
      <c r="K37" s="95">
        <f t="shared" si="1"/>
        <v>0.01</v>
      </c>
      <c r="L37" s="96">
        <f t="shared" si="1"/>
        <v>0.56035000000000001</v>
      </c>
      <c r="M37" s="111"/>
      <c r="N37" s="112">
        <f t="shared" si="9"/>
        <v>0</v>
      </c>
      <c r="O37" s="112"/>
      <c r="P37" s="112">
        <f t="shared" si="20"/>
        <v>0</v>
      </c>
      <c r="Q37" s="180"/>
      <c r="R37" s="180">
        <f t="shared" si="20"/>
        <v>0</v>
      </c>
      <c r="S37" s="112"/>
      <c r="T37" s="112">
        <f t="shared" si="21"/>
        <v>0</v>
      </c>
      <c r="U37" s="180"/>
      <c r="V37" s="180">
        <f t="shared" si="21"/>
        <v>0</v>
      </c>
      <c r="W37" s="180"/>
      <c r="X37" s="180">
        <f t="shared" si="22"/>
        <v>0</v>
      </c>
      <c r="Y37" s="180"/>
      <c r="Z37" s="180">
        <f t="shared" si="22"/>
        <v>0</v>
      </c>
      <c r="AA37" s="180"/>
      <c r="AB37" s="180">
        <f t="shared" si="13"/>
        <v>0</v>
      </c>
      <c r="AC37" s="99">
        <f t="shared" si="2"/>
        <v>0</v>
      </c>
      <c r="AD37" s="100">
        <f t="shared" si="2"/>
        <v>0</v>
      </c>
      <c r="AE37" s="111">
        <v>0.04</v>
      </c>
      <c r="AF37" s="112">
        <f t="shared" si="14"/>
        <v>0.91787446513768134</v>
      </c>
      <c r="AG37" s="180"/>
      <c r="AH37" s="180">
        <f t="shared" si="15"/>
        <v>0</v>
      </c>
      <c r="AI37" s="180"/>
      <c r="AJ37" s="180">
        <f t="shared" si="16"/>
        <v>0</v>
      </c>
      <c r="AK37" s="180"/>
      <c r="AL37" s="180">
        <f t="shared" si="17"/>
        <v>0</v>
      </c>
      <c r="AM37" s="99">
        <f t="shared" si="3"/>
        <v>0.04</v>
      </c>
      <c r="AN37" s="101">
        <f t="shared" si="3"/>
        <v>0.91787446513768134</v>
      </c>
      <c r="AO37" s="179"/>
      <c r="AP37" s="180"/>
      <c r="AQ37" s="99">
        <f t="shared" si="18"/>
        <v>0</v>
      </c>
      <c r="AR37" s="102">
        <f t="shared" si="4"/>
        <v>0</v>
      </c>
      <c r="AS37" s="103">
        <f t="shared" si="5"/>
        <v>0.05</v>
      </c>
      <c r="AT37" s="104">
        <f t="shared" si="6"/>
        <v>1.4782244651376812</v>
      </c>
      <c r="AU37" s="56" t="s">
        <v>155</v>
      </c>
      <c r="AV37" s="56">
        <f t="shared" si="19"/>
        <v>0</v>
      </c>
    </row>
    <row r="38" spans="1:48" ht="15" customHeight="1" x14ac:dyDescent="0.45">
      <c r="A38" s="176"/>
      <c r="B38" s="90"/>
      <c r="C38" s="107">
        <v>26</v>
      </c>
      <c r="D38" s="177" t="s">
        <v>217</v>
      </c>
      <c r="E38" s="178" t="s">
        <v>218</v>
      </c>
      <c r="F38" s="174" t="s">
        <v>203</v>
      </c>
      <c r="G38" s="93"/>
      <c r="H38" s="94">
        <f t="shared" si="7"/>
        <v>0</v>
      </c>
      <c r="I38" s="94"/>
      <c r="J38" s="94">
        <f t="shared" si="8"/>
        <v>0</v>
      </c>
      <c r="K38" s="95">
        <f t="shared" si="1"/>
        <v>0</v>
      </c>
      <c r="L38" s="96">
        <f t="shared" si="1"/>
        <v>0</v>
      </c>
      <c r="M38" s="179"/>
      <c r="N38" s="180">
        <f t="shared" si="9"/>
        <v>0</v>
      </c>
      <c r="O38" s="112">
        <v>0.14000000000000001</v>
      </c>
      <c r="P38" s="112">
        <f t="shared" si="20"/>
        <v>3.212560627981885</v>
      </c>
      <c r="Q38" s="112">
        <v>0.15</v>
      </c>
      <c r="R38" s="112">
        <f t="shared" si="20"/>
        <v>3.4420292442663047</v>
      </c>
      <c r="S38" s="112">
        <v>0.14000000000000001</v>
      </c>
      <c r="T38" s="112">
        <f t="shared" si="21"/>
        <v>3.212560627981885</v>
      </c>
      <c r="U38" s="112">
        <v>0.15</v>
      </c>
      <c r="V38" s="112">
        <f t="shared" si="21"/>
        <v>3.4420292442663047</v>
      </c>
      <c r="W38" s="112">
        <v>0.15</v>
      </c>
      <c r="X38" s="112">
        <f t="shared" si="22"/>
        <v>3.4420292442663047</v>
      </c>
      <c r="Y38" s="112">
        <v>0.05</v>
      </c>
      <c r="Z38" s="112">
        <f t="shared" si="22"/>
        <v>1.1473430814221017</v>
      </c>
      <c r="AA38" s="180"/>
      <c r="AB38" s="180">
        <f t="shared" si="13"/>
        <v>0</v>
      </c>
      <c r="AC38" s="99">
        <f t="shared" si="2"/>
        <v>0.78000000000000014</v>
      </c>
      <c r="AD38" s="100">
        <f t="shared" si="2"/>
        <v>17.898552070184785</v>
      </c>
      <c r="AE38" s="179"/>
      <c r="AF38" s="180">
        <f t="shared" si="14"/>
        <v>0</v>
      </c>
      <c r="AG38" s="180"/>
      <c r="AH38" s="180">
        <f t="shared" si="15"/>
        <v>0</v>
      </c>
      <c r="AI38" s="180"/>
      <c r="AJ38" s="180">
        <f t="shared" si="16"/>
        <v>0</v>
      </c>
      <c r="AK38" s="180"/>
      <c r="AL38" s="180">
        <f t="shared" si="17"/>
        <v>0</v>
      </c>
      <c r="AM38" s="99">
        <f t="shared" si="3"/>
        <v>0</v>
      </c>
      <c r="AN38" s="101">
        <f t="shared" si="3"/>
        <v>0</v>
      </c>
      <c r="AO38" s="179"/>
      <c r="AP38" s="180"/>
      <c r="AQ38" s="99">
        <f t="shared" si="18"/>
        <v>0</v>
      </c>
      <c r="AR38" s="102">
        <f t="shared" si="4"/>
        <v>0</v>
      </c>
      <c r="AS38" s="103">
        <f t="shared" si="5"/>
        <v>0.78000000000000014</v>
      </c>
      <c r="AT38" s="104">
        <f t="shared" si="6"/>
        <v>17.898552070184785</v>
      </c>
      <c r="AU38" s="56" t="s">
        <v>155</v>
      </c>
      <c r="AV38" s="56">
        <f t="shared" si="19"/>
        <v>0</v>
      </c>
    </row>
    <row r="39" spans="1:48" ht="15" customHeight="1" x14ac:dyDescent="0.45">
      <c r="A39" s="176"/>
      <c r="B39" s="90"/>
      <c r="C39" s="107">
        <v>27</v>
      </c>
      <c r="D39" s="177" t="s">
        <v>219</v>
      </c>
      <c r="E39" s="178" t="s">
        <v>220</v>
      </c>
      <c r="F39" s="174" t="s">
        <v>203</v>
      </c>
      <c r="G39" s="93"/>
      <c r="H39" s="94">
        <f t="shared" si="7"/>
        <v>0</v>
      </c>
      <c r="I39" s="94"/>
      <c r="J39" s="94">
        <f t="shared" si="8"/>
        <v>0</v>
      </c>
      <c r="K39" s="95">
        <f t="shared" si="1"/>
        <v>0</v>
      </c>
      <c r="L39" s="96">
        <f t="shared" si="1"/>
        <v>0</v>
      </c>
      <c r="M39" s="179"/>
      <c r="N39" s="180">
        <f t="shared" si="9"/>
        <v>0</v>
      </c>
      <c r="O39" s="112">
        <v>0.01</v>
      </c>
      <c r="P39" s="112">
        <f t="shared" si="20"/>
        <v>0.22946861628442033</v>
      </c>
      <c r="Q39" s="112">
        <v>0.01</v>
      </c>
      <c r="R39" s="112">
        <f t="shared" si="20"/>
        <v>0.22946861628442033</v>
      </c>
      <c r="S39" s="112">
        <v>0.01</v>
      </c>
      <c r="T39" s="112">
        <f t="shared" si="21"/>
        <v>0.22946861628442033</v>
      </c>
      <c r="U39" s="112">
        <v>0.01</v>
      </c>
      <c r="V39" s="112">
        <f t="shared" si="21"/>
        <v>0.22946861628442033</v>
      </c>
      <c r="W39" s="112">
        <v>0.01</v>
      </c>
      <c r="X39" s="112">
        <f t="shared" si="22"/>
        <v>0.22946861628442033</v>
      </c>
      <c r="Y39" s="112">
        <v>0.01</v>
      </c>
      <c r="Z39" s="112">
        <f t="shared" si="22"/>
        <v>0.22946861628442033</v>
      </c>
      <c r="AA39" s="180"/>
      <c r="AB39" s="180">
        <f t="shared" si="13"/>
        <v>0</v>
      </c>
      <c r="AC39" s="99">
        <f t="shared" si="2"/>
        <v>6.0000000000000005E-2</v>
      </c>
      <c r="AD39" s="100">
        <f t="shared" si="2"/>
        <v>1.3768116977065221</v>
      </c>
      <c r="AE39" s="111">
        <v>0.1</v>
      </c>
      <c r="AF39" s="112">
        <f t="shared" si="14"/>
        <v>2.2946861628442035</v>
      </c>
      <c r="AG39" s="180"/>
      <c r="AH39" s="180">
        <f t="shared" si="15"/>
        <v>0</v>
      </c>
      <c r="AI39" s="180"/>
      <c r="AJ39" s="180">
        <f t="shared" si="16"/>
        <v>0</v>
      </c>
      <c r="AK39" s="112"/>
      <c r="AL39" s="112">
        <f t="shared" si="17"/>
        <v>0</v>
      </c>
      <c r="AM39" s="99">
        <f t="shared" si="3"/>
        <v>0.1</v>
      </c>
      <c r="AN39" s="101">
        <f t="shared" si="3"/>
        <v>2.2946861628442035</v>
      </c>
      <c r="AO39" s="111"/>
      <c r="AP39" s="112"/>
      <c r="AQ39" s="99">
        <f t="shared" si="18"/>
        <v>0</v>
      </c>
      <c r="AR39" s="102">
        <f t="shared" si="4"/>
        <v>0</v>
      </c>
      <c r="AS39" s="103">
        <f t="shared" si="5"/>
        <v>0.16</v>
      </c>
      <c r="AT39" s="104">
        <f t="shared" si="6"/>
        <v>3.6714978605507254</v>
      </c>
      <c r="AU39" s="56" t="s">
        <v>155</v>
      </c>
      <c r="AV39" s="56">
        <f t="shared" si="19"/>
        <v>0</v>
      </c>
    </row>
    <row r="40" spans="1:48" ht="15" customHeight="1" x14ac:dyDescent="0.45">
      <c r="A40" s="73"/>
      <c r="B40" s="90"/>
      <c r="C40" s="114">
        <v>28</v>
      </c>
      <c r="D40" s="172" t="s">
        <v>221</v>
      </c>
      <c r="E40" s="173" t="s">
        <v>222</v>
      </c>
      <c r="F40" s="174" t="s">
        <v>203</v>
      </c>
      <c r="G40" s="93"/>
      <c r="H40" s="94">
        <f t="shared" si="7"/>
        <v>0</v>
      </c>
      <c r="I40" s="94"/>
      <c r="J40" s="94">
        <f t="shared" si="8"/>
        <v>0</v>
      </c>
      <c r="K40" s="95">
        <f t="shared" si="1"/>
        <v>0</v>
      </c>
      <c r="L40" s="96">
        <f t="shared" si="1"/>
        <v>0</v>
      </c>
      <c r="M40" s="111"/>
      <c r="N40" s="112">
        <f t="shared" si="9"/>
        <v>0</v>
      </c>
      <c r="O40" s="112">
        <v>0.01</v>
      </c>
      <c r="P40" s="112">
        <f t="shared" si="20"/>
        <v>0.22946861628442033</v>
      </c>
      <c r="Q40" s="112">
        <v>0.01</v>
      </c>
      <c r="R40" s="112">
        <f t="shared" si="20"/>
        <v>0.22946861628442033</v>
      </c>
      <c r="S40" s="112">
        <v>0.01</v>
      </c>
      <c r="T40" s="112">
        <f t="shared" si="21"/>
        <v>0.22946861628442033</v>
      </c>
      <c r="U40" s="112">
        <v>0.01</v>
      </c>
      <c r="V40" s="112">
        <f t="shared" si="21"/>
        <v>0.22946861628442033</v>
      </c>
      <c r="W40" s="112">
        <v>0.01</v>
      </c>
      <c r="X40" s="112">
        <f t="shared" si="22"/>
        <v>0.22946861628442033</v>
      </c>
      <c r="Y40" s="112">
        <v>0.01</v>
      </c>
      <c r="Z40" s="112">
        <f t="shared" si="22"/>
        <v>0.22946861628442033</v>
      </c>
      <c r="AA40" s="112"/>
      <c r="AB40" s="112">
        <f t="shared" si="13"/>
        <v>0</v>
      </c>
      <c r="AC40" s="99">
        <f t="shared" si="2"/>
        <v>6.0000000000000005E-2</v>
      </c>
      <c r="AD40" s="100">
        <f t="shared" si="2"/>
        <v>1.3768116977065221</v>
      </c>
      <c r="AE40" s="111"/>
      <c r="AF40" s="112">
        <f t="shared" si="14"/>
        <v>0</v>
      </c>
      <c r="AG40" s="112"/>
      <c r="AH40" s="112">
        <f t="shared" si="15"/>
        <v>0</v>
      </c>
      <c r="AI40" s="112"/>
      <c r="AJ40" s="112">
        <f t="shared" si="16"/>
        <v>0</v>
      </c>
      <c r="AK40" s="112"/>
      <c r="AL40" s="112">
        <f t="shared" si="17"/>
        <v>0</v>
      </c>
      <c r="AM40" s="99">
        <f t="shared" si="3"/>
        <v>0</v>
      </c>
      <c r="AN40" s="101">
        <f t="shared" si="3"/>
        <v>0</v>
      </c>
      <c r="AO40" s="111"/>
      <c r="AP40" s="112"/>
      <c r="AQ40" s="99">
        <f t="shared" si="18"/>
        <v>0</v>
      </c>
      <c r="AR40" s="102">
        <f t="shared" si="4"/>
        <v>0</v>
      </c>
      <c r="AS40" s="103">
        <f t="shared" si="5"/>
        <v>6.0000000000000005E-2</v>
      </c>
      <c r="AT40" s="104">
        <f t="shared" si="6"/>
        <v>1.3768116977065221</v>
      </c>
      <c r="AU40" s="56" t="s">
        <v>155</v>
      </c>
      <c r="AV40" s="56">
        <f t="shared" si="19"/>
        <v>0</v>
      </c>
    </row>
    <row r="41" spans="1:48" ht="15" customHeight="1" x14ac:dyDescent="0.45">
      <c r="A41" s="73"/>
      <c r="B41" s="90"/>
      <c r="C41" s="114">
        <v>29</v>
      </c>
      <c r="D41" s="172" t="s">
        <v>223</v>
      </c>
      <c r="E41" s="173" t="s">
        <v>224</v>
      </c>
      <c r="F41" s="174" t="s">
        <v>203</v>
      </c>
      <c r="G41" s="93"/>
      <c r="H41" s="94">
        <f t="shared" si="7"/>
        <v>0</v>
      </c>
      <c r="I41" s="94"/>
      <c r="J41" s="94">
        <f t="shared" si="8"/>
        <v>0</v>
      </c>
      <c r="K41" s="95">
        <f t="shared" si="1"/>
        <v>0</v>
      </c>
      <c r="L41" s="96">
        <f t="shared" si="1"/>
        <v>0</v>
      </c>
      <c r="M41" s="111"/>
      <c r="N41" s="112">
        <f t="shared" si="9"/>
        <v>0</v>
      </c>
      <c r="O41" s="112">
        <v>0.05</v>
      </c>
      <c r="P41" s="112">
        <f t="shared" si="20"/>
        <v>1.1473430814221017</v>
      </c>
      <c r="Q41" s="112">
        <v>0.05</v>
      </c>
      <c r="R41" s="112">
        <f t="shared" si="20"/>
        <v>1.1473430814221017</v>
      </c>
      <c r="S41" s="112">
        <v>0.05</v>
      </c>
      <c r="T41" s="112">
        <f t="shared" si="21"/>
        <v>1.1473430814221017</v>
      </c>
      <c r="U41" s="112">
        <v>0.05</v>
      </c>
      <c r="V41" s="112">
        <f t="shared" si="21"/>
        <v>1.1473430814221017</v>
      </c>
      <c r="W41" s="112">
        <v>0.01</v>
      </c>
      <c r="X41" s="112">
        <f t="shared" si="22"/>
        <v>0.22946861628442033</v>
      </c>
      <c r="Y41" s="112">
        <v>0.01</v>
      </c>
      <c r="Z41" s="112">
        <f t="shared" si="22"/>
        <v>0.22946861628442033</v>
      </c>
      <c r="AA41" s="112"/>
      <c r="AB41" s="112">
        <f t="shared" si="13"/>
        <v>0</v>
      </c>
      <c r="AC41" s="99">
        <f t="shared" si="2"/>
        <v>0.22000000000000003</v>
      </c>
      <c r="AD41" s="100">
        <f t="shared" si="2"/>
        <v>5.0483095582572481</v>
      </c>
      <c r="AE41" s="111"/>
      <c r="AF41" s="112">
        <f t="shared" si="14"/>
        <v>0</v>
      </c>
      <c r="AG41" s="112"/>
      <c r="AH41" s="112">
        <f t="shared" si="15"/>
        <v>0</v>
      </c>
      <c r="AI41" s="112"/>
      <c r="AJ41" s="112">
        <f t="shared" si="16"/>
        <v>0</v>
      </c>
      <c r="AK41" s="112"/>
      <c r="AL41" s="112">
        <f t="shared" si="17"/>
        <v>0</v>
      </c>
      <c r="AM41" s="99">
        <f t="shared" si="3"/>
        <v>0</v>
      </c>
      <c r="AN41" s="101">
        <f t="shared" si="3"/>
        <v>0</v>
      </c>
      <c r="AO41" s="111"/>
      <c r="AP41" s="112"/>
      <c r="AQ41" s="99">
        <f t="shared" si="18"/>
        <v>0</v>
      </c>
      <c r="AR41" s="102">
        <f t="shared" si="4"/>
        <v>0</v>
      </c>
      <c r="AS41" s="103">
        <f t="shared" si="5"/>
        <v>0.22000000000000003</v>
      </c>
      <c r="AT41" s="104">
        <f t="shared" si="6"/>
        <v>5.0483095582572481</v>
      </c>
      <c r="AU41" s="56" t="s">
        <v>155</v>
      </c>
      <c r="AV41" s="56">
        <f t="shared" si="19"/>
        <v>0</v>
      </c>
    </row>
    <row r="42" spans="1:48" ht="15" customHeight="1" x14ac:dyDescent="0.45">
      <c r="A42" s="73"/>
      <c r="B42" s="90"/>
      <c r="C42" s="107">
        <v>30</v>
      </c>
      <c r="D42" s="172" t="s">
        <v>225</v>
      </c>
      <c r="E42" s="173" t="s">
        <v>226</v>
      </c>
      <c r="F42" s="174" t="s">
        <v>227</v>
      </c>
      <c r="G42" s="93"/>
      <c r="H42" s="94">
        <f t="shared" si="7"/>
        <v>0</v>
      </c>
      <c r="I42" s="94">
        <v>0.01</v>
      </c>
      <c r="J42" s="94">
        <f t="shared" si="8"/>
        <v>0.56035000000000001</v>
      </c>
      <c r="K42" s="95">
        <f t="shared" si="1"/>
        <v>0.01</v>
      </c>
      <c r="L42" s="96">
        <f t="shared" si="1"/>
        <v>0.56035000000000001</v>
      </c>
      <c r="M42" s="111"/>
      <c r="N42" s="112">
        <f t="shared" si="9"/>
        <v>0</v>
      </c>
      <c r="O42" s="112"/>
      <c r="P42" s="112">
        <f t="shared" si="20"/>
        <v>0</v>
      </c>
      <c r="Q42" s="112"/>
      <c r="R42" s="112">
        <f t="shared" si="20"/>
        <v>0</v>
      </c>
      <c r="S42" s="112"/>
      <c r="T42" s="112">
        <f t="shared" si="21"/>
        <v>0</v>
      </c>
      <c r="U42" s="112"/>
      <c r="V42" s="112">
        <f t="shared" si="21"/>
        <v>0</v>
      </c>
      <c r="W42" s="112"/>
      <c r="X42" s="112">
        <f t="shared" si="22"/>
        <v>0</v>
      </c>
      <c r="Y42" s="112"/>
      <c r="Z42" s="112">
        <f t="shared" si="22"/>
        <v>0</v>
      </c>
      <c r="AA42" s="112"/>
      <c r="AB42" s="112">
        <f t="shared" si="13"/>
        <v>0</v>
      </c>
      <c r="AC42" s="99">
        <f t="shared" si="2"/>
        <v>0</v>
      </c>
      <c r="AD42" s="100">
        <f t="shared" si="2"/>
        <v>0</v>
      </c>
      <c r="AE42" s="111">
        <v>0.05</v>
      </c>
      <c r="AF42" s="112">
        <f t="shared" si="14"/>
        <v>1.1473430814221017</v>
      </c>
      <c r="AG42" s="112"/>
      <c r="AH42" s="112">
        <f t="shared" si="15"/>
        <v>0</v>
      </c>
      <c r="AI42" s="112"/>
      <c r="AJ42" s="112">
        <f t="shared" si="16"/>
        <v>0</v>
      </c>
      <c r="AK42" s="112"/>
      <c r="AL42" s="112">
        <f t="shared" si="17"/>
        <v>0</v>
      </c>
      <c r="AM42" s="99">
        <f t="shared" si="3"/>
        <v>0.05</v>
      </c>
      <c r="AN42" s="101">
        <f t="shared" si="3"/>
        <v>1.1473430814221017</v>
      </c>
      <c r="AO42" s="111"/>
      <c r="AP42" s="112"/>
      <c r="AQ42" s="99">
        <f t="shared" si="18"/>
        <v>0</v>
      </c>
      <c r="AR42" s="102">
        <f t="shared" si="4"/>
        <v>0</v>
      </c>
      <c r="AS42" s="103">
        <f t="shared" si="5"/>
        <v>6.0000000000000005E-2</v>
      </c>
      <c r="AT42" s="104">
        <f t="shared" si="6"/>
        <v>1.7076930814221019</v>
      </c>
      <c r="AU42" s="56" t="s">
        <v>155</v>
      </c>
      <c r="AV42" s="56">
        <f t="shared" si="19"/>
        <v>0</v>
      </c>
    </row>
    <row r="43" spans="1:48" ht="15" customHeight="1" x14ac:dyDescent="0.45">
      <c r="A43" s="73"/>
      <c r="B43" s="90"/>
      <c r="C43" s="114">
        <v>31</v>
      </c>
      <c r="D43" s="172" t="s">
        <v>228</v>
      </c>
      <c r="E43" s="173" t="s">
        <v>229</v>
      </c>
      <c r="F43" s="174" t="s">
        <v>227</v>
      </c>
      <c r="G43" s="93">
        <v>0.01</v>
      </c>
      <c r="H43" s="94">
        <f t="shared" si="7"/>
        <v>0.56035000000000001</v>
      </c>
      <c r="I43" s="94">
        <v>0.02</v>
      </c>
      <c r="J43" s="94">
        <f t="shared" si="8"/>
        <v>1.1207</v>
      </c>
      <c r="K43" s="95">
        <f t="shared" si="1"/>
        <v>0.03</v>
      </c>
      <c r="L43" s="96">
        <f t="shared" si="1"/>
        <v>1.6810499999999999</v>
      </c>
      <c r="M43" s="111"/>
      <c r="N43" s="112">
        <f t="shared" si="9"/>
        <v>0</v>
      </c>
      <c r="O43" s="112"/>
      <c r="P43" s="112">
        <f t="shared" si="20"/>
        <v>0</v>
      </c>
      <c r="Q43" s="112"/>
      <c r="R43" s="112">
        <f t="shared" si="20"/>
        <v>0</v>
      </c>
      <c r="S43" s="112"/>
      <c r="T43" s="112">
        <f t="shared" si="21"/>
        <v>0</v>
      </c>
      <c r="U43" s="112"/>
      <c r="V43" s="112">
        <f t="shared" si="21"/>
        <v>0</v>
      </c>
      <c r="W43" s="112"/>
      <c r="X43" s="112">
        <f t="shared" si="22"/>
        <v>0</v>
      </c>
      <c r="Y43" s="112"/>
      <c r="Z43" s="112">
        <f t="shared" si="22"/>
        <v>0</v>
      </c>
      <c r="AA43" s="112"/>
      <c r="AB43" s="112">
        <f t="shared" si="13"/>
        <v>0</v>
      </c>
      <c r="AC43" s="99">
        <f t="shared" si="2"/>
        <v>0</v>
      </c>
      <c r="AD43" s="100">
        <f t="shared" si="2"/>
        <v>0</v>
      </c>
      <c r="AE43" s="111">
        <v>0.1</v>
      </c>
      <c r="AF43" s="112">
        <f t="shared" si="14"/>
        <v>2.2946861628442035</v>
      </c>
      <c r="AG43" s="112">
        <v>0.1</v>
      </c>
      <c r="AH43" s="112">
        <f t="shared" si="15"/>
        <v>2.2946861628442035</v>
      </c>
      <c r="AI43" s="112"/>
      <c r="AJ43" s="112">
        <f t="shared" si="16"/>
        <v>0</v>
      </c>
      <c r="AK43" s="112"/>
      <c r="AL43" s="112">
        <f t="shared" si="17"/>
        <v>0</v>
      </c>
      <c r="AM43" s="99">
        <f t="shared" si="3"/>
        <v>0.2</v>
      </c>
      <c r="AN43" s="101">
        <f t="shared" si="3"/>
        <v>4.5893723256884069</v>
      </c>
      <c r="AO43" s="111"/>
      <c r="AP43" s="112"/>
      <c r="AQ43" s="99">
        <f t="shared" si="18"/>
        <v>0</v>
      </c>
      <c r="AR43" s="102">
        <f t="shared" si="4"/>
        <v>0</v>
      </c>
      <c r="AS43" s="103">
        <f t="shared" si="5"/>
        <v>0.23</v>
      </c>
      <c r="AT43" s="104">
        <f t="shared" si="6"/>
        <v>6.2704223256884069</v>
      </c>
      <c r="AU43" s="56" t="s">
        <v>155</v>
      </c>
      <c r="AV43" s="56">
        <f t="shared" si="19"/>
        <v>0</v>
      </c>
    </row>
    <row r="44" spans="1:48" ht="15" customHeight="1" x14ac:dyDescent="0.45">
      <c r="A44" s="73"/>
      <c r="B44" s="90"/>
      <c r="C44" s="107">
        <v>32</v>
      </c>
      <c r="D44" s="172" t="s">
        <v>230</v>
      </c>
      <c r="E44" s="173" t="s">
        <v>231</v>
      </c>
      <c r="F44" s="110" t="s">
        <v>187</v>
      </c>
      <c r="G44" s="93"/>
      <c r="H44" s="94">
        <f t="shared" si="7"/>
        <v>0</v>
      </c>
      <c r="I44" s="94">
        <v>0.02</v>
      </c>
      <c r="J44" s="94">
        <f t="shared" si="8"/>
        <v>1.1207</v>
      </c>
      <c r="K44" s="95">
        <f t="shared" si="1"/>
        <v>0.02</v>
      </c>
      <c r="L44" s="96">
        <f t="shared" si="1"/>
        <v>1.1207</v>
      </c>
      <c r="M44" s="111"/>
      <c r="N44" s="112">
        <f t="shared" si="9"/>
        <v>0</v>
      </c>
      <c r="O44" s="112"/>
      <c r="P44" s="112">
        <f t="shared" si="20"/>
        <v>0</v>
      </c>
      <c r="Q44" s="112"/>
      <c r="R44" s="112">
        <f t="shared" si="20"/>
        <v>0</v>
      </c>
      <c r="S44" s="112"/>
      <c r="T44" s="112">
        <f t="shared" si="21"/>
        <v>0</v>
      </c>
      <c r="U44" s="112"/>
      <c r="V44" s="112">
        <f t="shared" si="21"/>
        <v>0</v>
      </c>
      <c r="W44" s="112"/>
      <c r="X44" s="112">
        <f t="shared" si="22"/>
        <v>0</v>
      </c>
      <c r="Y44" s="112"/>
      <c r="Z44" s="112">
        <f t="shared" si="22"/>
        <v>0</v>
      </c>
      <c r="AA44" s="112"/>
      <c r="AB44" s="112">
        <f t="shared" si="13"/>
        <v>0</v>
      </c>
      <c r="AC44" s="99">
        <f t="shared" si="2"/>
        <v>0</v>
      </c>
      <c r="AD44" s="100">
        <f t="shared" si="2"/>
        <v>0</v>
      </c>
      <c r="AE44" s="111">
        <v>0.03</v>
      </c>
      <c r="AF44" s="112">
        <f t="shared" si="14"/>
        <v>0.68840584885326095</v>
      </c>
      <c r="AG44" s="112">
        <v>0.1</v>
      </c>
      <c r="AH44" s="112">
        <f t="shared" si="15"/>
        <v>2.2946861628442035</v>
      </c>
      <c r="AI44" s="112"/>
      <c r="AJ44" s="112">
        <f t="shared" si="16"/>
        <v>0</v>
      </c>
      <c r="AK44" s="112"/>
      <c r="AL44" s="112">
        <f t="shared" si="17"/>
        <v>0</v>
      </c>
      <c r="AM44" s="99">
        <f t="shared" si="3"/>
        <v>0.13</v>
      </c>
      <c r="AN44" s="101">
        <f t="shared" si="3"/>
        <v>2.9830920116974644</v>
      </c>
      <c r="AO44" s="111"/>
      <c r="AP44" s="112"/>
      <c r="AQ44" s="99">
        <f t="shared" si="18"/>
        <v>0</v>
      </c>
      <c r="AR44" s="102">
        <f t="shared" si="4"/>
        <v>0</v>
      </c>
      <c r="AS44" s="103">
        <f t="shared" si="5"/>
        <v>0.15</v>
      </c>
      <c r="AT44" s="104">
        <f t="shared" si="6"/>
        <v>4.1037920116974647</v>
      </c>
      <c r="AU44" s="56" t="s">
        <v>155</v>
      </c>
      <c r="AV44" s="56">
        <f t="shared" si="19"/>
        <v>0</v>
      </c>
    </row>
    <row r="45" spans="1:48" ht="15" customHeight="1" x14ac:dyDescent="0.45">
      <c r="A45" s="73"/>
      <c r="B45" s="90"/>
      <c r="C45" s="107">
        <v>33</v>
      </c>
      <c r="D45" s="172" t="s">
        <v>232</v>
      </c>
      <c r="E45" s="173" t="s">
        <v>233</v>
      </c>
      <c r="F45" s="174" t="s">
        <v>203</v>
      </c>
      <c r="G45" s="93"/>
      <c r="H45" s="94">
        <f t="shared" si="7"/>
        <v>0</v>
      </c>
      <c r="I45" s="94"/>
      <c r="J45" s="94">
        <f t="shared" si="8"/>
        <v>0</v>
      </c>
      <c r="K45" s="95">
        <f t="shared" si="1"/>
        <v>0</v>
      </c>
      <c r="L45" s="96">
        <f t="shared" si="1"/>
        <v>0</v>
      </c>
      <c r="M45" s="111"/>
      <c r="N45" s="112">
        <f t="shared" si="9"/>
        <v>0</v>
      </c>
      <c r="O45" s="112"/>
      <c r="P45" s="112">
        <f t="shared" si="20"/>
        <v>0</v>
      </c>
      <c r="Q45" s="112"/>
      <c r="R45" s="112">
        <f t="shared" si="20"/>
        <v>0</v>
      </c>
      <c r="S45" s="112"/>
      <c r="T45" s="112">
        <f t="shared" si="21"/>
        <v>0</v>
      </c>
      <c r="U45" s="112"/>
      <c r="V45" s="112">
        <f t="shared" si="21"/>
        <v>0</v>
      </c>
      <c r="W45" s="112"/>
      <c r="X45" s="112">
        <f t="shared" si="22"/>
        <v>0</v>
      </c>
      <c r="Y45" s="112"/>
      <c r="Z45" s="112">
        <f t="shared" si="22"/>
        <v>0</v>
      </c>
      <c r="AA45" s="112"/>
      <c r="AB45" s="112">
        <f t="shared" si="13"/>
        <v>0</v>
      </c>
      <c r="AC45" s="99">
        <f t="shared" si="2"/>
        <v>0</v>
      </c>
      <c r="AD45" s="100">
        <f t="shared" si="2"/>
        <v>0</v>
      </c>
      <c r="AE45" s="111">
        <v>0.22</v>
      </c>
      <c r="AF45" s="112">
        <f t="shared" si="14"/>
        <v>5.0483095582572473</v>
      </c>
      <c r="AG45" s="112"/>
      <c r="AH45" s="112">
        <f t="shared" si="15"/>
        <v>0</v>
      </c>
      <c r="AI45" s="112"/>
      <c r="AJ45" s="112">
        <f t="shared" si="16"/>
        <v>0</v>
      </c>
      <c r="AK45" s="112"/>
      <c r="AL45" s="112">
        <f t="shared" si="17"/>
        <v>0</v>
      </c>
      <c r="AM45" s="99">
        <f t="shared" si="3"/>
        <v>0.22</v>
      </c>
      <c r="AN45" s="101">
        <f t="shared" si="3"/>
        <v>5.0483095582572473</v>
      </c>
      <c r="AO45" s="111"/>
      <c r="AP45" s="112"/>
      <c r="AQ45" s="99">
        <f t="shared" si="18"/>
        <v>0</v>
      </c>
      <c r="AR45" s="102">
        <f t="shared" si="4"/>
        <v>0</v>
      </c>
      <c r="AS45" s="103">
        <f t="shared" si="5"/>
        <v>0.22</v>
      </c>
      <c r="AT45" s="104">
        <f t="shared" si="6"/>
        <v>5.0483095582572473</v>
      </c>
      <c r="AU45" s="56" t="s">
        <v>155</v>
      </c>
      <c r="AV45" s="56">
        <f t="shared" si="19"/>
        <v>0</v>
      </c>
    </row>
    <row r="46" spans="1:48" ht="15" customHeight="1" x14ac:dyDescent="0.45">
      <c r="A46" s="73"/>
      <c r="B46" s="90"/>
      <c r="C46" s="114">
        <v>34</v>
      </c>
      <c r="D46" s="172" t="s">
        <v>234</v>
      </c>
      <c r="E46" s="173" t="s">
        <v>235</v>
      </c>
      <c r="F46" s="110" t="s">
        <v>162</v>
      </c>
      <c r="G46" s="93"/>
      <c r="H46" s="94">
        <f t="shared" si="7"/>
        <v>0</v>
      </c>
      <c r="I46" s="94">
        <v>0.01</v>
      </c>
      <c r="J46" s="94">
        <f t="shared" si="8"/>
        <v>0.56035000000000001</v>
      </c>
      <c r="K46" s="95">
        <f t="shared" si="1"/>
        <v>0.01</v>
      </c>
      <c r="L46" s="96">
        <f t="shared" si="1"/>
        <v>0.56035000000000001</v>
      </c>
      <c r="M46" s="111"/>
      <c r="N46" s="112">
        <f t="shared" si="9"/>
        <v>0</v>
      </c>
      <c r="O46" s="112">
        <v>0.01</v>
      </c>
      <c r="P46" s="112">
        <f t="shared" ref="P46:R61" si="23">P$12/O$12*O46</f>
        <v>0.22946861628442033</v>
      </c>
      <c r="Q46" s="112">
        <v>0.01</v>
      </c>
      <c r="R46" s="112">
        <f t="shared" si="23"/>
        <v>0.22946861628442033</v>
      </c>
      <c r="S46" s="112">
        <v>0.01</v>
      </c>
      <c r="T46" s="112">
        <f t="shared" ref="T46:V61" si="24">T$12/S$12*S46</f>
        <v>0.22946861628442033</v>
      </c>
      <c r="U46" s="112">
        <v>0.01</v>
      </c>
      <c r="V46" s="112">
        <f t="shared" si="24"/>
        <v>0.22946861628442033</v>
      </c>
      <c r="W46" s="112">
        <v>0.01</v>
      </c>
      <c r="X46" s="112">
        <f t="shared" ref="X46:Z61" si="25">X$12/W$12*W46</f>
        <v>0.22946861628442033</v>
      </c>
      <c r="Y46" s="112">
        <v>0.01</v>
      </c>
      <c r="Z46" s="112">
        <f t="shared" si="25"/>
        <v>0.22946861628442033</v>
      </c>
      <c r="AA46" s="112"/>
      <c r="AB46" s="112">
        <f t="shared" si="13"/>
        <v>0</v>
      </c>
      <c r="AC46" s="99">
        <f t="shared" si="2"/>
        <v>6.0000000000000005E-2</v>
      </c>
      <c r="AD46" s="100">
        <f t="shared" si="2"/>
        <v>1.3768116977065221</v>
      </c>
      <c r="AE46" s="111"/>
      <c r="AF46" s="112">
        <f t="shared" si="14"/>
        <v>0</v>
      </c>
      <c r="AG46" s="112"/>
      <c r="AH46" s="112">
        <f t="shared" si="15"/>
        <v>0</v>
      </c>
      <c r="AI46" s="112"/>
      <c r="AJ46" s="112">
        <f t="shared" si="16"/>
        <v>0</v>
      </c>
      <c r="AK46" s="112"/>
      <c r="AL46" s="112">
        <f t="shared" si="17"/>
        <v>0</v>
      </c>
      <c r="AM46" s="99">
        <f t="shared" si="3"/>
        <v>0</v>
      </c>
      <c r="AN46" s="101">
        <f t="shared" si="3"/>
        <v>0</v>
      </c>
      <c r="AO46" s="111"/>
      <c r="AP46" s="112"/>
      <c r="AQ46" s="99">
        <f t="shared" si="18"/>
        <v>0</v>
      </c>
      <c r="AR46" s="102">
        <f t="shared" si="4"/>
        <v>0</v>
      </c>
      <c r="AS46" s="103">
        <f t="shared" si="5"/>
        <v>7.0000000000000007E-2</v>
      </c>
      <c r="AT46" s="104">
        <f t="shared" si="6"/>
        <v>1.937161697706522</v>
      </c>
      <c r="AU46" s="56" t="s">
        <v>155</v>
      </c>
      <c r="AV46" s="56">
        <f t="shared" si="19"/>
        <v>0</v>
      </c>
    </row>
    <row r="47" spans="1:48" ht="15" customHeight="1" x14ac:dyDescent="0.45">
      <c r="A47" s="73"/>
      <c r="B47" s="90"/>
      <c r="C47" s="114">
        <v>35</v>
      </c>
      <c r="D47" s="172" t="s">
        <v>236</v>
      </c>
      <c r="E47" s="173" t="s">
        <v>237</v>
      </c>
      <c r="F47" s="174" t="s">
        <v>203</v>
      </c>
      <c r="G47" s="93"/>
      <c r="H47" s="94">
        <f t="shared" si="7"/>
        <v>0</v>
      </c>
      <c r="I47" s="94"/>
      <c r="J47" s="94">
        <f t="shared" si="8"/>
        <v>0</v>
      </c>
      <c r="K47" s="95">
        <f t="shared" si="1"/>
        <v>0</v>
      </c>
      <c r="L47" s="96">
        <f t="shared" si="1"/>
        <v>0</v>
      </c>
      <c r="M47" s="111"/>
      <c r="N47" s="112">
        <f t="shared" si="9"/>
        <v>0</v>
      </c>
      <c r="O47" s="112"/>
      <c r="P47" s="112">
        <f t="shared" si="23"/>
        <v>0</v>
      </c>
      <c r="Q47" s="112"/>
      <c r="R47" s="112">
        <f t="shared" si="23"/>
        <v>0</v>
      </c>
      <c r="S47" s="112"/>
      <c r="T47" s="112">
        <f t="shared" si="24"/>
        <v>0</v>
      </c>
      <c r="U47" s="112"/>
      <c r="V47" s="112">
        <f t="shared" si="24"/>
        <v>0</v>
      </c>
      <c r="W47" s="112"/>
      <c r="X47" s="112">
        <f t="shared" si="25"/>
        <v>0</v>
      </c>
      <c r="Y47" s="112"/>
      <c r="Z47" s="112">
        <f t="shared" si="25"/>
        <v>0</v>
      </c>
      <c r="AA47" s="112">
        <v>0.02</v>
      </c>
      <c r="AB47" s="112">
        <f t="shared" si="13"/>
        <v>0.45893723256884067</v>
      </c>
      <c r="AC47" s="99">
        <f t="shared" si="2"/>
        <v>0.02</v>
      </c>
      <c r="AD47" s="100">
        <f t="shared" si="2"/>
        <v>0.45893723256884067</v>
      </c>
      <c r="AE47" s="111"/>
      <c r="AF47" s="112">
        <f t="shared" si="14"/>
        <v>0</v>
      </c>
      <c r="AG47" s="112"/>
      <c r="AH47" s="112">
        <f t="shared" si="15"/>
        <v>0</v>
      </c>
      <c r="AI47" s="112"/>
      <c r="AJ47" s="112">
        <f t="shared" si="16"/>
        <v>0</v>
      </c>
      <c r="AK47" s="112"/>
      <c r="AL47" s="112">
        <f t="shared" si="17"/>
        <v>0</v>
      </c>
      <c r="AM47" s="99">
        <f t="shared" si="3"/>
        <v>0</v>
      </c>
      <c r="AN47" s="101">
        <f t="shared" si="3"/>
        <v>0</v>
      </c>
      <c r="AO47" s="111"/>
      <c r="AP47" s="112"/>
      <c r="AQ47" s="99">
        <f t="shared" si="18"/>
        <v>0</v>
      </c>
      <c r="AR47" s="102">
        <f t="shared" si="4"/>
        <v>0</v>
      </c>
      <c r="AS47" s="103">
        <f t="shared" si="5"/>
        <v>0.02</v>
      </c>
      <c r="AT47" s="104">
        <f t="shared" si="6"/>
        <v>0.45893723256884067</v>
      </c>
      <c r="AU47" s="56" t="s">
        <v>155</v>
      </c>
      <c r="AV47" s="56">
        <f t="shared" si="19"/>
        <v>0</v>
      </c>
    </row>
    <row r="48" spans="1:48" ht="15" customHeight="1" x14ac:dyDescent="0.45">
      <c r="A48" s="73"/>
      <c r="B48" s="90"/>
      <c r="C48" s="107">
        <v>36</v>
      </c>
      <c r="D48" s="172" t="s">
        <v>238</v>
      </c>
      <c r="E48" s="173" t="s">
        <v>239</v>
      </c>
      <c r="F48" s="174" t="s">
        <v>203</v>
      </c>
      <c r="G48" s="93"/>
      <c r="H48" s="94">
        <f t="shared" si="7"/>
        <v>0</v>
      </c>
      <c r="I48" s="94"/>
      <c r="J48" s="94">
        <f t="shared" si="8"/>
        <v>0</v>
      </c>
      <c r="K48" s="95">
        <f t="shared" si="1"/>
        <v>0</v>
      </c>
      <c r="L48" s="96">
        <f t="shared" si="1"/>
        <v>0</v>
      </c>
      <c r="M48" s="111"/>
      <c r="N48" s="112">
        <f t="shared" si="9"/>
        <v>0</v>
      </c>
      <c r="O48" s="112"/>
      <c r="P48" s="112">
        <f t="shared" si="23"/>
        <v>0</v>
      </c>
      <c r="Q48" s="112"/>
      <c r="R48" s="112">
        <f t="shared" si="23"/>
        <v>0</v>
      </c>
      <c r="S48" s="112"/>
      <c r="T48" s="112">
        <f t="shared" si="24"/>
        <v>0</v>
      </c>
      <c r="U48" s="112"/>
      <c r="V48" s="112">
        <f t="shared" si="24"/>
        <v>0</v>
      </c>
      <c r="W48" s="112"/>
      <c r="X48" s="112">
        <f t="shared" si="25"/>
        <v>0</v>
      </c>
      <c r="Y48" s="112"/>
      <c r="Z48" s="112">
        <f t="shared" si="25"/>
        <v>0</v>
      </c>
      <c r="AA48" s="112">
        <v>0.02</v>
      </c>
      <c r="AB48" s="112">
        <f t="shared" si="13"/>
        <v>0.45893723256884067</v>
      </c>
      <c r="AC48" s="99">
        <f t="shared" si="2"/>
        <v>0.02</v>
      </c>
      <c r="AD48" s="100">
        <f t="shared" si="2"/>
        <v>0.45893723256884067</v>
      </c>
      <c r="AE48" s="111"/>
      <c r="AF48" s="112">
        <f t="shared" si="14"/>
        <v>0</v>
      </c>
      <c r="AG48" s="112"/>
      <c r="AH48" s="112">
        <f t="shared" si="15"/>
        <v>0</v>
      </c>
      <c r="AI48" s="112"/>
      <c r="AJ48" s="112">
        <f t="shared" si="16"/>
        <v>0</v>
      </c>
      <c r="AK48" s="112"/>
      <c r="AL48" s="112">
        <f t="shared" si="17"/>
        <v>0</v>
      </c>
      <c r="AM48" s="99">
        <f t="shared" si="3"/>
        <v>0</v>
      </c>
      <c r="AN48" s="101">
        <f t="shared" si="3"/>
        <v>0</v>
      </c>
      <c r="AO48" s="111"/>
      <c r="AP48" s="112"/>
      <c r="AQ48" s="99">
        <f t="shared" si="18"/>
        <v>0</v>
      </c>
      <c r="AR48" s="102">
        <f t="shared" si="4"/>
        <v>0</v>
      </c>
      <c r="AS48" s="103">
        <f t="shared" si="5"/>
        <v>0.02</v>
      </c>
      <c r="AT48" s="104">
        <f t="shared" si="6"/>
        <v>0.45893723256884067</v>
      </c>
      <c r="AU48" s="56" t="s">
        <v>156</v>
      </c>
      <c r="AV48" s="56">
        <f t="shared" si="19"/>
        <v>0.45893723256884067</v>
      </c>
    </row>
    <row r="49" spans="1:48" ht="15" customHeight="1" x14ac:dyDescent="0.45">
      <c r="A49" s="73"/>
      <c r="B49" s="90"/>
      <c r="C49" s="114">
        <v>37</v>
      </c>
      <c r="D49" s="172" t="s">
        <v>240</v>
      </c>
      <c r="E49" s="173" t="s">
        <v>241</v>
      </c>
      <c r="F49" s="174" t="s">
        <v>203</v>
      </c>
      <c r="G49" s="93"/>
      <c r="H49" s="94">
        <f t="shared" si="7"/>
        <v>0</v>
      </c>
      <c r="I49" s="94">
        <v>0.01</v>
      </c>
      <c r="J49" s="94">
        <f t="shared" si="8"/>
        <v>0.56035000000000001</v>
      </c>
      <c r="K49" s="95">
        <f t="shared" si="1"/>
        <v>0.01</v>
      </c>
      <c r="L49" s="96">
        <f t="shared" si="1"/>
        <v>0.56035000000000001</v>
      </c>
      <c r="M49" s="111"/>
      <c r="N49" s="112">
        <f t="shared" si="9"/>
        <v>0</v>
      </c>
      <c r="O49" s="112"/>
      <c r="P49" s="112">
        <f t="shared" si="23"/>
        <v>0</v>
      </c>
      <c r="Q49" s="112"/>
      <c r="R49" s="112">
        <f t="shared" si="23"/>
        <v>0</v>
      </c>
      <c r="S49" s="112"/>
      <c r="T49" s="112">
        <f t="shared" si="24"/>
        <v>0</v>
      </c>
      <c r="U49" s="112"/>
      <c r="V49" s="112">
        <f t="shared" si="24"/>
        <v>0</v>
      </c>
      <c r="W49" s="112"/>
      <c r="X49" s="112">
        <f t="shared" si="25"/>
        <v>0</v>
      </c>
      <c r="Y49" s="112"/>
      <c r="Z49" s="112">
        <f t="shared" si="25"/>
        <v>0</v>
      </c>
      <c r="AA49" s="112"/>
      <c r="AB49" s="112">
        <f t="shared" si="13"/>
        <v>0</v>
      </c>
      <c r="AC49" s="99">
        <f t="shared" si="2"/>
        <v>0</v>
      </c>
      <c r="AD49" s="100">
        <f t="shared" si="2"/>
        <v>0</v>
      </c>
      <c r="AE49" s="111">
        <v>0.05</v>
      </c>
      <c r="AF49" s="112">
        <f t="shared" si="14"/>
        <v>1.1473430814221017</v>
      </c>
      <c r="AG49" s="112"/>
      <c r="AH49" s="112">
        <f t="shared" si="15"/>
        <v>0</v>
      </c>
      <c r="AI49" s="112"/>
      <c r="AJ49" s="112">
        <f t="shared" si="16"/>
        <v>0</v>
      </c>
      <c r="AK49" s="112"/>
      <c r="AL49" s="112">
        <f t="shared" si="17"/>
        <v>0</v>
      </c>
      <c r="AM49" s="99">
        <f t="shared" si="3"/>
        <v>0.05</v>
      </c>
      <c r="AN49" s="101">
        <f t="shared" si="3"/>
        <v>1.1473430814221017</v>
      </c>
      <c r="AO49" s="111"/>
      <c r="AP49" s="112"/>
      <c r="AQ49" s="99">
        <f t="shared" si="18"/>
        <v>0</v>
      </c>
      <c r="AR49" s="102">
        <f t="shared" si="4"/>
        <v>0</v>
      </c>
      <c r="AS49" s="103">
        <f t="shared" si="5"/>
        <v>6.0000000000000005E-2</v>
      </c>
      <c r="AT49" s="104">
        <f t="shared" si="6"/>
        <v>1.7076930814221019</v>
      </c>
      <c r="AU49" s="56" t="s">
        <v>155</v>
      </c>
      <c r="AV49" s="56">
        <f t="shared" si="19"/>
        <v>0</v>
      </c>
    </row>
    <row r="50" spans="1:48" ht="15" customHeight="1" x14ac:dyDescent="0.45">
      <c r="A50" s="73"/>
      <c r="B50" s="90"/>
      <c r="C50" s="114">
        <v>38</v>
      </c>
      <c r="D50" s="172" t="s">
        <v>242</v>
      </c>
      <c r="E50" s="173" t="s">
        <v>243</v>
      </c>
      <c r="F50" s="110" t="s">
        <v>162</v>
      </c>
      <c r="G50" s="93">
        <v>0.01</v>
      </c>
      <c r="H50" s="94">
        <f t="shared" si="7"/>
        <v>0.56035000000000001</v>
      </c>
      <c r="I50" s="94"/>
      <c r="J50" s="94">
        <f t="shared" si="8"/>
        <v>0</v>
      </c>
      <c r="K50" s="95">
        <f t="shared" si="1"/>
        <v>0.01</v>
      </c>
      <c r="L50" s="96">
        <f t="shared" si="1"/>
        <v>0.56035000000000001</v>
      </c>
      <c r="M50" s="111">
        <v>0.01</v>
      </c>
      <c r="N50" s="112">
        <f t="shared" si="9"/>
        <v>0.22946861628442033</v>
      </c>
      <c r="O50" s="112"/>
      <c r="P50" s="112">
        <f t="shared" si="23"/>
        <v>0</v>
      </c>
      <c r="Q50" s="112"/>
      <c r="R50" s="112">
        <f t="shared" si="23"/>
        <v>0</v>
      </c>
      <c r="S50" s="112"/>
      <c r="T50" s="112">
        <f t="shared" si="24"/>
        <v>0</v>
      </c>
      <c r="U50" s="112"/>
      <c r="V50" s="112">
        <f t="shared" si="24"/>
        <v>0</v>
      </c>
      <c r="W50" s="112"/>
      <c r="X50" s="112">
        <f t="shared" si="25"/>
        <v>0</v>
      </c>
      <c r="Y50" s="112"/>
      <c r="Z50" s="112">
        <f t="shared" si="25"/>
        <v>0</v>
      </c>
      <c r="AA50" s="112"/>
      <c r="AB50" s="112">
        <f t="shared" si="13"/>
        <v>0</v>
      </c>
      <c r="AC50" s="99">
        <f t="shared" si="2"/>
        <v>0.01</v>
      </c>
      <c r="AD50" s="100">
        <f t="shared" si="2"/>
        <v>0.22946861628442033</v>
      </c>
      <c r="AE50" s="111"/>
      <c r="AF50" s="112">
        <f t="shared" si="14"/>
        <v>0</v>
      </c>
      <c r="AG50" s="112"/>
      <c r="AH50" s="112">
        <f t="shared" si="15"/>
        <v>0</v>
      </c>
      <c r="AI50" s="112"/>
      <c r="AJ50" s="112">
        <f t="shared" si="16"/>
        <v>0</v>
      </c>
      <c r="AK50" s="112"/>
      <c r="AL50" s="112">
        <f t="shared" si="17"/>
        <v>0</v>
      </c>
      <c r="AM50" s="99">
        <f t="shared" si="3"/>
        <v>0</v>
      </c>
      <c r="AN50" s="101">
        <f t="shared" si="3"/>
        <v>0</v>
      </c>
      <c r="AO50" s="111"/>
      <c r="AP50" s="112"/>
      <c r="AQ50" s="99">
        <f t="shared" si="18"/>
        <v>0</v>
      </c>
      <c r="AR50" s="102">
        <f t="shared" si="4"/>
        <v>0</v>
      </c>
      <c r="AS50" s="103">
        <f t="shared" si="5"/>
        <v>0.02</v>
      </c>
      <c r="AT50" s="104">
        <f t="shared" si="6"/>
        <v>0.78981861628442029</v>
      </c>
      <c r="AU50" s="56" t="s">
        <v>155</v>
      </c>
      <c r="AV50" s="56">
        <f t="shared" si="19"/>
        <v>0</v>
      </c>
    </row>
    <row r="51" spans="1:48" ht="15" customHeight="1" x14ac:dyDescent="0.45">
      <c r="A51" s="73"/>
      <c r="B51" s="90"/>
      <c r="C51" s="175">
        <v>39</v>
      </c>
      <c r="D51" s="172" t="s">
        <v>244</v>
      </c>
      <c r="E51" s="173" t="s">
        <v>245</v>
      </c>
      <c r="F51" s="110" t="s">
        <v>187</v>
      </c>
      <c r="G51" s="93"/>
      <c r="H51" s="94">
        <f t="shared" si="7"/>
        <v>0</v>
      </c>
      <c r="I51" s="94"/>
      <c r="J51" s="94">
        <f t="shared" si="8"/>
        <v>0</v>
      </c>
      <c r="K51" s="95">
        <f t="shared" si="1"/>
        <v>0</v>
      </c>
      <c r="L51" s="96">
        <f t="shared" si="1"/>
        <v>0</v>
      </c>
      <c r="M51" s="111"/>
      <c r="N51" s="112">
        <f t="shared" si="9"/>
        <v>0</v>
      </c>
      <c r="O51" s="112">
        <v>0.01</v>
      </c>
      <c r="P51" s="112">
        <f t="shared" si="23"/>
        <v>0.22946861628442033</v>
      </c>
      <c r="Q51" s="112">
        <v>0.01</v>
      </c>
      <c r="R51" s="112">
        <f t="shared" si="23"/>
        <v>0.22946861628442033</v>
      </c>
      <c r="S51" s="112">
        <v>0.01</v>
      </c>
      <c r="T51" s="112">
        <f t="shared" si="24"/>
        <v>0.22946861628442033</v>
      </c>
      <c r="U51" s="112">
        <v>0.01</v>
      </c>
      <c r="V51" s="112">
        <f t="shared" si="24"/>
        <v>0.22946861628442033</v>
      </c>
      <c r="W51" s="112">
        <v>0.01</v>
      </c>
      <c r="X51" s="112">
        <f t="shared" si="25"/>
        <v>0.22946861628442033</v>
      </c>
      <c r="Y51" s="112">
        <v>0.01</v>
      </c>
      <c r="Z51" s="112">
        <f t="shared" si="25"/>
        <v>0.22946861628442033</v>
      </c>
      <c r="AA51" s="112">
        <v>0.01</v>
      </c>
      <c r="AB51" s="112">
        <f t="shared" si="13"/>
        <v>0.22946861628442033</v>
      </c>
      <c r="AC51" s="99">
        <f t="shared" si="2"/>
        <v>7.0000000000000007E-2</v>
      </c>
      <c r="AD51" s="100">
        <f t="shared" si="2"/>
        <v>1.6062803139909425</v>
      </c>
      <c r="AE51" s="111">
        <v>0.02</v>
      </c>
      <c r="AF51" s="112">
        <f t="shared" si="14"/>
        <v>0.45893723256884067</v>
      </c>
      <c r="AG51" s="112"/>
      <c r="AH51" s="112">
        <f t="shared" si="15"/>
        <v>0</v>
      </c>
      <c r="AI51" s="112"/>
      <c r="AJ51" s="112">
        <f t="shared" si="16"/>
        <v>0</v>
      </c>
      <c r="AK51" s="112"/>
      <c r="AL51" s="112">
        <f t="shared" si="17"/>
        <v>0</v>
      </c>
      <c r="AM51" s="99">
        <f t="shared" si="3"/>
        <v>0.02</v>
      </c>
      <c r="AN51" s="101">
        <f t="shared" si="3"/>
        <v>0.45893723256884067</v>
      </c>
      <c r="AO51" s="111"/>
      <c r="AP51" s="112"/>
      <c r="AQ51" s="99">
        <f t="shared" si="18"/>
        <v>0</v>
      </c>
      <c r="AR51" s="102">
        <f t="shared" si="4"/>
        <v>0</v>
      </c>
      <c r="AS51" s="103">
        <f t="shared" si="5"/>
        <v>9.0000000000000011E-2</v>
      </c>
      <c r="AT51" s="104">
        <f t="shared" si="6"/>
        <v>2.0652175465597833</v>
      </c>
      <c r="AU51" s="56" t="s">
        <v>155</v>
      </c>
      <c r="AV51" s="56">
        <f t="shared" si="19"/>
        <v>0</v>
      </c>
    </row>
    <row r="52" spans="1:48" ht="15" customHeight="1" x14ac:dyDescent="0.45">
      <c r="A52" s="73"/>
      <c r="B52" s="106" t="s">
        <v>246</v>
      </c>
      <c r="C52" s="114">
        <v>40</v>
      </c>
      <c r="D52" s="172" t="s">
        <v>247</v>
      </c>
      <c r="E52" s="173" t="s">
        <v>248</v>
      </c>
      <c r="F52" s="110" t="s">
        <v>187</v>
      </c>
      <c r="G52" s="93"/>
      <c r="H52" s="94">
        <f t="shared" si="7"/>
        <v>0</v>
      </c>
      <c r="I52" s="94"/>
      <c r="J52" s="94">
        <f t="shared" si="8"/>
        <v>0</v>
      </c>
      <c r="K52" s="95">
        <f t="shared" si="1"/>
        <v>0</v>
      </c>
      <c r="L52" s="96">
        <f t="shared" si="1"/>
        <v>0</v>
      </c>
      <c r="M52" s="111"/>
      <c r="N52" s="112">
        <f t="shared" si="9"/>
        <v>0</v>
      </c>
      <c r="O52" s="112">
        <v>0.01</v>
      </c>
      <c r="P52" s="112">
        <f t="shared" si="23"/>
        <v>0.22946861628442033</v>
      </c>
      <c r="Q52" s="112">
        <v>0.01</v>
      </c>
      <c r="R52" s="112">
        <f t="shared" si="23"/>
        <v>0.22946861628442033</v>
      </c>
      <c r="S52" s="112">
        <v>0.01</v>
      </c>
      <c r="T52" s="112">
        <f t="shared" si="24"/>
        <v>0.22946861628442033</v>
      </c>
      <c r="U52" s="112">
        <v>0.01</v>
      </c>
      <c r="V52" s="112">
        <f t="shared" si="24"/>
        <v>0.22946861628442033</v>
      </c>
      <c r="W52" s="112">
        <v>0.01</v>
      </c>
      <c r="X52" s="112">
        <f t="shared" si="25"/>
        <v>0.22946861628442033</v>
      </c>
      <c r="Y52" s="112">
        <v>0.01</v>
      </c>
      <c r="Z52" s="112">
        <f t="shared" si="25"/>
        <v>0.22946861628442033</v>
      </c>
      <c r="AA52" s="112"/>
      <c r="AB52" s="112">
        <f t="shared" si="13"/>
        <v>0</v>
      </c>
      <c r="AC52" s="99">
        <f t="shared" si="2"/>
        <v>6.0000000000000005E-2</v>
      </c>
      <c r="AD52" s="100">
        <f t="shared" si="2"/>
        <v>1.3768116977065221</v>
      </c>
      <c r="AE52" s="111"/>
      <c r="AF52" s="112">
        <f t="shared" si="14"/>
        <v>0</v>
      </c>
      <c r="AG52" s="112"/>
      <c r="AH52" s="112">
        <f t="shared" si="15"/>
        <v>0</v>
      </c>
      <c r="AI52" s="112"/>
      <c r="AJ52" s="112">
        <f t="shared" si="16"/>
        <v>0</v>
      </c>
      <c r="AK52" s="112"/>
      <c r="AL52" s="112">
        <f t="shared" si="17"/>
        <v>0</v>
      </c>
      <c r="AM52" s="99">
        <f t="shared" si="3"/>
        <v>0</v>
      </c>
      <c r="AN52" s="101">
        <f t="shared" si="3"/>
        <v>0</v>
      </c>
      <c r="AO52" s="111"/>
      <c r="AP52" s="112"/>
      <c r="AQ52" s="99">
        <f t="shared" si="18"/>
        <v>0</v>
      </c>
      <c r="AR52" s="102">
        <f t="shared" si="4"/>
        <v>0</v>
      </c>
      <c r="AS52" s="103">
        <f t="shared" si="5"/>
        <v>6.0000000000000005E-2</v>
      </c>
      <c r="AT52" s="104">
        <f t="shared" si="6"/>
        <v>1.3768116977065221</v>
      </c>
      <c r="AU52" s="56" t="s">
        <v>155</v>
      </c>
      <c r="AV52" s="56">
        <f t="shared" si="19"/>
        <v>0</v>
      </c>
    </row>
    <row r="53" spans="1:48" ht="15" customHeight="1" x14ac:dyDescent="0.45">
      <c r="A53" s="73"/>
      <c r="B53" s="90"/>
      <c r="C53" s="114">
        <v>41</v>
      </c>
      <c r="D53" s="172" t="s">
        <v>249</v>
      </c>
      <c r="E53" s="173" t="s">
        <v>250</v>
      </c>
      <c r="F53" s="174" t="s">
        <v>203</v>
      </c>
      <c r="G53" s="93"/>
      <c r="H53" s="94">
        <f t="shared" si="7"/>
        <v>0</v>
      </c>
      <c r="I53" s="94"/>
      <c r="J53" s="94">
        <f t="shared" si="8"/>
        <v>0</v>
      </c>
      <c r="K53" s="95">
        <f t="shared" si="1"/>
        <v>0</v>
      </c>
      <c r="L53" s="96">
        <f t="shared" si="1"/>
        <v>0</v>
      </c>
      <c r="M53" s="111"/>
      <c r="N53" s="112">
        <f t="shared" si="9"/>
        <v>0</v>
      </c>
      <c r="O53" s="112">
        <v>0.15</v>
      </c>
      <c r="P53" s="112">
        <f t="shared" si="23"/>
        <v>3.4420292442663047</v>
      </c>
      <c r="Q53" s="112">
        <v>0.15</v>
      </c>
      <c r="R53" s="112">
        <f t="shared" si="23"/>
        <v>3.4420292442663047</v>
      </c>
      <c r="S53" s="112">
        <v>0.15</v>
      </c>
      <c r="T53" s="112">
        <f t="shared" si="24"/>
        <v>3.4420292442663047</v>
      </c>
      <c r="U53" s="112">
        <v>0.15</v>
      </c>
      <c r="V53" s="112">
        <f t="shared" si="24"/>
        <v>3.4420292442663047</v>
      </c>
      <c r="W53" s="112">
        <v>0.15</v>
      </c>
      <c r="X53" s="112">
        <f t="shared" si="25"/>
        <v>3.4420292442663047</v>
      </c>
      <c r="Y53" s="112">
        <v>0.1</v>
      </c>
      <c r="Z53" s="112">
        <f t="shared" si="25"/>
        <v>2.2946861628442035</v>
      </c>
      <c r="AA53" s="112"/>
      <c r="AB53" s="112">
        <f t="shared" si="13"/>
        <v>0</v>
      </c>
      <c r="AC53" s="99">
        <f t="shared" si="2"/>
        <v>0.85</v>
      </c>
      <c r="AD53" s="100">
        <f t="shared" si="2"/>
        <v>19.504832384175728</v>
      </c>
      <c r="AE53" s="111"/>
      <c r="AF53" s="112">
        <f t="shared" si="14"/>
        <v>0</v>
      </c>
      <c r="AG53" s="112"/>
      <c r="AH53" s="112">
        <f t="shared" si="15"/>
        <v>0</v>
      </c>
      <c r="AI53" s="112"/>
      <c r="AJ53" s="112">
        <f t="shared" si="16"/>
        <v>0</v>
      </c>
      <c r="AK53" s="112"/>
      <c r="AL53" s="112">
        <f t="shared" si="17"/>
        <v>0</v>
      </c>
      <c r="AM53" s="99">
        <f t="shared" si="3"/>
        <v>0</v>
      </c>
      <c r="AN53" s="101">
        <f t="shared" si="3"/>
        <v>0</v>
      </c>
      <c r="AO53" s="111"/>
      <c r="AP53" s="112"/>
      <c r="AQ53" s="99">
        <f t="shared" si="18"/>
        <v>0</v>
      </c>
      <c r="AR53" s="102">
        <f t="shared" si="4"/>
        <v>0</v>
      </c>
      <c r="AS53" s="103">
        <f t="shared" si="5"/>
        <v>0.85</v>
      </c>
      <c r="AT53" s="104">
        <f t="shared" si="6"/>
        <v>19.504832384175728</v>
      </c>
      <c r="AU53" s="56" t="s">
        <v>155</v>
      </c>
      <c r="AV53" s="56">
        <f t="shared" si="19"/>
        <v>0</v>
      </c>
    </row>
    <row r="54" spans="1:48" ht="15" customHeight="1" x14ac:dyDescent="0.45">
      <c r="A54" s="73"/>
      <c r="B54" s="90"/>
      <c r="C54" s="107">
        <v>42</v>
      </c>
      <c r="D54" s="172" t="s">
        <v>251</v>
      </c>
      <c r="E54" s="173" t="s">
        <v>252</v>
      </c>
      <c r="F54" s="174" t="s">
        <v>203</v>
      </c>
      <c r="G54" s="93"/>
      <c r="H54" s="94">
        <f t="shared" si="7"/>
        <v>0</v>
      </c>
      <c r="I54" s="94"/>
      <c r="J54" s="94">
        <f t="shared" si="8"/>
        <v>0</v>
      </c>
      <c r="K54" s="95">
        <f t="shared" si="1"/>
        <v>0</v>
      </c>
      <c r="L54" s="96">
        <f t="shared" si="1"/>
        <v>0</v>
      </c>
      <c r="M54" s="111"/>
      <c r="N54" s="112">
        <f t="shared" si="9"/>
        <v>0</v>
      </c>
      <c r="O54" s="112">
        <v>0.03</v>
      </c>
      <c r="P54" s="112">
        <f t="shared" si="23"/>
        <v>0.68840584885326095</v>
      </c>
      <c r="Q54" s="112">
        <v>0.03</v>
      </c>
      <c r="R54" s="112">
        <f t="shared" si="23"/>
        <v>0.68840584885326095</v>
      </c>
      <c r="S54" s="112">
        <v>0.03</v>
      </c>
      <c r="T54" s="112">
        <f t="shared" si="24"/>
        <v>0.68840584885326095</v>
      </c>
      <c r="U54" s="112">
        <v>0.02</v>
      </c>
      <c r="V54" s="112">
        <f t="shared" si="24"/>
        <v>0.45893723256884067</v>
      </c>
      <c r="W54" s="112">
        <v>0.05</v>
      </c>
      <c r="X54" s="112">
        <f t="shared" si="25"/>
        <v>1.1473430814221017</v>
      </c>
      <c r="Y54" s="112">
        <v>0.05</v>
      </c>
      <c r="Z54" s="112">
        <f t="shared" si="25"/>
        <v>1.1473430814221017</v>
      </c>
      <c r="AA54" s="112"/>
      <c r="AB54" s="112">
        <f t="shared" si="13"/>
        <v>0</v>
      </c>
      <c r="AC54" s="99">
        <f t="shared" si="2"/>
        <v>0.21000000000000002</v>
      </c>
      <c r="AD54" s="100">
        <f t="shared" si="2"/>
        <v>4.8188409419728266</v>
      </c>
      <c r="AE54" s="111"/>
      <c r="AF54" s="112">
        <f t="shared" si="14"/>
        <v>0</v>
      </c>
      <c r="AG54" s="112"/>
      <c r="AH54" s="112">
        <f t="shared" si="15"/>
        <v>0</v>
      </c>
      <c r="AI54" s="112"/>
      <c r="AJ54" s="112">
        <f t="shared" si="16"/>
        <v>0</v>
      </c>
      <c r="AK54" s="112"/>
      <c r="AL54" s="112">
        <f t="shared" si="17"/>
        <v>0</v>
      </c>
      <c r="AM54" s="99">
        <f t="shared" si="3"/>
        <v>0</v>
      </c>
      <c r="AN54" s="101">
        <f t="shared" si="3"/>
        <v>0</v>
      </c>
      <c r="AO54" s="111"/>
      <c r="AP54" s="112"/>
      <c r="AQ54" s="99">
        <f t="shared" si="18"/>
        <v>0</v>
      </c>
      <c r="AR54" s="102">
        <f t="shared" si="4"/>
        <v>0</v>
      </c>
      <c r="AS54" s="103">
        <f t="shared" si="5"/>
        <v>0.21000000000000002</v>
      </c>
      <c r="AT54" s="104">
        <f t="shared" si="6"/>
        <v>4.8188409419728266</v>
      </c>
      <c r="AU54" s="56" t="s">
        <v>155</v>
      </c>
      <c r="AV54" s="56">
        <f t="shared" si="19"/>
        <v>0</v>
      </c>
    </row>
    <row r="55" spans="1:48" ht="15" customHeight="1" x14ac:dyDescent="0.45">
      <c r="A55" s="73"/>
      <c r="B55" s="90"/>
      <c r="C55" s="175">
        <v>43</v>
      </c>
      <c r="D55" s="172" t="s">
        <v>253</v>
      </c>
      <c r="E55" s="173" t="s">
        <v>254</v>
      </c>
      <c r="F55" s="110" t="s">
        <v>177</v>
      </c>
      <c r="G55" s="93"/>
      <c r="H55" s="94">
        <f t="shared" si="7"/>
        <v>0</v>
      </c>
      <c r="I55" s="94"/>
      <c r="J55" s="94">
        <f t="shared" si="8"/>
        <v>0</v>
      </c>
      <c r="K55" s="95">
        <f t="shared" si="1"/>
        <v>0</v>
      </c>
      <c r="L55" s="96">
        <f t="shared" si="1"/>
        <v>0</v>
      </c>
      <c r="M55" s="111"/>
      <c r="N55" s="112">
        <f t="shared" si="9"/>
        <v>0</v>
      </c>
      <c r="O55" s="112">
        <v>0.01</v>
      </c>
      <c r="P55" s="112">
        <f t="shared" si="23"/>
        <v>0.22946861628442033</v>
      </c>
      <c r="Q55" s="112">
        <v>0.01</v>
      </c>
      <c r="R55" s="112">
        <f t="shared" si="23"/>
        <v>0.22946861628442033</v>
      </c>
      <c r="S55" s="112">
        <v>0.01</v>
      </c>
      <c r="T55" s="112">
        <f t="shared" si="24"/>
        <v>0.22946861628442033</v>
      </c>
      <c r="U55" s="112">
        <v>0.01</v>
      </c>
      <c r="V55" s="112">
        <f t="shared" si="24"/>
        <v>0.22946861628442033</v>
      </c>
      <c r="W55" s="112">
        <v>0.04</v>
      </c>
      <c r="X55" s="112">
        <f t="shared" si="25"/>
        <v>0.91787446513768134</v>
      </c>
      <c r="Y55" s="112">
        <v>0.04</v>
      </c>
      <c r="Z55" s="112">
        <f t="shared" si="25"/>
        <v>0.91787446513768134</v>
      </c>
      <c r="AA55" s="112"/>
      <c r="AB55" s="112">
        <f t="shared" si="13"/>
        <v>0</v>
      </c>
      <c r="AC55" s="99">
        <f t="shared" si="2"/>
        <v>0.12</v>
      </c>
      <c r="AD55" s="100">
        <f t="shared" si="2"/>
        <v>2.7536233954130438</v>
      </c>
      <c r="AE55" s="111"/>
      <c r="AF55" s="112">
        <f t="shared" si="14"/>
        <v>0</v>
      </c>
      <c r="AG55" s="112"/>
      <c r="AH55" s="112">
        <f t="shared" si="15"/>
        <v>0</v>
      </c>
      <c r="AI55" s="112"/>
      <c r="AJ55" s="112">
        <f t="shared" si="16"/>
        <v>0</v>
      </c>
      <c r="AK55" s="112"/>
      <c r="AL55" s="112">
        <f t="shared" si="17"/>
        <v>0</v>
      </c>
      <c r="AM55" s="99">
        <f t="shared" si="3"/>
        <v>0</v>
      </c>
      <c r="AN55" s="101">
        <f t="shared" si="3"/>
        <v>0</v>
      </c>
      <c r="AO55" s="111"/>
      <c r="AP55" s="112"/>
      <c r="AQ55" s="99">
        <f t="shared" si="18"/>
        <v>0</v>
      </c>
      <c r="AR55" s="102">
        <f t="shared" si="4"/>
        <v>0</v>
      </c>
      <c r="AS55" s="103">
        <f t="shared" si="5"/>
        <v>0.12</v>
      </c>
      <c r="AT55" s="104">
        <f t="shared" si="6"/>
        <v>2.7536233954130438</v>
      </c>
      <c r="AU55" s="56" t="s">
        <v>155</v>
      </c>
      <c r="AV55" s="56">
        <f t="shared" si="19"/>
        <v>0</v>
      </c>
    </row>
    <row r="56" spans="1:48" ht="15" customHeight="1" x14ac:dyDescent="0.45">
      <c r="A56" s="73"/>
      <c r="B56" s="106" t="s">
        <v>255</v>
      </c>
      <c r="C56" s="107">
        <v>44</v>
      </c>
      <c r="D56" s="172" t="s">
        <v>256</v>
      </c>
      <c r="E56" s="173" t="s">
        <v>257</v>
      </c>
      <c r="F56" s="110" t="s">
        <v>177</v>
      </c>
      <c r="G56" s="93"/>
      <c r="H56" s="94">
        <f t="shared" si="7"/>
        <v>0</v>
      </c>
      <c r="I56" s="94"/>
      <c r="J56" s="94">
        <f t="shared" si="8"/>
        <v>0</v>
      </c>
      <c r="K56" s="95">
        <f t="shared" si="1"/>
        <v>0</v>
      </c>
      <c r="L56" s="96">
        <f t="shared" si="1"/>
        <v>0</v>
      </c>
      <c r="M56" s="111"/>
      <c r="N56" s="112">
        <f t="shared" si="9"/>
        <v>0</v>
      </c>
      <c r="O56" s="112">
        <v>0.01</v>
      </c>
      <c r="P56" s="112">
        <f t="shared" si="23"/>
        <v>0.22946861628442033</v>
      </c>
      <c r="Q56" s="112">
        <v>0.01</v>
      </c>
      <c r="R56" s="112">
        <f t="shared" si="23"/>
        <v>0.22946861628442033</v>
      </c>
      <c r="S56" s="112">
        <v>0.01</v>
      </c>
      <c r="T56" s="112">
        <f t="shared" si="24"/>
        <v>0.22946861628442033</v>
      </c>
      <c r="U56" s="112">
        <v>0.01</v>
      </c>
      <c r="V56" s="112">
        <f t="shared" si="24"/>
        <v>0.22946861628442033</v>
      </c>
      <c r="W56" s="112">
        <v>0.01</v>
      </c>
      <c r="X56" s="112">
        <f t="shared" si="25"/>
        <v>0.22946861628442033</v>
      </c>
      <c r="Y56" s="112">
        <v>0.01</v>
      </c>
      <c r="Z56" s="112">
        <f t="shared" si="25"/>
        <v>0.22946861628442033</v>
      </c>
      <c r="AA56" s="112"/>
      <c r="AB56" s="112">
        <f t="shared" si="13"/>
        <v>0</v>
      </c>
      <c r="AC56" s="99">
        <f t="shared" si="2"/>
        <v>6.0000000000000005E-2</v>
      </c>
      <c r="AD56" s="100">
        <f t="shared" si="2"/>
        <v>1.3768116977065221</v>
      </c>
      <c r="AE56" s="111"/>
      <c r="AF56" s="112">
        <f t="shared" si="14"/>
        <v>0</v>
      </c>
      <c r="AG56" s="112"/>
      <c r="AH56" s="112">
        <f t="shared" si="15"/>
        <v>0</v>
      </c>
      <c r="AI56" s="112"/>
      <c r="AJ56" s="112">
        <f t="shared" si="16"/>
        <v>0</v>
      </c>
      <c r="AK56" s="112"/>
      <c r="AL56" s="112">
        <f t="shared" si="17"/>
        <v>0</v>
      </c>
      <c r="AM56" s="99">
        <f t="shared" si="3"/>
        <v>0</v>
      </c>
      <c r="AN56" s="101">
        <f t="shared" si="3"/>
        <v>0</v>
      </c>
      <c r="AO56" s="111"/>
      <c r="AP56" s="112"/>
      <c r="AQ56" s="99">
        <f t="shared" si="18"/>
        <v>0</v>
      </c>
      <c r="AR56" s="102">
        <f t="shared" si="4"/>
        <v>0</v>
      </c>
      <c r="AS56" s="103">
        <f t="shared" si="5"/>
        <v>6.0000000000000005E-2</v>
      </c>
      <c r="AT56" s="104">
        <f t="shared" si="6"/>
        <v>1.3768116977065221</v>
      </c>
      <c r="AU56" s="56" t="s">
        <v>155</v>
      </c>
      <c r="AV56" s="56">
        <f t="shared" si="19"/>
        <v>0</v>
      </c>
    </row>
    <row r="57" spans="1:48" ht="15" customHeight="1" x14ac:dyDescent="0.45">
      <c r="A57" s="73"/>
      <c r="B57" s="90"/>
      <c r="C57" s="107">
        <v>45</v>
      </c>
      <c r="D57" s="172" t="s">
        <v>258</v>
      </c>
      <c r="E57" s="173" t="s">
        <v>259</v>
      </c>
      <c r="F57" s="110" t="s">
        <v>187</v>
      </c>
      <c r="G57" s="93"/>
      <c r="H57" s="94">
        <f t="shared" si="7"/>
        <v>0</v>
      </c>
      <c r="I57" s="94">
        <v>0.02</v>
      </c>
      <c r="J57" s="94">
        <f t="shared" si="8"/>
        <v>1.1207</v>
      </c>
      <c r="K57" s="95">
        <f t="shared" si="1"/>
        <v>0.02</v>
      </c>
      <c r="L57" s="96">
        <f t="shared" si="1"/>
        <v>1.1207</v>
      </c>
      <c r="M57" s="111"/>
      <c r="N57" s="112">
        <f t="shared" si="9"/>
        <v>0</v>
      </c>
      <c r="O57" s="112">
        <v>0.01</v>
      </c>
      <c r="P57" s="112">
        <f t="shared" si="23"/>
        <v>0.22946861628442033</v>
      </c>
      <c r="Q57" s="112">
        <v>0.01</v>
      </c>
      <c r="R57" s="112">
        <f t="shared" si="23"/>
        <v>0.22946861628442033</v>
      </c>
      <c r="S57" s="112">
        <v>0.01</v>
      </c>
      <c r="T57" s="112">
        <f t="shared" si="24"/>
        <v>0.22946861628442033</v>
      </c>
      <c r="U57" s="112">
        <v>0.01</v>
      </c>
      <c r="V57" s="112">
        <f t="shared" si="24"/>
        <v>0.22946861628442033</v>
      </c>
      <c r="W57" s="112">
        <v>0.01</v>
      </c>
      <c r="X57" s="112">
        <f t="shared" si="25"/>
        <v>0.22946861628442033</v>
      </c>
      <c r="Y57" s="112">
        <v>0.01</v>
      </c>
      <c r="Z57" s="112">
        <f t="shared" si="25"/>
        <v>0.22946861628442033</v>
      </c>
      <c r="AA57" s="112"/>
      <c r="AB57" s="112">
        <f t="shared" si="13"/>
        <v>0</v>
      </c>
      <c r="AC57" s="99">
        <f t="shared" si="2"/>
        <v>6.0000000000000005E-2</v>
      </c>
      <c r="AD57" s="100">
        <f t="shared" si="2"/>
        <v>1.3768116977065221</v>
      </c>
      <c r="AE57" s="111"/>
      <c r="AF57" s="112">
        <f t="shared" si="14"/>
        <v>0</v>
      </c>
      <c r="AG57" s="112"/>
      <c r="AH57" s="112">
        <f t="shared" si="15"/>
        <v>0</v>
      </c>
      <c r="AI57" s="112"/>
      <c r="AJ57" s="112">
        <f t="shared" si="16"/>
        <v>0</v>
      </c>
      <c r="AK57" s="112"/>
      <c r="AL57" s="112">
        <f t="shared" si="17"/>
        <v>0</v>
      </c>
      <c r="AM57" s="99">
        <f t="shared" si="3"/>
        <v>0</v>
      </c>
      <c r="AN57" s="101">
        <f t="shared" si="3"/>
        <v>0</v>
      </c>
      <c r="AO57" s="111"/>
      <c r="AP57" s="112"/>
      <c r="AQ57" s="99">
        <f t="shared" si="18"/>
        <v>0</v>
      </c>
      <c r="AR57" s="102">
        <f t="shared" si="4"/>
        <v>0</v>
      </c>
      <c r="AS57" s="103">
        <f t="shared" si="5"/>
        <v>0.08</v>
      </c>
      <c r="AT57" s="104">
        <f t="shared" si="6"/>
        <v>2.4975116977065221</v>
      </c>
      <c r="AU57" s="56" t="s">
        <v>155</v>
      </c>
      <c r="AV57" s="56">
        <f t="shared" si="19"/>
        <v>0</v>
      </c>
    </row>
    <row r="58" spans="1:48" ht="15" customHeight="1" x14ac:dyDescent="0.45">
      <c r="A58" s="73"/>
      <c r="B58" s="90"/>
      <c r="C58" s="175">
        <v>46</v>
      </c>
      <c r="D58" s="172" t="s">
        <v>260</v>
      </c>
      <c r="E58" s="173" t="s">
        <v>261</v>
      </c>
      <c r="F58" s="110" t="s">
        <v>187</v>
      </c>
      <c r="G58" s="93"/>
      <c r="H58" s="94">
        <f t="shared" si="7"/>
        <v>0</v>
      </c>
      <c r="I58" s="94">
        <v>0.01</v>
      </c>
      <c r="J58" s="94">
        <f t="shared" si="8"/>
        <v>0.56035000000000001</v>
      </c>
      <c r="K58" s="95">
        <f t="shared" si="1"/>
        <v>0.01</v>
      </c>
      <c r="L58" s="96">
        <f t="shared" si="1"/>
        <v>0.56035000000000001</v>
      </c>
      <c r="M58" s="111"/>
      <c r="N58" s="112">
        <f t="shared" si="9"/>
        <v>0</v>
      </c>
      <c r="O58" s="112">
        <v>0.01</v>
      </c>
      <c r="P58" s="112">
        <f t="shared" si="23"/>
        <v>0.22946861628442033</v>
      </c>
      <c r="Q58" s="112">
        <v>0.01</v>
      </c>
      <c r="R58" s="112">
        <f t="shared" si="23"/>
        <v>0.22946861628442033</v>
      </c>
      <c r="S58" s="112">
        <v>0.01</v>
      </c>
      <c r="T58" s="112">
        <f t="shared" si="24"/>
        <v>0.22946861628442033</v>
      </c>
      <c r="U58" s="112">
        <v>0.01</v>
      </c>
      <c r="V58" s="112">
        <f t="shared" si="24"/>
        <v>0.22946861628442033</v>
      </c>
      <c r="W58" s="112">
        <v>0.01</v>
      </c>
      <c r="X58" s="112">
        <f t="shared" si="25"/>
        <v>0.22946861628442033</v>
      </c>
      <c r="Y58" s="112">
        <v>0.01</v>
      </c>
      <c r="Z58" s="112">
        <f t="shared" si="25"/>
        <v>0.22946861628442033</v>
      </c>
      <c r="AA58" s="112"/>
      <c r="AB58" s="112">
        <f t="shared" si="13"/>
        <v>0</v>
      </c>
      <c r="AC58" s="99">
        <f t="shared" si="2"/>
        <v>6.0000000000000005E-2</v>
      </c>
      <c r="AD58" s="100">
        <f t="shared" si="2"/>
        <v>1.3768116977065221</v>
      </c>
      <c r="AE58" s="111">
        <v>0.2</v>
      </c>
      <c r="AF58" s="112">
        <f t="shared" si="14"/>
        <v>4.5893723256884069</v>
      </c>
      <c r="AG58" s="112"/>
      <c r="AH58" s="112">
        <f t="shared" si="15"/>
        <v>0</v>
      </c>
      <c r="AI58" s="112"/>
      <c r="AJ58" s="112">
        <f t="shared" si="16"/>
        <v>0</v>
      </c>
      <c r="AK58" s="112"/>
      <c r="AL58" s="112">
        <f t="shared" si="17"/>
        <v>0</v>
      </c>
      <c r="AM58" s="99">
        <f t="shared" si="3"/>
        <v>0.2</v>
      </c>
      <c r="AN58" s="101">
        <f t="shared" si="3"/>
        <v>4.5893723256884069</v>
      </c>
      <c r="AO58" s="111"/>
      <c r="AP58" s="112"/>
      <c r="AQ58" s="99">
        <f t="shared" si="18"/>
        <v>0</v>
      </c>
      <c r="AR58" s="102">
        <f t="shared" si="4"/>
        <v>0</v>
      </c>
      <c r="AS58" s="103">
        <f t="shared" si="5"/>
        <v>0.27</v>
      </c>
      <c r="AT58" s="104">
        <f t="shared" si="6"/>
        <v>6.5265340233949285</v>
      </c>
      <c r="AU58" s="56" t="s">
        <v>155</v>
      </c>
      <c r="AV58" s="56">
        <f t="shared" si="19"/>
        <v>0</v>
      </c>
    </row>
    <row r="59" spans="1:48" ht="15" customHeight="1" x14ac:dyDescent="0.45">
      <c r="A59" s="73"/>
      <c r="B59" s="106" t="s">
        <v>262</v>
      </c>
      <c r="C59" s="107">
        <v>47</v>
      </c>
      <c r="D59" s="172" t="s">
        <v>263</v>
      </c>
      <c r="E59" s="173" t="s">
        <v>264</v>
      </c>
      <c r="F59" s="174" t="s">
        <v>203</v>
      </c>
      <c r="G59" s="93"/>
      <c r="H59" s="94">
        <f t="shared" si="7"/>
        <v>0</v>
      </c>
      <c r="I59" s="94"/>
      <c r="J59" s="94">
        <f t="shared" si="8"/>
        <v>0</v>
      </c>
      <c r="K59" s="95">
        <f t="shared" si="1"/>
        <v>0</v>
      </c>
      <c r="L59" s="96">
        <f t="shared" si="1"/>
        <v>0</v>
      </c>
      <c r="M59" s="111"/>
      <c r="N59" s="112">
        <f t="shared" si="9"/>
        <v>0</v>
      </c>
      <c r="O59" s="112">
        <v>0.02</v>
      </c>
      <c r="P59" s="112">
        <f t="shared" si="23"/>
        <v>0.45893723256884067</v>
      </c>
      <c r="Q59" s="112">
        <v>0.02</v>
      </c>
      <c r="R59" s="112">
        <f t="shared" si="23"/>
        <v>0.45893723256884067</v>
      </c>
      <c r="S59" s="112">
        <v>0.02</v>
      </c>
      <c r="T59" s="112">
        <f t="shared" si="24"/>
        <v>0.45893723256884067</v>
      </c>
      <c r="U59" s="112">
        <v>0.01</v>
      </c>
      <c r="V59" s="112">
        <f t="shared" si="24"/>
        <v>0.22946861628442033</v>
      </c>
      <c r="W59" s="112">
        <v>0.01</v>
      </c>
      <c r="X59" s="112">
        <f t="shared" si="25"/>
        <v>0.22946861628442033</v>
      </c>
      <c r="Y59" s="112">
        <v>0.01</v>
      </c>
      <c r="Z59" s="112">
        <f t="shared" si="25"/>
        <v>0.22946861628442033</v>
      </c>
      <c r="AA59" s="112"/>
      <c r="AB59" s="112">
        <f t="shared" si="13"/>
        <v>0</v>
      </c>
      <c r="AC59" s="99">
        <f t="shared" si="2"/>
        <v>8.9999999999999983E-2</v>
      </c>
      <c r="AD59" s="100">
        <f t="shared" si="2"/>
        <v>2.0652175465597828</v>
      </c>
      <c r="AE59" s="111"/>
      <c r="AF59" s="112">
        <f t="shared" si="14"/>
        <v>0</v>
      </c>
      <c r="AG59" s="112"/>
      <c r="AH59" s="112">
        <f t="shared" si="15"/>
        <v>0</v>
      </c>
      <c r="AI59" s="112"/>
      <c r="AJ59" s="112">
        <f t="shared" si="16"/>
        <v>0</v>
      </c>
      <c r="AK59" s="112"/>
      <c r="AL59" s="112">
        <f t="shared" si="17"/>
        <v>0</v>
      </c>
      <c r="AM59" s="99">
        <f t="shared" si="3"/>
        <v>0</v>
      </c>
      <c r="AN59" s="101">
        <f t="shared" si="3"/>
        <v>0</v>
      </c>
      <c r="AO59" s="111"/>
      <c r="AP59" s="112"/>
      <c r="AQ59" s="99">
        <f t="shared" si="18"/>
        <v>0</v>
      </c>
      <c r="AR59" s="102">
        <f t="shared" si="4"/>
        <v>0</v>
      </c>
      <c r="AS59" s="103">
        <f t="shared" si="5"/>
        <v>8.9999999999999983E-2</v>
      </c>
      <c r="AT59" s="104">
        <f t="shared" si="6"/>
        <v>2.0652175465597828</v>
      </c>
      <c r="AU59" s="56" t="s">
        <v>155</v>
      </c>
      <c r="AV59" s="56">
        <f t="shared" si="19"/>
        <v>0</v>
      </c>
    </row>
    <row r="60" spans="1:48" ht="15" customHeight="1" x14ac:dyDescent="0.45">
      <c r="A60" s="73"/>
      <c r="B60" s="90"/>
      <c r="C60" s="107">
        <v>48</v>
      </c>
      <c r="D60" s="172" t="s">
        <v>223</v>
      </c>
      <c r="E60" s="173" t="s">
        <v>265</v>
      </c>
      <c r="F60" s="174" t="s">
        <v>203</v>
      </c>
      <c r="G60" s="93"/>
      <c r="H60" s="94">
        <f t="shared" si="7"/>
        <v>0</v>
      </c>
      <c r="I60" s="94">
        <v>0.03</v>
      </c>
      <c r="J60" s="94">
        <f t="shared" si="8"/>
        <v>1.6810499999999999</v>
      </c>
      <c r="K60" s="95">
        <f t="shared" si="1"/>
        <v>0.03</v>
      </c>
      <c r="L60" s="96">
        <f t="shared" si="1"/>
        <v>1.6810499999999999</v>
      </c>
      <c r="M60" s="111"/>
      <c r="N60" s="112">
        <f t="shared" si="9"/>
        <v>0</v>
      </c>
      <c r="O60" s="112">
        <v>0.16</v>
      </c>
      <c r="P60" s="112">
        <f t="shared" si="23"/>
        <v>3.6714978605507254</v>
      </c>
      <c r="Q60" s="112">
        <v>0.16</v>
      </c>
      <c r="R60" s="112">
        <f t="shared" si="23"/>
        <v>3.6714978605507254</v>
      </c>
      <c r="S60" s="112">
        <v>0.16</v>
      </c>
      <c r="T60" s="112">
        <f t="shared" si="24"/>
        <v>3.6714978605507254</v>
      </c>
      <c r="U60" s="112">
        <v>0.2</v>
      </c>
      <c r="V60" s="112">
        <f t="shared" si="24"/>
        <v>4.5893723256884069</v>
      </c>
      <c r="W60" s="112">
        <v>0.01</v>
      </c>
      <c r="X60" s="112">
        <f t="shared" si="25"/>
        <v>0.22946861628442033</v>
      </c>
      <c r="Y60" s="112">
        <v>0.1</v>
      </c>
      <c r="Z60" s="112">
        <f t="shared" si="25"/>
        <v>2.2946861628442035</v>
      </c>
      <c r="AA60" s="112"/>
      <c r="AB60" s="112">
        <f t="shared" si="13"/>
        <v>0</v>
      </c>
      <c r="AC60" s="99">
        <f t="shared" si="2"/>
        <v>0.78999999999999992</v>
      </c>
      <c r="AD60" s="100">
        <f t="shared" si="2"/>
        <v>18.128020686469206</v>
      </c>
      <c r="AE60" s="111"/>
      <c r="AF60" s="112">
        <f t="shared" si="14"/>
        <v>0</v>
      </c>
      <c r="AG60" s="112"/>
      <c r="AH60" s="112">
        <f t="shared" si="15"/>
        <v>0</v>
      </c>
      <c r="AI60" s="112"/>
      <c r="AJ60" s="112">
        <f t="shared" si="16"/>
        <v>0</v>
      </c>
      <c r="AK60" s="112"/>
      <c r="AL60" s="112">
        <f t="shared" si="17"/>
        <v>0</v>
      </c>
      <c r="AM60" s="99">
        <f t="shared" si="3"/>
        <v>0</v>
      </c>
      <c r="AN60" s="101">
        <f t="shared" si="3"/>
        <v>0</v>
      </c>
      <c r="AO60" s="111"/>
      <c r="AP60" s="112"/>
      <c r="AQ60" s="99">
        <f t="shared" si="18"/>
        <v>0</v>
      </c>
      <c r="AR60" s="102">
        <f t="shared" si="4"/>
        <v>0</v>
      </c>
      <c r="AS60" s="103">
        <f t="shared" si="5"/>
        <v>0.82</v>
      </c>
      <c r="AT60" s="104">
        <f t="shared" si="6"/>
        <v>19.809070686469205</v>
      </c>
      <c r="AU60" s="56" t="s">
        <v>155</v>
      </c>
      <c r="AV60" s="56">
        <f t="shared" si="19"/>
        <v>0</v>
      </c>
    </row>
    <row r="61" spans="1:48" ht="15" customHeight="1" thickBot="1" x14ac:dyDescent="0.5">
      <c r="A61" s="73"/>
      <c r="B61" s="90"/>
      <c r="C61" s="114">
        <v>49</v>
      </c>
      <c r="D61" s="181" t="s">
        <v>266</v>
      </c>
      <c r="E61" s="182" t="s">
        <v>267</v>
      </c>
      <c r="F61" s="183" t="s">
        <v>203</v>
      </c>
      <c r="G61" s="118"/>
      <c r="H61" s="119">
        <f t="shared" si="7"/>
        <v>0</v>
      </c>
      <c r="I61" s="119">
        <v>0.03</v>
      </c>
      <c r="J61" s="119">
        <f t="shared" si="8"/>
        <v>1.6810499999999999</v>
      </c>
      <c r="K61" s="120">
        <f t="shared" si="1"/>
        <v>0.03</v>
      </c>
      <c r="L61" s="121">
        <f t="shared" si="1"/>
        <v>1.6810499999999999</v>
      </c>
      <c r="M61" s="122"/>
      <c r="N61" s="123">
        <f t="shared" si="9"/>
        <v>0</v>
      </c>
      <c r="O61" s="123">
        <v>0.02</v>
      </c>
      <c r="P61" s="123">
        <f t="shared" si="23"/>
        <v>0.45893723256884067</v>
      </c>
      <c r="Q61" s="123">
        <v>0.02</v>
      </c>
      <c r="R61" s="123">
        <f t="shared" si="23"/>
        <v>0.45893723256884067</v>
      </c>
      <c r="S61" s="123">
        <v>0.02</v>
      </c>
      <c r="T61" s="123">
        <f t="shared" si="24"/>
        <v>0.45893723256884067</v>
      </c>
      <c r="U61" s="123">
        <v>0.01</v>
      </c>
      <c r="V61" s="123">
        <f t="shared" si="24"/>
        <v>0.22946861628442033</v>
      </c>
      <c r="W61" s="123">
        <v>0.01</v>
      </c>
      <c r="X61" s="123">
        <f t="shared" si="25"/>
        <v>0.22946861628442033</v>
      </c>
      <c r="Y61" s="123">
        <v>0.01</v>
      </c>
      <c r="Z61" s="123">
        <f t="shared" si="25"/>
        <v>0.22946861628442033</v>
      </c>
      <c r="AA61" s="123"/>
      <c r="AB61" s="123">
        <f t="shared" si="13"/>
        <v>0</v>
      </c>
      <c r="AC61" s="124">
        <f t="shared" si="2"/>
        <v>8.9999999999999983E-2</v>
      </c>
      <c r="AD61" s="125">
        <f t="shared" si="2"/>
        <v>2.0652175465597828</v>
      </c>
      <c r="AE61" s="122"/>
      <c r="AF61" s="123">
        <f t="shared" si="14"/>
        <v>0</v>
      </c>
      <c r="AG61" s="123"/>
      <c r="AH61" s="123">
        <f t="shared" si="15"/>
        <v>0</v>
      </c>
      <c r="AI61" s="123"/>
      <c r="AJ61" s="123">
        <f t="shared" si="16"/>
        <v>0</v>
      </c>
      <c r="AK61" s="123"/>
      <c r="AL61" s="123">
        <f t="shared" si="17"/>
        <v>0</v>
      </c>
      <c r="AM61" s="124">
        <f t="shared" si="3"/>
        <v>0</v>
      </c>
      <c r="AN61" s="126">
        <f t="shared" si="3"/>
        <v>0</v>
      </c>
      <c r="AO61" s="122"/>
      <c r="AP61" s="123"/>
      <c r="AQ61" s="124">
        <f t="shared" si="18"/>
        <v>0</v>
      </c>
      <c r="AR61" s="127">
        <f t="shared" si="4"/>
        <v>0</v>
      </c>
      <c r="AS61" s="128">
        <f t="shared" si="5"/>
        <v>0.11999999999999998</v>
      </c>
      <c r="AT61" s="129">
        <f t="shared" si="6"/>
        <v>3.7462675465597828</v>
      </c>
      <c r="AU61" s="56" t="s">
        <v>155</v>
      </c>
      <c r="AV61" s="56">
        <f t="shared" si="19"/>
        <v>0</v>
      </c>
    </row>
    <row r="62" spans="1:48" ht="15" customHeight="1" thickTop="1" x14ac:dyDescent="0.45">
      <c r="A62" s="131" t="s">
        <v>268</v>
      </c>
      <c r="B62" s="132" t="s">
        <v>269</v>
      </c>
      <c r="C62" s="184">
        <v>50</v>
      </c>
      <c r="D62" s="134" t="s">
        <v>270</v>
      </c>
      <c r="E62" s="135" t="s">
        <v>271</v>
      </c>
      <c r="F62" s="136" t="s">
        <v>203</v>
      </c>
      <c r="G62" s="137"/>
      <c r="H62" s="138">
        <f t="shared" si="7"/>
        <v>0</v>
      </c>
      <c r="I62" s="138">
        <v>0.01</v>
      </c>
      <c r="J62" s="138">
        <f t="shared" si="8"/>
        <v>0.56035000000000001</v>
      </c>
      <c r="K62" s="139">
        <f t="shared" si="1"/>
        <v>0.01</v>
      </c>
      <c r="L62" s="140">
        <f t="shared" si="1"/>
        <v>0.56035000000000001</v>
      </c>
      <c r="M62" s="141"/>
      <c r="N62" s="142">
        <f t="shared" si="9"/>
        <v>0</v>
      </c>
      <c r="O62" s="142">
        <v>0.01</v>
      </c>
      <c r="P62" s="142">
        <f t="shared" ref="P62:R77" si="26">P$12/O$12*O62</f>
        <v>0.22946861628442033</v>
      </c>
      <c r="Q62" s="142">
        <v>0.01</v>
      </c>
      <c r="R62" s="142">
        <f t="shared" si="26"/>
        <v>0.22946861628442033</v>
      </c>
      <c r="S62" s="142">
        <v>0.01</v>
      </c>
      <c r="T62" s="142">
        <f t="shared" ref="T62:V77" si="27">T$12/S$12*S62</f>
        <v>0.22946861628442033</v>
      </c>
      <c r="U62" s="142">
        <v>0.01</v>
      </c>
      <c r="V62" s="142">
        <f t="shared" si="27"/>
        <v>0.22946861628442033</v>
      </c>
      <c r="W62" s="142">
        <v>0.01</v>
      </c>
      <c r="X62" s="142">
        <f t="shared" ref="X62:Z77" si="28">X$12/W$12*W62</f>
        <v>0.22946861628442033</v>
      </c>
      <c r="Y62" s="142">
        <v>0.01</v>
      </c>
      <c r="Z62" s="142">
        <f t="shared" si="28"/>
        <v>0.22946861628442033</v>
      </c>
      <c r="AA62" s="142"/>
      <c r="AB62" s="142">
        <f t="shared" si="13"/>
        <v>0</v>
      </c>
      <c r="AC62" s="143">
        <f t="shared" si="2"/>
        <v>6.0000000000000005E-2</v>
      </c>
      <c r="AD62" s="144">
        <f t="shared" si="2"/>
        <v>1.3768116977065221</v>
      </c>
      <c r="AE62" s="141"/>
      <c r="AF62" s="142">
        <f t="shared" si="14"/>
        <v>0</v>
      </c>
      <c r="AG62" s="142"/>
      <c r="AH62" s="142">
        <f t="shared" si="15"/>
        <v>0</v>
      </c>
      <c r="AI62" s="142"/>
      <c r="AJ62" s="142">
        <f t="shared" si="16"/>
        <v>0</v>
      </c>
      <c r="AK62" s="142"/>
      <c r="AL62" s="142">
        <f t="shared" si="17"/>
        <v>0</v>
      </c>
      <c r="AM62" s="143">
        <f t="shared" si="3"/>
        <v>0</v>
      </c>
      <c r="AN62" s="145">
        <f t="shared" si="3"/>
        <v>0</v>
      </c>
      <c r="AO62" s="141"/>
      <c r="AP62" s="142"/>
      <c r="AQ62" s="143">
        <f t="shared" si="18"/>
        <v>0</v>
      </c>
      <c r="AR62" s="146">
        <f t="shared" si="4"/>
        <v>0</v>
      </c>
      <c r="AS62" s="147">
        <f t="shared" si="5"/>
        <v>7.0000000000000007E-2</v>
      </c>
      <c r="AT62" s="148">
        <f t="shared" si="6"/>
        <v>1.937161697706522</v>
      </c>
      <c r="AU62" s="149" t="s">
        <v>155</v>
      </c>
      <c r="AV62" s="56">
        <f t="shared" si="19"/>
        <v>0</v>
      </c>
    </row>
    <row r="63" spans="1:48" ht="15" customHeight="1" x14ac:dyDescent="0.45">
      <c r="A63" s="73"/>
      <c r="B63" s="90"/>
      <c r="C63" s="107">
        <v>51</v>
      </c>
      <c r="D63" s="172" t="s">
        <v>272</v>
      </c>
      <c r="E63" s="173" t="s">
        <v>273</v>
      </c>
      <c r="F63" s="174" t="s">
        <v>203</v>
      </c>
      <c r="G63" s="93"/>
      <c r="H63" s="94">
        <f t="shared" si="7"/>
        <v>0</v>
      </c>
      <c r="I63" s="94"/>
      <c r="J63" s="94">
        <f t="shared" si="8"/>
        <v>0</v>
      </c>
      <c r="K63" s="95">
        <f t="shared" si="1"/>
        <v>0</v>
      </c>
      <c r="L63" s="96">
        <f t="shared" si="1"/>
        <v>0</v>
      </c>
      <c r="M63" s="111"/>
      <c r="N63" s="112">
        <f t="shared" si="9"/>
        <v>0</v>
      </c>
      <c r="O63" s="112">
        <v>0.02</v>
      </c>
      <c r="P63" s="112">
        <f t="shared" si="26"/>
        <v>0.45893723256884067</v>
      </c>
      <c r="Q63" s="112">
        <v>0.01</v>
      </c>
      <c r="R63" s="112">
        <f t="shared" si="26"/>
        <v>0.22946861628442033</v>
      </c>
      <c r="S63" s="112">
        <v>0.02</v>
      </c>
      <c r="T63" s="112">
        <f t="shared" si="27"/>
        <v>0.45893723256884067</v>
      </c>
      <c r="U63" s="112">
        <v>0.01</v>
      </c>
      <c r="V63" s="112">
        <f t="shared" si="27"/>
        <v>0.22946861628442033</v>
      </c>
      <c r="W63" s="112">
        <v>0.01</v>
      </c>
      <c r="X63" s="112">
        <f t="shared" si="28"/>
        <v>0.22946861628442033</v>
      </c>
      <c r="Y63" s="112">
        <v>0.01</v>
      </c>
      <c r="Z63" s="112">
        <f t="shared" si="28"/>
        <v>0.22946861628442033</v>
      </c>
      <c r="AA63" s="112"/>
      <c r="AB63" s="112">
        <f t="shared" si="13"/>
        <v>0</v>
      </c>
      <c r="AC63" s="99">
        <f t="shared" si="2"/>
        <v>0.08</v>
      </c>
      <c r="AD63" s="100">
        <f t="shared" si="2"/>
        <v>1.8357489302753629</v>
      </c>
      <c r="AE63" s="111"/>
      <c r="AF63" s="112">
        <f t="shared" si="14"/>
        <v>0</v>
      </c>
      <c r="AG63" s="112"/>
      <c r="AH63" s="112">
        <f t="shared" si="15"/>
        <v>0</v>
      </c>
      <c r="AI63" s="112"/>
      <c r="AJ63" s="112">
        <f t="shared" si="16"/>
        <v>0</v>
      </c>
      <c r="AK63" s="112"/>
      <c r="AL63" s="112">
        <f t="shared" si="17"/>
        <v>0</v>
      </c>
      <c r="AM63" s="99">
        <f t="shared" si="3"/>
        <v>0</v>
      </c>
      <c r="AN63" s="101">
        <f t="shared" si="3"/>
        <v>0</v>
      </c>
      <c r="AO63" s="111"/>
      <c r="AP63" s="112"/>
      <c r="AQ63" s="99">
        <f t="shared" si="18"/>
        <v>0</v>
      </c>
      <c r="AR63" s="102">
        <f t="shared" si="4"/>
        <v>0</v>
      </c>
      <c r="AS63" s="103">
        <f t="shared" si="5"/>
        <v>0.08</v>
      </c>
      <c r="AT63" s="104">
        <f t="shared" si="6"/>
        <v>1.8357489302753629</v>
      </c>
      <c r="AU63" s="56" t="s">
        <v>155</v>
      </c>
      <c r="AV63" s="56">
        <f t="shared" si="19"/>
        <v>0</v>
      </c>
    </row>
    <row r="64" spans="1:48" ht="15" customHeight="1" x14ac:dyDescent="0.45">
      <c r="A64" s="73"/>
      <c r="B64" s="90"/>
      <c r="C64" s="175">
        <v>52</v>
      </c>
      <c r="D64" s="172" t="s">
        <v>274</v>
      </c>
      <c r="E64" s="173" t="s">
        <v>275</v>
      </c>
      <c r="F64" s="110" t="s">
        <v>177</v>
      </c>
      <c r="G64" s="93">
        <v>0.02</v>
      </c>
      <c r="H64" s="94">
        <f t="shared" si="7"/>
        <v>1.1207</v>
      </c>
      <c r="I64" s="94">
        <v>0.05</v>
      </c>
      <c r="J64" s="94">
        <f t="shared" si="8"/>
        <v>2.8017500000000002</v>
      </c>
      <c r="K64" s="95">
        <f t="shared" si="1"/>
        <v>7.0000000000000007E-2</v>
      </c>
      <c r="L64" s="96">
        <f t="shared" si="1"/>
        <v>3.9224500000000004</v>
      </c>
      <c r="M64" s="111">
        <v>0.02</v>
      </c>
      <c r="N64" s="112">
        <f t="shared" si="9"/>
        <v>0.45893723256884067</v>
      </c>
      <c r="O64" s="112">
        <v>0.01</v>
      </c>
      <c r="P64" s="112">
        <f t="shared" si="26"/>
        <v>0.22946861628442033</v>
      </c>
      <c r="Q64" s="112">
        <v>0.01</v>
      </c>
      <c r="R64" s="112">
        <f t="shared" si="26"/>
        <v>0.22946861628442033</v>
      </c>
      <c r="S64" s="112">
        <v>0.01</v>
      </c>
      <c r="T64" s="112">
        <f t="shared" si="27"/>
        <v>0.22946861628442033</v>
      </c>
      <c r="U64" s="112">
        <v>0.01</v>
      </c>
      <c r="V64" s="112">
        <f t="shared" si="27"/>
        <v>0.22946861628442033</v>
      </c>
      <c r="W64" s="112">
        <v>0.02</v>
      </c>
      <c r="X64" s="112">
        <f t="shared" si="28"/>
        <v>0.45893723256884067</v>
      </c>
      <c r="Y64" s="112">
        <v>0.01</v>
      </c>
      <c r="Z64" s="112">
        <f t="shared" si="28"/>
        <v>0.22946861628442033</v>
      </c>
      <c r="AA64" s="112">
        <v>0.05</v>
      </c>
      <c r="AB64" s="112">
        <f t="shared" si="13"/>
        <v>1.1473430814221017</v>
      </c>
      <c r="AC64" s="99">
        <f t="shared" si="2"/>
        <v>0.14000000000000001</v>
      </c>
      <c r="AD64" s="100">
        <f t="shared" si="2"/>
        <v>3.2125606279818846</v>
      </c>
      <c r="AE64" s="111"/>
      <c r="AF64" s="112">
        <f t="shared" si="14"/>
        <v>0</v>
      </c>
      <c r="AG64" s="112">
        <v>0.18</v>
      </c>
      <c r="AH64" s="112">
        <f t="shared" si="15"/>
        <v>4.1304350931195657</v>
      </c>
      <c r="AI64" s="112">
        <v>0.06</v>
      </c>
      <c r="AJ64" s="112">
        <f t="shared" si="16"/>
        <v>1.3768116977065219</v>
      </c>
      <c r="AK64" s="112">
        <v>0.06</v>
      </c>
      <c r="AL64" s="112">
        <f t="shared" si="17"/>
        <v>1.3768116977065219</v>
      </c>
      <c r="AM64" s="99">
        <f t="shared" si="3"/>
        <v>0.3</v>
      </c>
      <c r="AN64" s="101">
        <f t="shared" si="3"/>
        <v>6.8840584885326095</v>
      </c>
      <c r="AO64" s="111"/>
      <c r="AP64" s="112"/>
      <c r="AQ64" s="99">
        <f t="shared" si="18"/>
        <v>0</v>
      </c>
      <c r="AR64" s="102">
        <f t="shared" si="4"/>
        <v>0</v>
      </c>
      <c r="AS64" s="103">
        <f t="shared" si="5"/>
        <v>0.51</v>
      </c>
      <c r="AT64" s="104">
        <f t="shared" si="6"/>
        <v>14.019069116514494</v>
      </c>
      <c r="AU64" s="56" t="s">
        <v>155</v>
      </c>
      <c r="AV64" s="56">
        <f t="shared" si="19"/>
        <v>0</v>
      </c>
    </row>
    <row r="65" spans="1:48" ht="15" customHeight="1" x14ac:dyDescent="0.45">
      <c r="A65" s="73"/>
      <c r="B65" s="113" t="s">
        <v>234</v>
      </c>
      <c r="C65" s="107">
        <v>53</v>
      </c>
      <c r="D65" s="172" t="s">
        <v>276</v>
      </c>
      <c r="E65" s="173" t="s">
        <v>277</v>
      </c>
      <c r="F65" s="110" t="s">
        <v>187</v>
      </c>
      <c r="G65" s="93"/>
      <c r="H65" s="94">
        <f t="shared" si="7"/>
        <v>0</v>
      </c>
      <c r="I65" s="94"/>
      <c r="J65" s="94">
        <f t="shared" si="8"/>
        <v>0</v>
      </c>
      <c r="K65" s="95">
        <f t="shared" si="1"/>
        <v>0</v>
      </c>
      <c r="L65" s="96">
        <f t="shared" si="1"/>
        <v>0</v>
      </c>
      <c r="M65" s="111"/>
      <c r="N65" s="112">
        <f t="shared" si="9"/>
        <v>0</v>
      </c>
      <c r="O65" s="112">
        <v>0.01</v>
      </c>
      <c r="P65" s="112">
        <f t="shared" si="26"/>
        <v>0.22946861628442033</v>
      </c>
      <c r="Q65" s="112">
        <v>0.01</v>
      </c>
      <c r="R65" s="112">
        <f t="shared" si="26"/>
        <v>0.22946861628442033</v>
      </c>
      <c r="S65" s="112">
        <v>0.01</v>
      </c>
      <c r="T65" s="112">
        <f t="shared" si="27"/>
        <v>0.22946861628442033</v>
      </c>
      <c r="U65" s="112">
        <v>0.01</v>
      </c>
      <c r="V65" s="112">
        <f t="shared" si="27"/>
        <v>0.22946861628442033</v>
      </c>
      <c r="W65" s="112">
        <v>0.01</v>
      </c>
      <c r="X65" s="112">
        <f t="shared" si="28"/>
        <v>0.22946861628442033</v>
      </c>
      <c r="Y65" s="112">
        <v>0.01</v>
      </c>
      <c r="Z65" s="112">
        <f t="shared" si="28"/>
        <v>0.22946861628442033</v>
      </c>
      <c r="AA65" s="112"/>
      <c r="AB65" s="112">
        <f t="shared" si="13"/>
        <v>0</v>
      </c>
      <c r="AC65" s="99">
        <f t="shared" si="2"/>
        <v>6.0000000000000005E-2</v>
      </c>
      <c r="AD65" s="100">
        <f t="shared" si="2"/>
        <v>1.3768116977065221</v>
      </c>
      <c r="AE65" s="111"/>
      <c r="AF65" s="112">
        <f t="shared" si="14"/>
        <v>0</v>
      </c>
      <c r="AG65" s="112"/>
      <c r="AH65" s="112">
        <f t="shared" si="15"/>
        <v>0</v>
      </c>
      <c r="AI65" s="112"/>
      <c r="AJ65" s="112">
        <f t="shared" si="16"/>
        <v>0</v>
      </c>
      <c r="AK65" s="112"/>
      <c r="AL65" s="112">
        <f t="shared" si="17"/>
        <v>0</v>
      </c>
      <c r="AM65" s="99">
        <f t="shared" si="3"/>
        <v>0</v>
      </c>
      <c r="AN65" s="101">
        <f t="shared" si="3"/>
        <v>0</v>
      </c>
      <c r="AO65" s="111"/>
      <c r="AP65" s="112"/>
      <c r="AQ65" s="99">
        <f t="shared" si="18"/>
        <v>0</v>
      </c>
      <c r="AR65" s="102">
        <f t="shared" si="4"/>
        <v>0</v>
      </c>
      <c r="AS65" s="103">
        <f t="shared" si="5"/>
        <v>6.0000000000000005E-2</v>
      </c>
      <c r="AT65" s="104">
        <f t="shared" si="6"/>
        <v>1.3768116977065221</v>
      </c>
      <c r="AU65" s="56" t="s">
        <v>155</v>
      </c>
      <c r="AV65" s="56">
        <f t="shared" si="19"/>
        <v>0</v>
      </c>
    </row>
    <row r="66" spans="1:48" ht="15" customHeight="1" x14ac:dyDescent="0.45">
      <c r="A66" s="73"/>
      <c r="B66" s="185" t="s">
        <v>278</v>
      </c>
      <c r="C66" s="107">
        <v>54</v>
      </c>
      <c r="D66" s="172" t="s">
        <v>279</v>
      </c>
      <c r="E66" s="173" t="s">
        <v>280</v>
      </c>
      <c r="F66" s="110" t="s">
        <v>187</v>
      </c>
      <c r="G66" s="93"/>
      <c r="H66" s="94">
        <f t="shared" si="7"/>
        <v>0</v>
      </c>
      <c r="I66" s="94"/>
      <c r="J66" s="94">
        <f t="shared" si="8"/>
        <v>0</v>
      </c>
      <c r="K66" s="95">
        <f t="shared" si="1"/>
        <v>0</v>
      </c>
      <c r="L66" s="96">
        <f t="shared" si="1"/>
        <v>0</v>
      </c>
      <c r="M66" s="111"/>
      <c r="N66" s="112">
        <f t="shared" si="9"/>
        <v>0</v>
      </c>
      <c r="O66" s="112">
        <v>0.01</v>
      </c>
      <c r="P66" s="112">
        <f t="shared" si="26"/>
        <v>0.22946861628442033</v>
      </c>
      <c r="Q66" s="112">
        <v>0.01</v>
      </c>
      <c r="R66" s="112">
        <f t="shared" si="26"/>
        <v>0.22946861628442033</v>
      </c>
      <c r="S66" s="112">
        <v>0.01</v>
      </c>
      <c r="T66" s="112">
        <f t="shared" si="27"/>
        <v>0.22946861628442033</v>
      </c>
      <c r="U66" s="112">
        <v>0.01</v>
      </c>
      <c r="V66" s="112">
        <f t="shared" si="27"/>
        <v>0.22946861628442033</v>
      </c>
      <c r="W66" s="112">
        <v>0.01</v>
      </c>
      <c r="X66" s="112">
        <f t="shared" si="28"/>
        <v>0.22946861628442033</v>
      </c>
      <c r="Y66" s="112">
        <v>0.01</v>
      </c>
      <c r="Z66" s="112">
        <f t="shared" si="28"/>
        <v>0.22946861628442033</v>
      </c>
      <c r="AA66" s="112"/>
      <c r="AB66" s="112">
        <f t="shared" si="13"/>
        <v>0</v>
      </c>
      <c r="AC66" s="99">
        <f t="shared" si="2"/>
        <v>6.0000000000000005E-2</v>
      </c>
      <c r="AD66" s="100">
        <f t="shared" si="2"/>
        <v>1.3768116977065221</v>
      </c>
      <c r="AE66" s="111"/>
      <c r="AF66" s="112">
        <f t="shared" si="14"/>
        <v>0</v>
      </c>
      <c r="AG66" s="112"/>
      <c r="AH66" s="112">
        <f t="shared" si="15"/>
        <v>0</v>
      </c>
      <c r="AI66" s="112"/>
      <c r="AJ66" s="112">
        <f t="shared" si="16"/>
        <v>0</v>
      </c>
      <c r="AK66" s="112"/>
      <c r="AL66" s="112">
        <f t="shared" si="17"/>
        <v>0</v>
      </c>
      <c r="AM66" s="99">
        <f t="shared" si="3"/>
        <v>0</v>
      </c>
      <c r="AN66" s="101">
        <f t="shared" si="3"/>
        <v>0</v>
      </c>
      <c r="AO66" s="111"/>
      <c r="AP66" s="112"/>
      <c r="AQ66" s="99">
        <f t="shared" si="18"/>
        <v>0</v>
      </c>
      <c r="AR66" s="102">
        <f t="shared" si="4"/>
        <v>0</v>
      </c>
      <c r="AS66" s="103">
        <f t="shared" si="5"/>
        <v>6.0000000000000005E-2</v>
      </c>
      <c r="AT66" s="104">
        <f t="shared" si="6"/>
        <v>1.3768116977065221</v>
      </c>
      <c r="AU66" s="56" t="s">
        <v>155</v>
      </c>
      <c r="AV66" s="56">
        <f t="shared" si="19"/>
        <v>0</v>
      </c>
    </row>
    <row r="67" spans="1:48" ht="15" customHeight="1" x14ac:dyDescent="0.45">
      <c r="A67" s="73"/>
      <c r="B67" s="90"/>
      <c r="C67" s="114">
        <v>55</v>
      </c>
      <c r="D67" s="172" t="s">
        <v>281</v>
      </c>
      <c r="E67" s="173" t="s">
        <v>282</v>
      </c>
      <c r="F67" s="110" t="s">
        <v>162</v>
      </c>
      <c r="G67" s="93"/>
      <c r="H67" s="94">
        <f t="shared" si="7"/>
        <v>0</v>
      </c>
      <c r="I67" s="94"/>
      <c r="J67" s="94">
        <f t="shared" si="8"/>
        <v>0</v>
      </c>
      <c r="K67" s="95">
        <f t="shared" si="1"/>
        <v>0</v>
      </c>
      <c r="L67" s="96">
        <f t="shared" si="1"/>
        <v>0</v>
      </c>
      <c r="M67" s="111"/>
      <c r="N67" s="112">
        <f t="shared" si="9"/>
        <v>0</v>
      </c>
      <c r="O67" s="112">
        <v>0.01</v>
      </c>
      <c r="P67" s="112">
        <f t="shared" si="26"/>
        <v>0.22946861628442033</v>
      </c>
      <c r="Q67" s="112">
        <v>0.01</v>
      </c>
      <c r="R67" s="112">
        <f t="shared" si="26"/>
        <v>0.22946861628442033</v>
      </c>
      <c r="S67" s="112">
        <v>0.01</v>
      </c>
      <c r="T67" s="112">
        <f t="shared" si="27"/>
        <v>0.22946861628442033</v>
      </c>
      <c r="U67" s="112">
        <v>0.01</v>
      </c>
      <c r="V67" s="112">
        <f t="shared" si="27"/>
        <v>0.22946861628442033</v>
      </c>
      <c r="W67" s="112">
        <v>0.01</v>
      </c>
      <c r="X67" s="112">
        <f t="shared" si="28"/>
        <v>0.22946861628442033</v>
      </c>
      <c r="Y67" s="112">
        <v>0.01</v>
      </c>
      <c r="Z67" s="112">
        <f t="shared" si="28"/>
        <v>0.22946861628442033</v>
      </c>
      <c r="AA67" s="112"/>
      <c r="AB67" s="112">
        <f t="shared" si="13"/>
        <v>0</v>
      </c>
      <c r="AC67" s="99">
        <f t="shared" si="2"/>
        <v>6.0000000000000005E-2</v>
      </c>
      <c r="AD67" s="100">
        <f t="shared" si="2"/>
        <v>1.3768116977065221</v>
      </c>
      <c r="AE67" s="111"/>
      <c r="AF67" s="112">
        <f t="shared" si="14"/>
        <v>0</v>
      </c>
      <c r="AG67" s="112"/>
      <c r="AH67" s="112">
        <f t="shared" si="15"/>
        <v>0</v>
      </c>
      <c r="AI67" s="112"/>
      <c r="AJ67" s="112">
        <f t="shared" si="16"/>
        <v>0</v>
      </c>
      <c r="AK67" s="112"/>
      <c r="AL67" s="112">
        <f t="shared" si="17"/>
        <v>0</v>
      </c>
      <c r="AM67" s="99">
        <f t="shared" si="3"/>
        <v>0</v>
      </c>
      <c r="AN67" s="101">
        <f t="shared" si="3"/>
        <v>0</v>
      </c>
      <c r="AO67" s="111"/>
      <c r="AP67" s="112"/>
      <c r="AQ67" s="99">
        <f t="shared" si="18"/>
        <v>0</v>
      </c>
      <c r="AR67" s="102">
        <f t="shared" si="4"/>
        <v>0</v>
      </c>
      <c r="AS67" s="103">
        <f t="shared" si="5"/>
        <v>6.0000000000000005E-2</v>
      </c>
      <c r="AT67" s="104">
        <f t="shared" si="6"/>
        <v>1.3768116977065221</v>
      </c>
      <c r="AU67" s="56" t="s">
        <v>155</v>
      </c>
      <c r="AV67" s="56">
        <f t="shared" si="19"/>
        <v>0</v>
      </c>
    </row>
    <row r="68" spans="1:48" ht="15" customHeight="1" x14ac:dyDescent="0.45">
      <c r="A68" s="73"/>
      <c r="B68" s="90"/>
      <c r="C68" s="175">
        <v>56</v>
      </c>
      <c r="D68" s="172" t="s">
        <v>283</v>
      </c>
      <c r="E68" s="173" t="s">
        <v>284</v>
      </c>
      <c r="F68" s="110" t="s">
        <v>162</v>
      </c>
      <c r="G68" s="93">
        <v>0.01</v>
      </c>
      <c r="H68" s="94">
        <f t="shared" si="7"/>
        <v>0.56035000000000001</v>
      </c>
      <c r="I68" s="94">
        <v>0.02</v>
      </c>
      <c r="J68" s="94">
        <f t="shared" si="8"/>
        <v>1.1207</v>
      </c>
      <c r="K68" s="95">
        <f t="shared" si="1"/>
        <v>0.03</v>
      </c>
      <c r="L68" s="96">
        <f t="shared" si="1"/>
        <v>1.6810499999999999</v>
      </c>
      <c r="M68" s="111">
        <v>0.04</v>
      </c>
      <c r="N68" s="112">
        <f t="shared" si="9"/>
        <v>0.91787446513768134</v>
      </c>
      <c r="O68" s="112">
        <v>0.01</v>
      </c>
      <c r="P68" s="112">
        <f t="shared" si="26"/>
        <v>0.22946861628442033</v>
      </c>
      <c r="Q68" s="112">
        <v>0.01</v>
      </c>
      <c r="R68" s="112">
        <f t="shared" si="26"/>
        <v>0.22946861628442033</v>
      </c>
      <c r="S68" s="112">
        <v>0.01</v>
      </c>
      <c r="T68" s="112">
        <f t="shared" si="27"/>
        <v>0.22946861628442033</v>
      </c>
      <c r="U68" s="112">
        <v>0.01</v>
      </c>
      <c r="V68" s="112">
        <f t="shared" si="27"/>
        <v>0.22946861628442033</v>
      </c>
      <c r="W68" s="112">
        <v>0.01</v>
      </c>
      <c r="X68" s="112">
        <f t="shared" si="28"/>
        <v>0.22946861628442033</v>
      </c>
      <c r="Y68" s="112">
        <v>0.01</v>
      </c>
      <c r="Z68" s="112">
        <f t="shared" si="28"/>
        <v>0.22946861628442033</v>
      </c>
      <c r="AA68" s="112">
        <v>0.02</v>
      </c>
      <c r="AB68" s="112">
        <f t="shared" si="13"/>
        <v>0.45893723256884067</v>
      </c>
      <c r="AC68" s="99">
        <f t="shared" si="2"/>
        <v>0.12</v>
      </c>
      <c r="AD68" s="100">
        <f t="shared" si="2"/>
        <v>2.7536233954130442</v>
      </c>
      <c r="AE68" s="111"/>
      <c r="AF68" s="112">
        <f t="shared" si="14"/>
        <v>0</v>
      </c>
      <c r="AG68" s="112"/>
      <c r="AH68" s="112">
        <f t="shared" si="15"/>
        <v>0</v>
      </c>
      <c r="AI68" s="112"/>
      <c r="AJ68" s="112">
        <f t="shared" si="16"/>
        <v>0</v>
      </c>
      <c r="AK68" s="112"/>
      <c r="AL68" s="112">
        <f t="shared" si="17"/>
        <v>0</v>
      </c>
      <c r="AM68" s="99">
        <f t="shared" si="3"/>
        <v>0</v>
      </c>
      <c r="AN68" s="101">
        <f t="shared" si="3"/>
        <v>0</v>
      </c>
      <c r="AO68" s="111"/>
      <c r="AP68" s="112"/>
      <c r="AQ68" s="99">
        <f t="shared" si="18"/>
        <v>0</v>
      </c>
      <c r="AR68" s="102">
        <f t="shared" si="4"/>
        <v>0</v>
      </c>
      <c r="AS68" s="103">
        <f t="shared" si="5"/>
        <v>0.15</v>
      </c>
      <c r="AT68" s="104">
        <f t="shared" si="6"/>
        <v>4.4346733954130446</v>
      </c>
      <c r="AU68" s="56" t="s">
        <v>155</v>
      </c>
      <c r="AV68" s="56">
        <f t="shared" si="19"/>
        <v>0</v>
      </c>
    </row>
    <row r="69" spans="1:48" ht="15" customHeight="1" x14ac:dyDescent="0.45">
      <c r="A69" s="73"/>
      <c r="B69" s="113" t="s">
        <v>285</v>
      </c>
      <c r="C69" s="107">
        <v>57</v>
      </c>
      <c r="D69" s="172" t="s">
        <v>286</v>
      </c>
      <c r="E69" s="173" t="s">
        <v>287</v>
      </c>
      <c r="F69" s="174" t="s">
        <v>203</v>
      </c>
      <c r="G69" s="93"/>
      <c r="H69" s="94">
        <f t="shared" si="7"/>
        <v>0</v>
      </c>
      <c r="I69" s="94">
        <v>0.02</v>
      </c>
      <c r="J69" s="94">
        <f t="shared" si="8"/>
        <v>1.1207</v>
      </c>
      <c r="K69" s="95">
        <f t="shared" si="1"/>
        <v>0.02</v>
      </c>
      <c r="L69" s="96">
        <f t="shared" si="1"/>
        <v>1.1207</v>
      </c>
      <c r="M69" s="111"/>
      <c r="N69" s="112">
        <f t="shared" si="9"/>
        <v>0</v>
      </c>
      <c r="O69" s="112"/>
      <c r="P69" s="112">
        <f t="shared" si="26"/>
        <v>0</v>
      </c>
      <c r="Q69" s="112"/>
      <c r="R69" s="112">
        <f t="shared" si="26"/>
        <v>0</v>
      </c>
      <c r="S69" s="112"/>
      <c r="T69" s="112">
        <f t="shared" si="27"/>
        <v>0</v>
      </c>
      <c r="U69" s="112"/>
      <c r="V69" s="112">
        <f t="shared" si="27"/>
        <v>0</v>
      </c>
      <c r="W69" s="112"/>
      <c r="X69" s="112">
        <f t="shared" si="28"/>
        <v>0</v>
      </c>
      <c r="Y69" s="112"/>
      <c r="Z69" s="112">
        <f t="shared" si="28"/>
        <v>0</v>
      </c>
      <c r="AA69" s="112">
        <v>0.03</v>
      </c>
      <c r="AB69" s="112">
        <f t="shared" si="13"/>
        <v>0.68840584885326095</v>
      </c>
      <c r="AC69" s="99">
        <f t="shared" si="2"/>
        <v>0.03</v>
      </c>
      <c r="AD69" s="100">
        <f t="shared" si="2"/>
        <v>0.68840584885326095</v>
      </c>
      <c r="AE69" s="111"/>
      <c r="AF69" s="112">
        <f t="shared" si="14"/>
        <v>0</v>
      </c>
      <c r="AG69" s="112">
        <v>7.0000000000000007E-2</v>
      </c>
      <c r="AH69" s="112">
        <f t="shared" si="15"/>
        <v>1.6062803139909425</v>
      </c>
      <c r="AI69" s="112">
        <v>0.1</v>
      </c>
      <c r="AJ69" s="112">
        <f t="shared" si="16"/>
        <v>2.2946861628442035</v>
      </c>
      <c r="AK69" s="112">
        <v>7.0000000000000007E-2</v>
      </c>
      <c r="AL69" s="112">
        <f t="shared" si="17"/>
        <v>1.6062803139909425</v>
      </c>
      <c r="AM69" s="99">
        <f t="shared" si="3"/>
        <v>0.24000000000000002</v>
      </c>
      <c r="AN69" s="101">
        <f t="shared" si="3"/>
        <v>5.5072467908260885</v>
      </c>
      <c r="AO69" s="111"/>
      <c r="AP69" s="112"/>
      <c r="AQ69" s="99">
        <f t="shared" si="18"/>
        <v>0</v>
      </c>
      <c r="AR69" s="102">
        <f t="shared" si="4"/>
        <v>0</v>
      </c>
      <c r="AS69" s="103">
        <f t="shared" si="5"/>
        <v>0.29000000000000004</v>
      </c>
      <c r="AT69" s="104">
        <f t="shared" si="6"/>
        <v>7.3163526396793497</v>
      </c>
      <c r="AU69" s="56" t="s">
        <v>155</v>
      </c>
      <c r="AV69" s="56">
        <f t="shared" si="19"/>
        <v>0</v>
      </c>
    </row>
    <row r="70" spans="1:48" ht="15" customHeight="1" x14ac:dyDescent="0.45">
      <c r="A70" s="73"/>
      <c r="B70" s="90"/>
      <c r="C70" s="114">
        <v>58</v>
      </c>
      <c r="D70" s="172" t="s">
        <v>223</v>
      </c>
      <c r="E70" s="173" t="s">
        <v>224</v>
      </c>
      <c r="F70" s="174" t="s">
        <v>203</v>
      </c>
      <c r="G70" s="93"/>
      <c r="H70" s="94">
        <f t="shared" si="7"/>
        <v>0</v>
      </c>
      <c r="I70" s="94">
        <v>0.03</v>
      </c>
      <c r="J70" s="94">
        <f t="shared" si="8"/>
        <v>1.6810499999999999</v>
      </c>
      <c r="K70" s="95">
        <f t="shared" si="1"/>
        <v>0.03</v>
      </c>
      <c r="L70" s="96">
        <f t="shared" si="1"/>
        <v>1.6810499999999999</v>
      </c>
      <c r="M70" s="111"/>
      <c r="N70" s="112">
        <f t="shared" si="9"/>
        <v>0</v>
      </c>
      <c r="O70" s="112">
        <v>0.1</v>
      </c>
      <c r="P70" s="112">
        <f t="shared" si="26"/>
        <v>2.2946861628442035</v>
      </c>
      <c r="Q70" s="112">
        <v>0.1</v>
      </c>
      <c r="R70" s="112">
        <f t="shared" si="26"/>
        <v>2.2946861628442035</v>
      </c>
      <c r="S70" s="112">
        <v>0.1</v>
      </c>
      <c r="T70" s="112">
        <f t="shared" si="27"/>
        <v>2.2946861628442035</v>
      </c>
      <c r="U70" s="112">
        <v>0.1</v>
      </c>
      <c r="V70" s="112">
        <f t="shared" si="27"/>
        <v>2.2946861628442035</v>
      </c>
      <c r="W70" s="112">
        <v>0.15</v>
      </c>
      <c r="X70" s="112">
        <f t="shared" si="28"/>
        <v>3.4420292442663047</v>
      </c>
      <c r="Y70" s="112">
        <v>0.05</v>
      </c>
      <c r="Z70" s="112">
        <f t="shared" si="28"/>
        <v>1.1473430814221017</v>
      </c>
      <c r="AA70" s="112">
        <v>0.03</v>
      </c>
      <c r="AB70" s="112">
        <f t="shared" si="13"/>
        <v>0.68840584885326095</v>
      </c>
      <c r="AC70" s="99">
        <f t="shared" si="2"/>
        <v>0.63000000000000012</v>
      </c>
      <c r="AD70" s="100">
        <f t="shared" si="2"/>
        <v>14.456522825918482</v>
      </c>
      <c r="AE70" s="111"/>
      <c r="AF70" s="112">
        <f t="shared" si="14"/>
        <v>0</v>
      </c>
      <c r="AG70" s="112"/>
      <c r="AH70" s="112">
        <f t="shared" si="15"/>
        <v>0</v>
      </c>
      <c r="AI70" s="112"/>
      <c r="AJ70" s="112">
        <f t="shared" si="16"/>
        <v>0</v>
      </c>
      <c r="AK70" s="112"/>
      <c r="AL70" s="112">
        <f t="shared" si="17"/>
        <v>0</v>
      </c>
      <c r="AM70" s="99">
        <f t="shared" si="3"/>
        <v>0</v>
      </c>
      <c r="AN70" s="101">
        <f t="shared" si="3"/>
        <v>0</v>
      </c>
      <c r="AO70" s="111"/>
      <c r="AP70" s="112"/>
      <c r="AQ70" s="99">
        <f t="shared" si="18"/>
        <v>0</v>
      </c>
      <c r="AR70" s="102">
        <f t="shared" si="4"/>
        <v>0</v>
      </c>
      <c r="AS70" s="103">
        <f t="shared" si="5"/>
        <v>0.66000000000000014</v>
      </c>
      <c r="AT70" s="104">
        <f t="shared" si="6"/>
        <v>16.137572825918483</v>
      </c>
      <c r="AU70" s="56" t="s">
        <v>190</v>
      </c>
      <c r="AV70" s="56">
        <f t="shared" si="19"/>
        <v>16.137572825918483</v>
      </c>
    </row>
    <row r="71" spans="1:48" ht="15" customHeight="1" x14ac:dyDescent="0.45">
      <c r="A71" s="73"/>
      <c r="B71" s="90"/>
      <c r="C71" s="114">
        <v>59</v>
      </c>
      <c r="D71" s="172" t="s">
        <v>288</v>
      </c>
      <c r="E71" s="173" t="s">
        <v>289</v>
      </c>
      <c r="F71" s="174" t="s">
        <v>203</v>
      </c>
      <c r="G71" s="93"/>
      <c r="H71" s="94">
        <f t="shared" si="7"/>
        <v>0</v>
      </c>
      <c r="I71" s="94">
        <v>0.02</v>
      </c>
      <c r="J71" s="94">
        <f t="shared" si="8"/>
        <v>1.1207</v>
      </c>
      <c r="K71" s="95">
        <f t="shared" si="1"/>
        <v>0.02</v>
      </c>
      <c r="L71" s="96">
        <f t="shared" si="1"/>
        <v>1.1207</v>
      </c>
      <c r="M71" s="111"/>
      <c r="N71" s="112">
        <f t="shared" si="9"/>
        <v>0</v>
      </c>
      <c r="O71" s="112"/>
      <c r="P71" s="112">
        <f t="shared" si="26"/>
        <v>0</v>
      </c>
      <c r="Q71" s="112"/>
      <c r="R71" s="112">
        <f t="shared" si="26"/>
        <v>0</v>
      </c>
      <c r="S71" s="112"/>
      <c r="T71" s="112">
        <f t="shared" si="27"/>
        <v>0</v>
      </c>
      <c r="U71" s="112"/>
      <c r="V71" s="112">
        <f t="shared" si="27"/>
        <v>0</v>
      </c>
      <c r="W71" s="112"/>
      <c r="X71" s="112">
        <f t="shared" si="28"/>
        <v>0</v>
      </c>
      <c r="Y71" s="112"/>
      <c r="Z71" s="112">
        <f t="shared" si="28"/>
        <v>0</v>
      </c>
      <c r="AA71" s="112">
        <v>0.02</v>
      </c>
      <c r="AB71" s="112">
        <f t="shared" si="13"/>
        <v>0.45893723256884067</v>
      </c>
      <c r="AC71" s="99">
        <f t="shared" si="2"/>
        <v>0.02</v>
      </c>
      <c r="AD71" s="100">
        <f t="shared" si="2"/>
        <v>0.45893723256884067</v>
      </c>
      <c r="AE71" s="111"/>
      <c r="AF71" s="112">
        <f t="shared" si="14"/>
        <v>0</v>
      </c>
      <c r="AG71" s="112">
        <v>0.05</v>
      </c>
      <c r="AH71" s="112">
        <f t="shared" si="15"/>
        <v>1.1473430814221017</v>
      </c>
      <c r="AI71" s="112">
        <v>0.1</v>
      </c>
      <c r="AJ71" s="112">
        <f t="shared" si="16"/>
        <v>2.2946861628442035</v>
      </c>
      <c r="AK71" s="112">
        <v>0.08</v>
      </c>
      <c r="AL71" s="112">
        <f t="shared" si="17"/>
        <v>1.8357489302753627</v>
      </c>
      <c r="AM71" s="99">
        <f t="shared" si="3"/>
        <v>0.23000000000000004</v>
      </c>
      <c r="AN71" s="101">
        <f t="shared" si="3"/>
        <v>5.2777781745416679</v>
      </c>
      <c r="AO71" s="111"/>
      <c r="AP71" s="112"/>
      <c r="AQ71" s="99">
        <f t="shared" si="18"/>
        <v>0</v>
      </c>
      <c r="AR71" s="102">
        <f t="shared" si="4"/>
        <v>0</v>
      </c>
      <c r="AS71" s="103">
        <f t="shared" si="5"/>
        <v>0.27</v>
      </c>
      <c r="AT71" s="104">
        <f t="shared" si="6"/>
        <v>6.8574154071105085</v>
      </c>
      <c r="AU71" s="56" t="s">
        <v>155</v>
      </c>
      <c r="AV71" s="56">
        <f t="shared" si="19"/>
        <v>0</v>
      </c>
    </row>
    <row r="72" spans="1:48" ht="15" customHeight="1" x14ac:dyDescent="0.45">
      <c r="A72" s="73"/>
      <c r="B72" s="90"/>
      <c r="C72" s="107">
        <v>60</v>
      </c>
      <c r="D72" s="172" t="s">
        <v>290</v>
      </c>
      <c r="E72" s="173" t="s">
        <v>289</v>
      </c>
      <c r="F72" s="174" t="s">
        <v>291</v>
      </c>
      <c r="G72" s="93"/>
      <c r="H72" s="94">
        <f t="shared" si="7"/>
        <v>0</v>
      </c>
      <c r="I72" s="94"/>
      <c r="J72" s="94">
        <f t="shared" si="8"/>
        <v>0</v>
      </c>
      <c r="K72" s="95">
        <f t="shared" si="1"/>
        <v>0</v>
      </c>
      <c r="L72" s="96">
        <f t="shared" si="1"/>
        <v>0</v>
      </c>
      <c r="M72" s="111"/>
      <c r="N72" s="112">
        <f t="shared" si="9"/>
        <v>0</v>
      </c>
      <c r="O72" s="112"/>
      <c r="P72" s="112">
        <f t="shared" si="26"/>
        <v>0</v>
      </c>
      <c r="Q72" s="112"/>
      <c r="R72" s="112">
        <f t="shared" si="26"/>
        <v>0</v>
      </c>
      <c r="S72" s="112"/>
      <c r="T72" s="112">
        <f t="shared" si="27"/>
        <v>0</v>
      </c>
      <c r="U72" s="112"/>
      <c r="V72" s="112">
        <f t="shared" si="27"/>
        <v>0</v>
      </c>
      <c r="W72" s="112"/>
      <c r="X72" s="112">
        <f t="shared" si="28"/>
        <v>0</v>
      </c>
      <c r="Y72" s="112"/>
      <c r="Z72" s="112">
        <f t="shared" si="28"/>
        <v>0</v>
      </c>
      <c r="AA72" s="112"/>
      <c r="AB72" s="112">
        <f t="shared" si="13"/>
        <v>0</v>
      </c>
      <c r="AC72" s="99">
        <f t="shared" si="2"/>
        <v>0</v>
      </c>
      <c r="AD72" s="100">
        <f t="shared" si="2"/>
        <v>0</v>
      </c>
      <c r="AE72" s="111"/>
      <c r="AF72" s="112">
        <f t="shared" si="14"/>
        <v>0</v>
      </c>
      <c r="AG72" s="112">
        <v>0.03</v>
      </c>
      <c r="AH72" s="112">
        <f t="shared" si="15"/>
        <v>0.68840584885326095</v>
      </c>
      <c r="AI72" s="112"/>
      <c r="AJ72" s="112">
        <f t="shared" si="16"/>
        <v>0</v>
      </c>
      <c r="AK72" s="112"/>
      <c r="AL72" s="112">
        <f t="shared" si="17"/>
        <v>0</v>
      </c>
      <c r="AM72" s="99">
        <f t="shared" si="3"/>
        <v>0.03</v>
      </c>
      <c r="AN72" s="101">
        <f t="shared" si="3"/>
        <v>0.68840584885326095</v>
      </c>
      <c r="AO72" s="111"/>
      <c r="AP72" s="112"/>
      <c r="AQ72" s="99">
        <f t="shared" si="18"/>
        <v>0</v>
      </c>
      <c r="AR72" s="102">
        <f t="shared" si="4"/>
        <v>0</v>
      </c>
      <c r="AS72" s="103">
        <f t="shared" si="5"/>
        <v>0.03</v>
      </c>
      <c r="AT72" s="104">
        <f t="shared" si="6"/>
        <v>0.68840584885326095</v>
      </c>
      <c r="AU72" s="56" t="s">
        <v>155</v>
      </c>
      <c r="AV72" s="56">
        <f t="shared" si="19"/>
        <v>0</v>
      </c>
    </row>
    <row r="73" spans="1:48" ht="15" customHeight="1" x14ac:dyDescent="0.45">
      <c r="A73" s="73"/>
      <c r="B73" s="90"/>
      <c r="C73" s="114">
        <v>61</v>
      </c>
      <c r="D73" s="172" t="s">
        <v>292</v>
      </c>
      <c r="E73" s="173" t="s">
        <v>293</v>
      </c>
      <c r="F73" s="174" t="s">
        <v>203</v>
      </c>
      <c r="G73" s="93">
        <v>0.1</v>
      </c>
      <c r="H73" s="94">
        <f t="shared" si="7"/>
        <v>5.6035000000000004</v>
      </c>
      <c r="I73" s="94"/>
      <c r="J73" s="94">
        <f t="shared" si="8"/>
        <v>0</v>
      </c>
      <c r="K73" s="95">
        <f t="shared" si="1"/>
        <v>0.1</v>
      </c>
      <c r="L73" s="96">
        <f t="shared" si="1"/>
        <v>5.6035000000000004</v>
      </c>
      <c r="M73" s="111">
        <v>0.12</v>
      </c>
      <c r="N73" s="112">
        <f t="shared" si="9"/>
        <v>2.7536233954130438</v>
      </c>
      <c r="O73" s="112"/>
      <c r="P73" s="112">
        <f t="shared" si="26"/>
        <v>0</v>
      </c>
      <c r="Q73" s="112"/>
      <c r="R73" s="112">
        <f t="shared" si="26"/>
        <v>0</v>
      </c>
      <c r="S73" s="112"/>
      <c r="T73" s="112">
        <f t="shared" si="27"/>
        <v>0</v>
      </c>
      <c r="U73" s="112"/>
      <c r="V73" s="112">
        <f t="shared" si="27"/>
        <v>0</v>
      </c>
      <c r="W73" s="112"/>
      <c r="X73" s="112">
        <f t="shared" si="28"/>
        <v>0</v>
      </c>
      <c r="Y73" s="112"/>
      <c r="Z73" s="112">
        <f t="shared" si="28"/>
        <v>0</v>
      </c>
      <c r="AA73" s="112"/>
      <c r="AB73" s="112">
        <f t="shared" si="13"/>
        <v>0</v>
      </c>
      <c r="AC73" s="99">
        <f t="shared" si="2"/>
        <v>0.12</v>
      </c>
      <c r="AD73" s="100">
        <f t="shared" si="2"/>
        <v>2.7536233954130438</v>
      </c>
      <c r="AE73" s="111"/>
      <c r="AF73" s="112">
        <f t="shared" si="14"/>
        <v>0</v>
      </c>
      <c r="AG73" s="112"/>
      <c r="AH73" s="112">
        <f t="shared" si="15"/>
        <v>0</v>
      </c>
      <c r="AI73" s="112"/>
      <c r="AJ73" s="112">
        <f t="shared" si="16"/>
        <v>0</v>
      </c>
      <c r="AK73" s="112"/>
      <c r="AL73" s="112">
        <f t="shared" si="17"/>
        <v>0</v>
      </c>
      <c r="AM73" s="99">
        <f t="shared" si="3"/>
        <v>0</v>
      </c>
      <c r="AN73" s="101">
        <f t="shared" si="3"/>
        <v>0</v>
      </c>
      <c r="AO73" s="111"/>
      <c r="AP73" s="112"/>
      <c r="AQ73" s="99">
        <f t="shared" si="18"/>
        <v>0</v>
      </c>
      <c r="AR73" s="102">
        <f t="shared" si="4"/>
        <v>0</v>
      </c>
      <c r="AS73" s="103">
        <f t="shared" si="5"/>
        <v>0.22</v>
      </c>
      <c r="AT73" s="104">
        <f t="shared" si="6"/>
        <v>8.3571233954130442</v>
      </c>
      <c r="AU73" s="56" t="s">
        <v>155</v>
      </c>
      <c r="AV73" s="56">
        <f t="shared" si="19"/>
        <v>0</v>
      </c>
    </row>
    <row r="74" spans="1:48" ht="15" customHeight="1" x14ac:dyDescent="0.45">
      <c r="A74" s="73"/>
      <c r="B74" s="90"/>
      <c r="C74" s="114">
        <v>62</v>
      </c>
      <c r="D74" s="172" t="s">
        <v>294</v>
      </c>
      <c r="E74" s="173" t="s">
        <v>295</v>
      </c>
      <c r="F74" s="110" t="s">
        <v>177</v>
      </c>
      <c r="G74" s="93">
        <v>0.02</v>
      </c>
      <c r="H74" s="94">
        <f t="shared" si="7"/>
        <v>1.1207</v>
      </c>
      <c r="I74" s="94"/>
      <c r="J74" s="94">
        <f t="shared" si="8"/>
        <v>0</v>
      </c>
      <c r="K74" s="95">
        <f t="shared" si="1"/>
        <v>0.02</v>
      </c>
      <c r="L74" s="96">
        <f t="shared" si="1"/>
        <v>1.1207</v>
      </c>
      <c r="M74" s="111">
        <v>0.02</v>
      </c>
      <c r="N74" s="112">
        <f t="shared" si="9"/>
        <v>0.45893723256884067</v>
      </c>
      <c r="O74" s="112"/>
      <c r="P74" s="112">
        <f t="shared" si="26"/>
        <v>0</v>
      </c>
      <c r="Q74" s="112"/>
      <c r="R74" s="112">
        <f t="shared" si="26"/>
        <v>0</v>
      </c>
      <c r="S74" s="112"/>
      <c r="T74" s="112">
        <f t="shared" si="27"/>
        <v>0</v>
      </c>
      <c r="U74" s="112"/>
      <c r="V74" s="112">
        <f t="shared" si="27"/>
        <v>0</v>
      </c>
      <c r="W74" s="112"/>
      <c r="X74" s="112">
        <f t="shared" si="28"/>
        <v>0</v>
      </c>
      <c r="Y74" s="112"/>
      <c r="Z74" s="112">
        <f t="shared" si="28"/>
        <v>0</v>
      </c>
      <c r="AA74" s="112"/>
      <c r="AB74" s="112">
        <f t="shared" si="13"/>
        <v>0</v>
      </c>
      <c r="AC74" s="99">
        <f t="shared" si="2"/>
        <v>0.02</v>
      </c>
      <c r="AD74" s="100">
        <f t="shared" si="2"/>
        <v>0.45893723256884067</v>
      </c>
      <c r="AE74" s="111"/>
      <c r="AF74" s="112">
        <f t="shared" si="14"/>
        <v>0</v>
      </c>
      <c r="AG74" s="112">
        <v>0.05</v>
      </c>
      <c r="AH74" s="112">
        <f t="shared" si="15"/>
        <v>1.1473430814221017</v>
      </c>
      <c r="AI74" s="112">
        <v>0.18</v>
      </c>
      <c r="AJ74" s="112">
        <f t="shared" si="16"/>
        <v>4.1304350931195657</v>
      </c>
      <c r="AK74" s="112">
        <v>0.17</v>
      </c>
      <c r="AL74" s="112">
        <f t="shared" si="17"/>
        <v>3.900966476835146</v>
      </c>
      <c r="AM74" s="99">
        <f t="shared" si="3"/>
        <v>0.4</v>
      </c>
      <c r="AN74" s="101">
        <f t="shared" si="3"/>
        <v>9.1787446513768138</v>
      </c>
      <c r="AO74" s="111"/>
      <c r="AP74" s="112"/>
      <c r="AQ74" s="99">
        <f t="shared" si="18"/>
        <v>0</v>
      </c>
      <c r="AR74" s="102">
        <f t="shared" si="4"/>
        <v>0</v>
      </c>
      <c r="AS74" s="103">
        <f t="shared" si="5"/>
        <v>0.44</v>
      </c>
      <c r="AT74" s="104">
        <f t="shared" si="6"/>
        <v>10.758381883945654</v>
      </c>
      <c r="AU74" s="56" t="s">
        <v>155</v>
      </c>
      <c r="AV74" s="56">
        <f t="shared" si="19"/>
        <v>0</v>
      </c>
    </row>
    <row r="75" spans="1:48" ht="15" customHeight="1" x14ac:dyDescent="0.45">
      <c r="A75" s="73"/>
      <c r="B75" s="90"/>
      <c r="C75" s="107">
        <v>63</v>
      </c>
      <c r="D75" s="172" t="s">
        <v>296</v>
      </c>
      <c r="E75" s="173" t="s">
        <v>297</v>
      </c>
      <c r="F75" s="110" t="s">
        <v>187</v>
      </c>
      <c r="G75" s="93">
        <v>0.01</v>
      </c>
      <c r="H75" s="94">
        <f t="shared" si="7"/>
        <v>0.56035000000000001</v>
      </c>
      <c r="I75" s="94">
        <v>0.02</v>
      </c>
      <c r="J75" s="94">
        <f t="shared" si="8"/>
        <v>1.1207</v>
      </c>
      <c r="K75" s="95">
        <f t="shared" si="1"/>
        <v>0.03</v>
      </c>
      <c r="L75" s="96">
        <f t="shared" si="1"/>
        <v>1.6810499999999999</v>
      </c>
      <c r="M75" s="111">
        <v>0.01</v>
      </c>
      <c r="N75" s="112">
        <f t="shared" si="9"/>
        <v>0.22946861628442033</v>
      </c>
      <c r="O75" s="112"/>
      <c r="P75" s="112">
        <f t="shared" si="26"/>
        <v>0</v>
      </c>
      <c r="Q75" s="112"/>
      <c r="R75" s="112">
        <f t="shared" si="26"/>
        <v>0</v>
      </c>
      <c r="S75" s="112"/>
      <c r="T75" s="112">
        <f t="shared" si="27"/>
        <v>0</v>
      </c>
      <c r="U75" s="112"/>
      <c r="V75" s="112">
        <f t="shared" si="27"/>
        <v>0</v>
      </c>
      <c r="W75" s="112"/>
      <c r="X75" s="112">
        <f t="shared" si="28"/>
        <v>0</v>
      </c>
      <c r="Y75" s="112"/>
      <c r="Z75" s="112">
        <f t="shared" si="28"/>
        <v>0</v>
      </c>
      <c r="AA75" s="112">
        <v>0.02</v>
      </c>
      <c r="AB75" s="112">
        <f t="shared" si="13"/>
        <v>0.45893723256884067</v>
      </c>
      <c r="AC75" s="99">
        <f t="shared" si="2"/>
        <v>0.03</v>
      </c>
      <c r="AD75" s="100">
        <f t="shared" si="2"/>
        <v>0.68840584885326095</v>
      </c>
      <c r="AE75" s="111"/>
      <c r="AF75" s="112">
        <f t="shared" si="14"/>
        <v>0</v>
      </c>
      <c r="AG75" s="112">
        <v>0.03</v>
      </c>
      <c r="AH75" s="112">
        <f t="shared" si="15"/>
        <v>0.68840584885326095</v>
      </c>
      <c r="AI75" s="112">
        <v>0.05</v>
      </c>
      <c r="AJ75" s="112">
        <f t="shared" si="16"/>
        <v>1.1473430814221017</v>
      </c>
      <c r="AK75" s="112">
        <v>0.06</v>
      </c>
      <c r="AL75" s="112">
        <f t="shared" si="17"/>
        <v>1.3768116977065219</v>
      </c>
      <c r="AM75" s="99">
        <f t="shared" si="3"/>
        <v>0.14000000000000001</v>
      </c>
      <c r="AN75" s="101">
        <f t="shared" si="3"/>
        <v>3.2125606279818846</v>
      </c>
      <c r="AO75" s="111"/>
      <c r="AP75" s="112"/>
      <c r="AQ75" s="99">
        <f t="shared" si="18"/>
        <v>0</v>
      </c>
      <c r="AR75" s="102">
        <f t="shared" si="4"/>
        <v>0</v>
      </c>
      <c r="AS75" s="103">
        <f t="shared" si="5"/>
        <v>0.2</v>
      </c>
      <c r="AT75" s="104">
        <f t="shared" si="6"/>
        <v>5.582016476835145</v>
      </c>
      <c r="AU75" s="56" t="s">
        <v>155</v>
      </c>
      <c r="AV75" s="56">
        <f t="shared" si="19"/>
        <v>0</v>
      </c>
    </row>
    <row r="76" spans="1:48" ht="15" customHeight="1" x14ac:dyDescent="0.45">
      <c r="A76" s="73"/>
      <c r="B76" s="90"/>
      <c r="C76" s="175">
        <v>64</v>
      </c>
      <c r="D76" s="172" t="s">
        <v>298</v>
      </c>
      <c r="E76" s="173" t="s">
        <v>299</v>
      </c>
      <c r="F76" s="174" t="s">
        <v>203</v>
      </c>
      <c r="G76" s="93"/>
      <c r="H76" s="94">
        <f t="shared" si="7"/>
        <v>0</v>
      </c>
      <c r="I76" s="94"/>
      <c r="J76" s="94">
        <f t="shared" si="8"/>
        <v>0</v>
      </c>
      <c r="K76" s="95">
        <f t="shared" si="1"/>
        <v>0</v>
      </c>
      <c r="L76" s="96">
        <f t="shared" si="1"/>
        <v>0</v>
      </c>
      <c r="M76" s="111"/>
      <c r="N76" s="112">
        <f t="shared" si="9"/>
        <v>0</v>
      </c>
      <c r="O76" s="112"/>
      <c r="P76" s="112">
        <f t="shared" si="26"/>
        <v>0</v>
      </c>
      <c r="Q76" s="112"/>
      <c r="R76" s="112">
        <f t="shared" si="26"/>
        <v>0</v>
      </c>
      <c r="S76" s="112"/>
      <c r="T76" s="112">
        <f t="shared" si="27"/>
        <v>0</v>
      </c>
      <c r="U76" s="112"/>
      <c r="V76" s="112">
        <f t="shared" si="27"/>
        <v>0</v>
      </c>
      <c r="W76" s="112"/>
      <c r="X76" s="112">
        <f t="shared" si="28"/>
        <v>0</v>
      </c>
      <c r="Y76" s="112"/>
      <c r="Z76" s="112">
        <f t="shared" si="28"/>
        <v>0</v>
      </c>
      <c r="AA76" s="112"/>
      <c r="AB76" s="112">
        <f t="shared" si="13"/>
        <v>0</v>
      </c>
      <c r="AC76" s="99">
        <f t="shared" si="2"/>
        <v>0</v>
      </c>
      <c r="AD76" s="100">
        <f t="shared" si="2"/>
        <v>0</v>
      </c>
      <c r="AE76" s="111"/>
      <c r="AF76" s="112">
        <f t="shared" si="14"/>
        <v>0</v>
      </c>
      <c r="AG76" s="112">
        <v>0.03</v>
      </c>
      <c r="AH76" s="112">
        <f t="shared" si="15"/>
        <v>0.68840584885326095</v>
      </c>
      <c r="AI76" s="112">
        <v>0.05</v>
      </c>
      <c r="AJ76" s="112">
        <f t="shared" si="16"/>
        <v>1.1473430814221017</v>
      </c>
      <c r="AK76" s="112">
        <v>0.1</v>
      </c>
      <c r="AL76" s="112">
        <f t="shared" si="17"/>
        <v>2.2946861628442035</v>
      </c>
      <c r="AM76" s="99">
        <f t="shared" si="3"/>
        <v>0.18</v>
      </c>
      <c r="AN76" s="101">
        <f t="shared" si="3"/>
        <v>4.1304350931195657</v>
      </c>
      <c r="AO76" s="111"/>
      <c r="AP76" s="112"/>
      <c r="AQ76" s="99">
        <f t="shared" si="18"/>
        <v>0</v>
      </c>
      <c r="AR76" s="102">
        <f t="shared" si="4"/>
        <v>0</v>
      </c>
      <c r="AS76" s="103">
        <f t="shared" si="5"/>
        <v>0.18</v>
      </c>
      <c r="AT76" s="104">
        <f t="shared" si="6"/>
        <v>4.1304350931195657</v>
      </c>
      <c r="AU76" s="56" t="s">
        <v>155</v>
      </c>
      <c r="AV76" s="56">
        <f t="shared" si="19"/>
        <v>0</v>
      </c>
    </row>
    <row r="77" spans="1:48" ht="15" customHeight="1" x14ac:dyDescent="0.45">
      <c r="A77" s="73"/>
      <c r="B77" s="106" t="s">
        <v>300</v>
      </c>
      <c r="C77" s="107">
        <v>65</v>
      </c>
      <c r="D77" s="172" t="s">
        <v>301</v>
      </c>
      <c r="E77" s="173" t="s">
        <v>302</v>
      </c>
      <c r="F77" s="110" t="s">
        <v>177</v>
      </c>
      <c r="G77" s="93"/>
      <c r="H77" s="94">
        <f t="shared" si="7"/>
        <v>0</v>
      </c>
      <c r="I77" s="94">
        <v>0.02</v>
      </c>
      <c r="J77" s="94">
        <f t="shared" si="8"/>
        <v>1.1207</v>
      </c>
      <c r="K77" s="95">
        <f t="shared" ref="K77:L112" si="29">G77+I77</f>
        <v>0.02</v>
      </c>
      <c r="L77" s="96">
        <f t="shared" si="29"/>
        <v>1.1207</v>
      </c>
      <c r="M77" s="111"/>
      <c r="N77" s="112">
        <f t="shared" si="9"/>
        <v>0</v>
      </c>
      <c r="O77" s="112"/>
      <c r="P77" s="112">
        <f t="shared" si="26"/>
        <v>0</v>
      </c>
      <c r="Q77" s="112"/>
      <c r="R77" s="112">
        <f t="shared" si="26"/>
        <v>0</v>
      </c>
      <c r="S77" s="112"/>
      <c r="T77" s="112">
        <f t="shared" si="27"/>
        <v>0</v>
      </c>
      <c r="U77" s="112"/>
      <c r="V77" s="112">
        <f t="shared" si="27"/>
        <v>0</v>
      </c>
      <c r="W77" s="112"/>
      <c r="X77" s="112">
        <f t="shared" si="28"/>
        <v>0</v>
      </c>
      <c r="Y77" s="112"/>
      <c r="Z77" s="112">
        <f t="shared" si="28"/>
        <v>0</v>
      </c>
      <c r="AA77" s="112">
        <v>0.02</v>
      </c>
      <c r="AB77" s="112">
        <f t="shared" si="13"/>
        <v>0.45893723256884067</v>
      </c>
      <c r="AC77" s="99">
        <f t="shared" ref="AC77:AD112" si="30">M77+O77+Q77+S77+U77+W77+Y77+AA77</f>
        <v>0.02</v>
      </c>
      <c r="AD77" s="100">
        <f t="shared" si="30"/>
        <v>0.45893723256884067</v>
      </c>
      <c r="AE77" s="111"/>
      <c r="AF77" s="112">
        <f t="shared" si="14"/>
        <v>0</v>
      </c>
      <c r="AG77" s="112">
        <v>0.05</v>
      </c>
      <c r="AH77" s="112">
        <f t="shared" si="15"/>
        <v>1.1473430814221017</v>
      </c>
      <c r="AI77" s="112">
        <v>7.0000000000000007E-2</v>
      </c>
      <c r="AJ77" s="112">
        <f t="shared" si="16"/>
        <v>1.6062803139909425</v>
      </c>
      <c r="AK77" s="112">
        <v>0.05</v>
      </c>
      <c r="AL77" s="112">
        <f t="shared" si="17"/>
        <v>1.1473430814221017</v>
      </c>
      <c r="AM77" s="99">
        <f t="shared" ref="AM77:AN112" si="31">AE77+AG77+AI77+AK77</f>
        <v>0.17</v>
      </c>
      <c r="AN77" s="101">
        <f t="shared" si="31"/>
        <v>3.900966476835146</v>
      </c>
      <c r="AO77" s="111"/>
      <c r="AP77" s="112"/>
      <c r="AQ77" s="99">
        <f t="shared" si="18"/>
        <v>0</v>
      </c>
      <c r="AR77" s="102">
        <f t="shared" si="18"/>
        <v>0</v>
      </c>
      <c r="AS77" s="103">
        <f t="shared" ref="AS77:AS112" si="32">K77+AC77+AM77</f>
        <v>0.21000000000000002</v>
      </c>
      <c r="AT77" s="104">
        <f t="shared" ref="AT77:AT112" si="33">L77+AD77+AN77+AR77</f>
        <v>5.4806037094039866</v>
      </c>
      <c r="AU77" s="56" t="s">
        <v>155</v>
      </c>
      <c r="AV77" s="56">
        <f t="shared" si="19"/>
        <v>0</v>
      </c>
    </row>
    <row r="78" spans="1:48" ht="15" customHeight="1" x14ac:dyDescent="0.45">
      <c r="A78" s="73"/>
      <c r="B78" s="90" t="s">
        <v>303</v>
      </c>
      <c r="C78" s="107">
        <v>66</v>
      </c>
      <c r="D78" s="172" t="s">
        <v>304</v>
      </c>
      <c r="E78" s="173" t="s">
        <v>305</v>
      </c>
      <c r="F78" s="174" t="s">
        <v>203</v>
      </c>
      <c r="G78" s="93"/>
      <c r="H78" s="94">
        <f t="shared" ref="H78:H112" si="34">$H$12/$G$12*G78</f>
        <v>0</v>
      </c>
      <c r="I78" s="94">
        <v>0.02</v>
      </c>
      <c r="J78" s="94">
        <f t="shared" ref="J78:J112" si="35">$J$12/$I$12*I78</f>
        <v>1.1207</v>
      </c>
      <c r="K78" s="95">
        <f t="shared" si="29"/>
        <v>0.02</v>
      </c>
      <c r="L78" s="96">
        <f t="shared" si="29"/>
        <v>1.1207</v>
      </c>
      <c r="M78" s="111"/>
      <c r="N78" s="112">
        <f t="shared" ref="N78:N112" si="36">N$12/M$12*M78</f>
        <v>0</v>
      </c>
      <c r="O78" s="112"/>
      <c r="P78" s="112">
        <f t="shared" ref="P78:R93" si="37">P$12/O$12*O78</f>
        <v>0</v>
      </c>
      <c r="Q78" s="112"/>
      <c r="R78" s="112">
        <f t="shared" si="37"/>
        <v>0</v>
      </c>
      <c r="S78" s="112"/>
      <c r="T78" s="112">
        <f t="shared" ref="T78:V93" si="38">T$12/S$12*S78</f>
        <v>0</v>
      </c>
      <c r="U78" s="112"/>
      <c r="V78" s="112">
        <f t="shared" si="38"/>
        <v>0</v>
      </c>
      <c r="W78" s="112"/>
      <c r="X78" s="112">
        <f t="shared" ref="X78:Z93" si="39">X$12/W$12*W78</f>
        <v>0</v>
      </c>
      <c r="Y78" s="112"/>
      <c r="Z78" s="112">
        <f t="shared" si="39"/>
        <v>0</v>
      </c>
      <c r="AA78" s="112">
        <v>0.02</v>
      </c>
      <c r="AB78" s="112">
        <f t="shared" ref="AB78:AB112" si="40">AB$12/AA$12*AA78</f>
        <v>0.45893723256884067</v>
      </c>
      <c r="AC78" s="99">
        <f t="shared" si="30"/>
        <v>0.02</v>
      </c>
      <c r="AD78" s="100">
        <f t="shared" si="30"/>
        <v>0.45893723256884067</v>
      </c>
      <c r="AE78" s="111"/>
      <c r="AF78" s="112">
        <f t="shared" ref="AF78:AF112" si="41">AF$12/AE$12*AE78</f>
        <v>0</v>
      </c>
      <c r="AG78" s="112">
        <v>0.05</v>
      </c>
      <c r="AH78" s="112">
        <f t="shared" ref="AH78:AH112" si="42">AH$12/AG$12*AG78</f>
        <v>1.1473430814221017</v>
      </c>
      <c r="AI78" s="112">
        <v>0.09</v>
      </c>
      <c r="AJ78" s="112">
        <f t="shared" ref="AJ78:AJ112" si="43">AJ$12/AI$12*AI78</f>
        <v>2.0652175465597828</v>
      </c>
      <c r="AK78" s="112">
        <v>0.11</v>
      </c>
      <c r="AL78" s="112">
        <f t="shared" ref="AL78:AL112" si="44">AL$12/AK$12*AK78</f>
        <v>2.5241547791286236</v>
      </c>
      <c r="AM78" s="99">
        <f t="shared" si="31"/>
        <v>0.25</v>
      </c>
      <c r="AN78" s="101">
        <f t="shared" si="31"/>
        <v>5.7367154071105082</v>
      </c>
      <c r="AO78" s="111"/>
      <c r="AP78" s="112"/>
      <c r="AQ78" s="99">
        <f t="shared" ref="AQ78:AR112" si="45">AO78</f>
        <v>0</v>
      </c>
      <c r="AR78" s="102">
        <f t="shared" si="45"/>
        <v>0</v>
      </c>
      <c r="AS78" s="103">
        <f t="shared" si="32"/>
        <v>0.28999999999999998</v>
      </c>
      <c r="AT78" s="104">
        <f t="shared" si="33"/>
        <v>7.3163526396793488</v>
      </c>
      <c r="AU78" s="56" t="s">
        <v>155</v>
      </c>
      <c r="AV78" s="56">
        <f t="shared" ref="AV78:AV112" si="46">IF(AU78="●",AT78,0)</f>
        <v>0</v>
      </c>
    </row>
    <row r="79" spans="1:48" ht="15" customHeight="1" x14ac:dyDescent="0.45">
      <c r="A79" s="73"/>
      <c r="B79" s="90"/>
      <c r="C79" s="114">
        <v>67</v>
      </c>
      <c r="D79" s="172" t="s">
        <v>306</v>
      </c>
      <c r="E79" s="173" t="s">
        <v>307</v>
      </c>
      <c r="F79" s="174" t="s">
        <v>203</v>
      </c>
      <c r="G79" s="93"/>
      <c r="H79" s="94">
        <f t="shared" si="34"/>
        <v>0</v>
      </c>
      <c r="I79" s="94">
        <v>0.02</v>
      </c>
      <c r="J79" s="94">
        <f t="shared" si="35"/>
        <v>1.1207</v>
      </c>
      <c r="K79" s="95">
        <f t="shared" si="29"/>
        <v>0.02</v>
      </c>
      <c r="L79" s="96">
        <f t="shared" si="29"/>
        <v>1.1207</v>
      </c>
      <c r="M79" s="111"/>
      <c r="N79" s="112">
        <f t="shared" si="36"/>
        <v>0</v>
      </c>
      <c r="O79" s="112"/>
      <c r="P79" s="112">
        <f t="shared" si="37"/>
        <v>0</v>
      </c>
      <c r="Q79" s="112"/>
      <c r="R79" s="112">
        <f t="shared" si="37"/>
        <v>0</v>
      </c>
      <c r="S79" s="112"/>
      <c r="T79" s="112">
        <f t="shared" si="38"/>
        <v>0</v>
      </c>
      <c r="U79" s="112"/>
      <c r="V79" s="112">
        <f t="shared" si="38"/>
        <v>0</v>
      </c>
      <c r="W79" s="112"/>
      <c r="X79" s="112">
        <f t="shared" si="39"/>
        <v>0</v>
      </c>
      <c r="Y79" s="112"/>
      <c r="Z79" s="112">
        <f t="shared" si="39"/>
        <v>0</v>
      </c>
      <c r="AA79" s="112">
        <v>0.02</v>
      </c>
      <c r="AB79" s="112">
        <f t="shared" si="40"/>
        <v>0.45893723256884067</v>
      </c>
      <c r="AC79" s="99">
        <f t="shared" si="30"/>
        <v>0.02</v>
      </c>
      <c r="AD79" s="100">
        <f t="shared" si="30"/>
        <v>0.45893723256884067</v>
      </c>
      <c r="AE79" s="111"/>
      <c r="AF79" s="112">
        <f t="shared" si="41"/>
        <v>0</v>
      </c>
      <c r="AG79" s="112">
        <v>0.05</v>
      </c>
      <c r="AH79" s="112">
        <f t="shared" si="42"/>
        <v>1.1473430814221017</v>
      </c>
      <c r="AI79" s="112">
        <v>0.05</v>
      </c>
      <c r="AJ79" s="112">
        <f t="shared" si="43"/>
        <v>1.1473430814221017</v>
      </c>
      <c r="AK79" s="112">
        <v>0.05</v>
      </c>
      <c r="AL79" s="112">
        <f t="shared" si="44"/>
        <v>1.1473430814221017</v>
      </c>
      <c r="AM79" s="99">
        <f t="shared" si="31"/>
        <v>0.15000000000000002</v>
      </c>
      <c r="AN79" s="101">
        <f t="shared" si="31"/>
        <v>3.4420292442663052</v>
      </c>
      <c r="AO79" s="111"/>
      <c r="AP79" s="112"/>
      <c r="AQ79" s="99">
        <f t="shared" si="45"/>
        <v>0</v>
      </c>
      <c r="AR79" s="102">
        <f t="shared" si="45"/>
        <v>0</v>
      </c>
      <c r="AS79" s="103">
        <f t="shared" si="32"/>
        <v>0.19000000000000003</v>
      </c>
      <c r="AT79" s="104">
        <f t="shared" si="33"/>
        <v>5.0216664768351453</v>
      </c>
      <c r="AU79" s="56" t="s">
        <v>155</v>
      </c>
      <c r="AV79" s="56">
        <f t="shared" si="46"/>
        <v>0</v>
      </c>
    </row>
    <row r="80" spans="1:48" ht="15" customHeight="1" x14ac:dyDescent="0.45">
      <c r="A80" s="73"/>
      <c r="B80" s="90"/>
      <c r="C80" s="114">
        <v>68</v>
      </c>
      <c r="D80" s="172" t="s">
        <v>308</v>
      </c>
      <c r="E80" s="173" t="s">
        <v>309</v>
      </c>
      <c r="F80" s="174" t="s">
        <v>203</v>
      </c>
      <c r="G80" s="93"/>
      <c r="H80" s="94">
        <f t="shared" si="34"/>
        <v>0</v>
      </c>
      <c r="I80" s="94">
        <v>0.02</v>
      </c>
      <c r="J80" s="94">
        <f t="shared" si="35"/>
        <v>1.1207</v>
      </c>
      <c r="K80" s="95">
        <f t="shared" si="29"/>
        <v>0.02</v>
      </c>
      <c r="L80" s="96">
        <f t="shared" si="29"/>
        <v>1.1207</v>
      </c>
      <c r="M80" s="111"/>
      <c r="N80" s="112">
        <f t="shared" si="36"/>
        <v>0</v>
      </c>
      <c r="O80" s="112"/>
      <c r="P80" s="112">
        <f t="shared" si="37"/>
        <v>0</v>
      </c>
      <c r="Q80" s="112"/>
      <c r="R80" s="112">
        <f t="shared" si="37"/>
        <v>0</v>
      </c>
      <c r="S80" s="112"/>
      <c r="T80" s="112">
        <f t="shared" si="38"/>
        <v>0</v>
      </c>
      <c r="U80" s="112"/>
      <c r="V80" s="112">
        <f t="shared" si="38"/>
        <v>0</v>
      </c>
      <c r="W80" s="112"/>
      <c r="X80" s="112">
        <f t="shared" si="39"/>
        <v>0</v>
      </c>
      <c r="Y80" s="112"/>
      <c r="Z80" s="112">
        <f t="shared" si="39"/>
        <v>0</v>
      </c>
      <c r="AA80" s="112">
        <v>0.02</v>
      </c>
      <c r="AB80" s="112">
        <f t="shared" si="40"/>
        <v>0.45893723256884067</v>
      </c>
      <c r="AC80" s="99">
        <f t="shared" si="30"/>
        <v>0.02</v>
      </c>
      <c r="AD80" s="100">
        <f t="shared" si="30"/>
        <v>0.45893723256884067</v>
      </c>
      <c r="AE80" s="111"/>
      <c r="AF80" s="112">
        <f t="shared" si="41"/>
        <v>0</v>
      </c>
      <c r="AG80" s="112">
        <v>0.05</v>
      </c>
      <c r="AH80" s="112">
        <f t="shared" si="42"/>
        <v>1.1473430814221017</v>
      </c>
      <c r="AI80" s="112">
        <v>0.03</v>
      </c>
      <c r="AJ80" s="112">
        <f t="shared" si="43"/>
        <v>0.68840584885326095</v>
      </c>
      <c r="AK80" s="112">
        <v>0.03</v>
      </c>
      <c r="AL80" s="112">
        <f t="shared" si="44"/>
        <v>0.68840584885326095</v>
      </c>
      <c r="AM80" s="99">
        <f t="shared" si="31"/>
        <v>0.11</v>
      </c>
      <c r="AN80" s="101">
        <f t="shared" si="31"/>
        <v>2.5241547791286236</v>
      </c>
      <c r="AO80" s="111"/>
      <c r="AP80" s="112"/>
      <c r="AQ80" s="99">
        <f t="shared" si="45"/>
        <v>0</v>
      </c>
      <c r="AR80" s="102">
        <f t="shared" si="45"/>
        <v>0</v>
      </c>
      <c r="AS80" s="103">
        <f t="shared" si="32"/>
        <v>0.15</v>
      </c>
      <c r="AT80" s="104">
        <f t="shared" si="33"/>
        <v>4.1037920116974647</v>
      </c>
      <c r="AU80" s="56" t="s">
        <v>155</v>
      </c>
      <c r="AV80" s="56">
        <f t="shared" si="46"/>
        <v>0</v>
      </c>
    </row>
    <row r="81" spans="1:48" ht="15" customHeight="1" x14ac:dyDescent="0.45">
      <c r="A81" s="73"/>
      <c r="B81" s="90"/>
      <c r="C81" s="107">
        <v>69</v>
      </c>
      <c r="D81" s="172" t="s">
        <v>310</v>
      </c>
      <c r="E81" s="173" t="s">
        <v>311</v>
      </c>
      <c r="F81" s="174" t="s">
        <v>203</v>
      </c>
      <c r="G81" s="93"/>
      <c r="H81" s="94">
        <f t="shared" si="34"/>
        <v>0</v>
      </c>
      <c r="I81" s="94"/>
      <c r="J81" s="94">
        <f t="shared" si="35"/>
        <v>0</v>
      </c>
      <c r="K81" s="95">
        <f t="shared" si="29"/>
        <v>0</v>
      </c>
      <c r="L81" s="96">
        <f t="shared" si="29"/>
        <v>0</v>
      </c>
      <c r="M81" s="111"/>
      <c r="N81" s="112">
        <f t="shared" si="36"/>
        <v>0</v>
      </c>
      <c r="O81" s="112">
        <v>0.01</v>
      </c>
      <c r="P81" s="112">
        <f t="shared" si="37"/>
        <v>0.22946861628442033</v>
      </c>
      <c r="Q81" s="112">
        <v>0.01</v>
      </c>
      <c r="R81" s="112">
        <f t="shared" si="37"/>
        <v>0.22946861628442033</v>
      </c>
      <c r="S81" s="112">
        <v>0.01</v>
      </c>
      <c r="T81" s="112">
        <f t="shared" si="38"/>
        <v>0.22946861628442033</v>
      </c>
      <c r="U81" s="112">
        <v>0.01</v>
      </c>
      <c r="V81" s="112">
        <f t="shared" si="38"/>
        <v>0.22946861628442033</v>
      </c>
      <c r="W81" s="112">
        <v>0.01</v>
      </c>
      <c r="X81" s="112">
        <f t="shared" si="39"/>
        <v>0.22946861628442033</v>
      </c>
      <c r="Y81" s="112">
        <v>0.01</v>
      </c>
      <c r="Z81" s="112">
        <f t="shared" si="39"/>
        <v>0.22946861628442033</v>
      </c>
      <c r="AA81" s="112"/>
      <c r="AB81" s="112">
        <f t="shared" si="40"/>
        <v>0</v>
      </c>
      <c r="AC81" s="99">
        <f t="shared" si="30"/>
        <v>6.0000000000000005E-2</v>
      </c>
      <c r="AD81" s="100">
        <f t="shared" si="30"/>
        <v>1.3768116977065221</v>
      </c>
      <c r="AE81" s="111"/>
      <c r="AF81" s="112">
        <f t="shared" si="41"/>
        <v>0</v>
      </c>
      <c r="AG81" s="112"/>
      <c r="AH81" s="112">
        <f t="shared" si="42"/>
        <v>0</v>
      </c>
      <c r="AI81" s="112"/>
      <c r="AJ81" s="112">
        <f t="shared" si="43"/>
        <v>0</v>
      </c>
      <c r="AK81" s="112"/>
      <c r="AL81" s="112">
        <f t="shared" si="44"/>
        <v>0</v>
      </c>
      <c r="AM81" s="99">
        <f t="shared" si="31"/>
        <v>0</v>
      </c>
      <c r="AN81" s="101">
        <f t="shared" si="31"/>
        <v>0</v>
      </c>
      <c r="AO81" s="111"/>
      <c r="AP81" s="112"/>
      <c r="AQ81" s="99">
        <f t="shared" si="45"/>
        <v>0</v>
      </c>
      <c r="AR81" s="102">
        <f t="shared" si="45"/>
        <v>0</v>
      </c>
      <c r="AS81" s="103">
        <f t="shared" si="32"/>
        <v>6.0000000000000005E-2</v>
      </c>
      <c r="AT81" s="104">
        <f t="shared" si="33"/>
        <v>1.3768116977065221</v>
      </c>
      <c r="AU81" s="56" t="s">
        <v>155</v>
      </c>
      <c r="AV81" s="56">
        <f t="shared" si="46"/>
        <v>0</v>
      </c>
    </row>
    <row r="82" spans="1:48" ht="15" customHeight="1" x14ac:dyDescent="0.45">
      <c r="A82" s="73"/>
      <c r="B82" s="90"/>
      <c r="C82" s="114">
        <v>70</v>
      </c>
      <c r="D82" s="172" t="s">
        <v>312</v>
      </c>
      <c r="E82" s="173" t="s">
        <v>313</v>
      </c>
      <c r="F82" s="110" t="s">
        <v>177</v>
      </c>
      <c r="G82" s="93"/>
      <c r="H82" s="94">
        <f t="shared" si="34"/>
        <v>0</v>
      </c>
      <c r="I82" s="94">
        <v>0.01</v>
      </c>
      <c r="J82" s="94">
        <f t="shared" si="35"/>
        <v>0.56035000000000001</v>
      </c>
      <c r="K82" s="95">
        <f t="shared" si="29"/>
        <v>0.01</v>
      </c>
      <c r="L82" s="96">
        <f t="shared" si="29"/>
        <v>0.56035000000000001</v>
      </c>
      <c r="M82" s="111"/>
      <c r="N82" s="112">
        <f t="shared" si="36"/>
        <v>0</v>
      </c>
      <c r="O82" s="112"/>
      <c r="P82" s="112">
        <f t="shared" si="37"/>
        <v>0</v>
      </c>
      <c r="Q82" s="112"/>
      <c r="R82" s="112">
        <f t="shared" si="37"/>
        <v>0</v>
      </c>
      <c r="S82" s="112"/>
      <c r="T82" s="112">
        <f t="shared" si="38"/>
        <v>0</v>
      </c>
      <c r="U82" s="112"/>
      <c r="V82" s="112">
        <f t="shared" si="38"/>
        <v>0</v>
      </c>
      <c r="W82" s="112"/>
      <c r="X82" s="112">
        <f t="shared" si="39"/>
        <v>0</v>
      </c>
      <c r="Y82" s="112"/>
      <c r="Z82" s="112">
        <f t="shared" si="39"/>
        <v>0</v>
      </c>
      <c r="AA82" s="112">
        <v>0.05</v>
      </c>
      <c r="AB82" s="112">
        <f t="shared" si="40"/>
        <v>1.1473430814221017</v>
      </c>
      <c r="AC82" s="99">
        <f t="shared" si="30"/>
        <v>0.05</v>
      </c>
      <c r="AD82" s="100">
        <f t="shared" si="30"/>
        <v>1.1473430814221017</v>
      </c>
      <c r="AE82" s="111"/>
      <c r="AF82" s="112">
        <f t="shared" si="41"/>
        <v>0</v>
      </c>
      <c r="AG82" s="112">
        <v>0.03</v>
      </c>
      <c r="AH82" s="112">
        <f t="shared" si="42"/>
        <v>0.68840584885326095</v>
      </c>
      <c r="AI82" s="112">
        <v>0.04</v>
      </c>
      <c r="AJ82" s="112">
        <f t="shared" si="43"/>
        <v>0.91787446513768134</v>
      </c>
      <c r="AK82" s="112">
        <v>0.04</v>
      </c>
      <c r="AL82" s="112">
        <f t="shared" si="44"/>
        <v>0.91787446513768134</v>
      </c>
      <c r="AM82" s="99">
        <f t="shared" si="31"/>
        <v>0.11000000000000001</v>
      </c>
      <c r="AN82" s="101">
        <f t="shared" si="31"/>
        <v>2.5241547791286236</v>
      </c>
      <c r="AO82" s="111"/>
      <c r="AP82" s="112"/>
      <c r="AQ82" s="99">
        <f t="shared" si="45"/>
        <v>0</v>
      </c>
      <c r="AR82" s="102">
        <f t="shared" si="45"/>
        <v>0</v>
      </c>
      <c r="AS82" s="103">
        <f t="shared" si="32"/>
        <v>0.17</v>
      </c>
      <c r="AT82" s="104">
        <f t="shared" si="33"/>
        <v>4.2318478605507259</v>
      </c>
      <c r="AU82" s="56" t="s">
        <v>155</v>
      </c>
      <c r="AV82" s="56">
        <f t="shared" si="46"/>
        <v>0</v>
      </c>
    </row>
    <row r="83" spans="1:48" ht="15" customHeight="1" x14ac:dyDescent="0.45">
      <c r="A83" s="73"/>
      <c r="B83" s="90"/>
      <c r="C83" s="107">
        <v>71</v>
      </c>
      <c r="D83" s="172" t="s">
        <v>314</v>
      </c>
      <c r="E83" s="173" t="s">
        <v>315</v>
      </c>
      <c r="F83" s="110" t="s">
        <v>187</v>
      </c>
      <c r="G83" s="93"/>
      <c r="H83" s="94">
        <f t="shared" si="34"/>
        <v>0</v>
      </c>
      <c r="I83" s="94">
        <v>0.01</v>
      </c>
      <c r="J83" s="94">
        <f t="shared" si="35"/>
        <v>0.56035000000000001</v>
      </c>
      <c r="K83" s="95">
        <f t="shared" si="29"/>
        <v>0.01</v>
      </c>
      <c r="L83" s="96">
        <f t="shared" si="29"/>
        <v>0.56035000000000001</v>
      </c>
      <c r="M83" s="111"/>
      <c r="N83" s="112">
        <f t="shared" si="36"/>
        <v>0</v>
      </c>
      <c r="O83" s="112"/>
      <c r="P83" s="112">
        <f t="shared" si="37"/>
        <v>0</v>
      </c>
      <c r="Q83" s="112"/>
      <c r="R83" s="112">
        <f t="shared" si="37"/>
        <v>0</v>
      </c>
      <c r="S83" s="112"/>
      <c r="T83" s="112">
        <f t="shared" si="38"/>
        <v>0</v>
      </c>
      <c r="U83" s="112"/>
      <c r="V83" s="112">
        <f t="shared" si="38"/>
        <v>0</v>
      </c>
      <c r="W83" s="112"/>
      <c r="X83" s="112">
        <f t="shared" si="39"/>
        <v>0</v>
      </c>
      <c r="Y83" s="112"/>
      <c r="Z83" s="112">
        <f t="shared" si="39"/>
        <v>0</v>
      </c>
      <c r="AA83" s="112">
        <v>0.01</v>
      </c>
      <c r="AB83" s="112">
        <f t="shared" si="40"/>
        <v>0.22946861628442033</v>
      </c>
      <c r="AC83" s="99">
        <f t="shared" si="30"/>
        <v>0.01</v>
      </c>
      <c r="AD83" s="100">
        <f t="shared" si="30"/>
        <v>0.22946861628442033</v>
      </c>
      <c r="AE83" s="111"/>
      <c r="AF83" s="112">
        <f t="shared" si="41"/>
        <v>0</v>
      </c>
      <c r="AG83" s="112">
        <v>0.03</v>
      </c>
      <c r="AH83" s="112">
        <f t="shared" si="42"/>
        <v>0.68840584885326095</v>
      </c>
      <c r="AI83" s="112">
        <v>0.04</v>
      </c>
      <c r="AJ83" s="112">
        <f t="shared" si="43"/>
        <v>0.91787446513768134</v>
      </c>
      <c r="AK83" s="112">
        <v>0.04</v>
      </c>
      <c r="AL83" s="112">
        <f t="shared" si="44"/>
        <v>0.91787446513768134</v>
      </c>
      <c r="AM83" s="99">
        <f t="shared" si="31"/>
        <v>0.11000000000000001</v>
      </c>
      <c r="AN83" s="101">
        <f t="shared" si="31"/>
        <v>2.5241547791286236</v>
      </c>
      <c r="AO83" s="111"/>
      <c r="AP83" s="112"/>
      <c r="AQ83" s="99">
        <f t="shared" si="45"/>
        <v>0</v>
      </c>
      <c r="AR83" s="102">
        <f t="shared" si="45"/>
        <v>0</v>
      </c>
      <c r="AS83" s="103">
        <f t="shared" si="32"/>
        <v>0.13</v>
      </c>
      <c r="AT83" s="104">
        <f t="shared" si="33"/>
        <v>3.3139733954130439</v>
      </c>
      <c r="AU83" s="56" t="s">
        <v>155</v>
      </c>
      <c r="AV83" s="56">
        <f t="shared" si="46"/>
        <v>0</v>
      </c>
    </row>
    <row r="84" spans="1:48" ht="15" customHeight="1" thickBot="1" x14ac:dyDescent="0.5">
      <c r="A84" s="150"/>
      <c r="B84" s="151"/>
      <c r="C84" s="186">
        <v>72</v>
      </c>
      <c r="D84" s="187" t="s">
        <v>316</v>
      </c>
      <c r="E84" s="188" t="s">
        <v>317</v>
      </c>
      <c r="F84" s="155" t="s">
        <v>187</v>
      </c>
      <c r="G84" s="156">
        <v>0.01</v>
      </c>
      <c r="H84" s="157">
        <f t="shared" si="34"/>
        <v>0.56035000000000001</v>
      </c>
      <c r="I84" s="157"/>
      <c r="J84" s="157">
        <f t="shared" si="35"/>
        <v>0</v>
      </c>
      <c r="K84" s="158">
        <f t="shared" si="29"/>
        <v>0.01</v>
      </c>
      <c r="L84" s="159">
        <f t="shared" si="29"/>
        <v>0.56035000000000001</v>
      </c>
      <c r="M84" s="160"/>
      <c r="N84" s="161">
        <f t="shared" si="36"/>
        <v>0</v>
      </c>
      <c r="O84" s="161">
        <v>0.01</v>
      </c>
      <c r="P84" s="161">
        <f t="shared" si="37"/>
        <v>0.22946861628442033</v>
      </c>
      <c r="Q84" s="161">
        <v>0.01</v>
      </c>
      <c r="R84" s="161">
        <f t="shared" si="37"/>
        <v>0.22946861628442033</v>
      </c>
      <c r="S84" s="161">
        <v>0.01</v>
      </c>
      <c r="T84" s="161">
        <f t="shared" si="38"/>
        <v>0.22946861628442033</v>
      </c>
      <c r="U84" s="161">
        <v>0.01</v>
      </c>
      <c r="V84" s="161">
        <f t="shared" si="38"/>
        <v>0.22946861628442033</v>
      </c>
      <c r="W84" s="161">
        <v>0.01</v>
      </c>
      <c r="X84" s="161">
        <f t="shared" si="39"/>
        <v>0.22946861628442033</v>
      </c>
      <c r="Y84" s="161">
        <v>0.01</v>
      </c>
      <c r="Z84" s="161">
        <f t="shared" si="39"/>
        <v>0.22946861628442033</v>
      </c>
      <c r="AA84" s="161"/>
      <c r="AB84" s="161">
        <f t="shared" si="40"/>
        <v>0</v>
      </c>
      <c r="AC84" s="162">
        <f t="shared" si="30"/>
        <v>6.0000000000000005E-2</v>
      </c>
      <c r="AD84" s="163">
        <f t="shared" si="30"/>
        <v>1.3768116977065221</v>
      </c>
      <c r="AE84" s="160"/>
      <c r="AF84" s="161">
        <f t="shared" si="41"/>
        <v>0</v>
      </c>
      <c r="AG84" s="161"/>
      <c r="AH84" s="161">
        <f t="shared" si="42"/>
        <v>0</v>
      </c>
      <c r="AI84" s="161"/>
      <c r="AJ84" s="161">
        <f t="shared" si="43"/>
        <v>0</v>
      </c>
      <c r="AK84" s="161"/>
      <c r="AL84" s="161">
        <f t="shared" si="44"/>
        <v>0</v>
      </c>
      <c r="AM84" s="162">
        <f t="shared" si="31"/>
        <v>0</v>
      </c>
      <c r="AN84" s="164">
        <f t="shared" si="31"/>
        <v>0</v>
      </c>
      <c r="AO84" s="160"/>
      <c r="AP84" s="161"/>
      <c r="AQ84" s="162">
        <f t="shared" si="45"/>
        <v>0</v>
      </c>
      <c r="AR84" s="165">
        <f t="shared" si="45"/>
        <v>0</v>
      </c>
      <c r="AS84" s="166">
        <f t="shared" si="32"/>
        <v>7.0000000000000007E-2</v>
      </c>
      <c r="AT84" s="167">
        <f t="shared" si="33"/>
        <v>1.937161697706522</v>
      </c>
      <c r="AU84" s="130" t="s">
        <v>155</v>
      </c>
      <c r="AV84" s="56">
        <f t="shared" si="46"/>
        <v>0</v>
      </c>
    </row>
    <row r="85" spans="1:48" ht="15" customHeight="1" thickTop="1" x14ac:dyDescent="0.45">
      <c r="A85" s="73" t="s">
        <v>318</v>
      </c>
      <c r="B85" s="90" t="s">
        <v>318</v>
      </c>
      <c r="C85" s="114">
        <v>73</v>
      </c>
      <c r="D85" s="108" t="s">
        <v>319</v>
      </c>
      <c r="E85" s="109" t="s">
        <v>320</v>
      </c>
      <c r="F85" s="110" t="s">
        <v>203</v>
      </c>
      <c r="G85" s="78"/>
      <c r="H85" s="79">
        <f t="shared" si="34"/>
        <v>0</v>
      </c>
      <c r="I85" s="79"/>
      <c r="J85" s="79">
        <f t="shared" si="35"/>
        <v>0</v>
      </c>
      <c r="K85" s="80">
        <f t="shared" si="29"/>
        <v>0</v>
      </c>
      <c r="L85" s="81">
        <f t="shared" si="29"/>
        <v>0</v>
      </c>
      <c r="M85" s="169"/>
      <c r="N85" s="170">
        <f t="shared" si="36"/>
        <v>0</v>
      </c>
      <c r="O85" s="170"/>
      <c r="P85" s="170">
        <f t="shared" si="37"/>
        <v>0</v>
      </c>
      <c r="Q85" s="170"/>
      <c r="R85" s="170">
        <f t="shared" si="37"/>
        <v>0</v>
      </c>
      <c r="S85" s="170"/>
      <c r="T85" s="170">
        <f t="shared" si="38"/>
        <v>0</v>
      </c>
      <c r="U85" s="170"/>
      <c r="V85" s="170">
        <f t="shared" si="38"/>
        <v>0</v>
      </c>
      <c r="W85" s="170"/>
      <c r="X85" s="170">
        <f t="shared" si="39"/>
        <v>0</v>
      </c>
      <c r="Y85" s="170">
        <v>0.05</v>
      </c>
      <c r="Z85" s="170">
        <f t="shared" si="39"/>
        <v>1.1473430814221017</v>
      </c>
      <c r="AA85" s="170"/>
      <c r="AB85" s="170">
        <f t="shared" si="40"/>
        <v>0</v>
      </c>
      <c r="AC85" s="84">
        <f t="shared" si="30"/>
        <v>0.05</v>
      </c>
      <c r="AD85" s="85">
        <f t="shared" si="30"/>
        <v>1.1473430814221017</v>
      </c>
      <c r="AE85" s="169"/>
      <c r="AF85" s="170">
        <f t="shared" si="41"/>
        <v>0</v>
      </c>
      <c r="AG85" s="170"/>
      <c r="AH85" s="170">
        <f t="shared" si="42"/>
        <v>0</v>
      </c>
      <c r="AI85" s="170"/>
      <c r="AJ85" s="170">
        <f t="shared" si="43"/>
        <v>0</v>
      </c>
      <c r="AK85" s="170"/>
      <c r="AL85" s="170">
        <f t="shared" si="44"/>
        <v>0</v>
      </c>
      <c r="AM85" s="84">
        <f t="shared" si="31"/>
        <v>0</v>
      </c>
      <c r="AN85" s="86">
        <f t="shared" si="31"/>
        <v>0</v>
      </c>
      <c r="AO85" s="169"/>
      <c r="AP85" s="170"/>
      <c r="AQ85" s="84">
        <f t="shared" si="45"/>
        <v>0</v>
      </c>
      <c r="AR85" s="87">
        <f t="shared" si="45"/>
        <v>0</v>
      </c>
      <c r="AS85" s="88">
        <f t="shared" si="32"/>
        <v>0.05</v>
      </c>
      <c r="AT85" s="89">
        <f t="shared" si="33"/>
        <v>1.1473430814221017</v>
      </c>
      <c r="AU85" s="149" t="s">
        <v>155</v>
      </c>
      <c r="AV85" s="56">
        <f t="shared" si="46"/>
        <v>0</v>
      </c>
    </row>
    <row r="86" spans="1:48" ht="15" customHeight="1" x14ac:dyDescent="0.45">
      <c r="A86" s="73"/>
      <c r="B86" s="90"/>
      <c r="C86" s="114">
        <v>74</v>
      </c>
      <c r="D86" s="181" t="s">
        <v>236</v>
      </c>
      <c r="E86" s="182" t="s">
        <v>321</v>
      </c>
      <c r="F86" s="174" t="s">
        <v>203</v>
      </c>
      <c r="G86" s="93"/>
      <c r="H86" s="94">
        <f t="shared" si="34"/>
        <v>0</v>
      </c>
      <c r="I86" s="94"/>
      <c r="J86" s="94">
        <f t="shared" si="35"/>
        <v>0</v>
      </c>
      <c r="K86" s="95">
        <f t="shared" si="29"/>
        <v>0</v>
      </c>
      <c r="L86" s="96">
        <f t="shared" si="29"/>
        <v>0</v>
      </c>
      <c r="M86" s="111"/>
      <c r="N86" s="112">
        <f t="shared" si="36"/>
        <v>0</v>
      </c>
      <c r="O86" s="112"/>
      <c r="P86" s="112">
        <f t="shared" si="37"/>
        <v>0</v>
      </c>
      <c r="Q86" s="112"/>
      <c r="R86" s="112">
        <f t="shared" si="37"/>
        <v>0</v>
      </c>
      <c r="S86" s="112"/>
      <c r="T86" s="112">
        <f t="shared" si="38"/>
        <v>0</v>
      </c>
      <c r="U86" s="112"/>
      <c r="V86" s="112">
        <f t="shared" si="38"/>
        <v>0</v>
      </c>
      <c r="W86" s="112"/>
      <c r="X86" s="112">
        <f t="shared" si="39"/>
        <v>0</v>
      </c>
      <c r="Y86" s="112">
        <v>0.05</v>
      </c>
      <c r="Z86" s="112">
        <f t="shared" si="39"/>
        <v>1.1473430814221017</v>
      </c>
      <c r="AA86" s="112"/>
      <c r="AB86" s="112">
        <f t="shared" si="40"/>
        <v>0</v>
      </c>
      <c r="AC86" s="99">
        <f t="shared" si="30"/>
        <v>0.05</v>
      </c>
      <c r="AD86" s="100">
        <f t="shared" si="30"/>
        <v>1.1473430814221017</v>
      </c>
      <c r="AE86" s="111"/>
      <c r="AF86" s="112">
        <f t="shared" si="41"/>
        <v>0</v>
      </c>
      <c r="AG86" s="112"/>
      <c r="AH86" s="112">
        <f t="shared" si="42"/>
        <v>0</v>
      </c>
      <c r="AI86" s="112"/>
      <c r="AJ86" s="112">
        <f t="shared" si="43"/>
        <v>0</v>
      </c>
      <c r="AK86" s="112"/>
      <c r="AL86" s="112">
        <f t="shared" si="44"/>
        <v>0</v>
      </c>
      <c r="AM86" s="99">
        <f t="shared" si="31"/>
        <v>0</v>
      </c>
      <c r="AN86" s="101">
        <f t="shared" si="31"/>
        <v>0</v>
      </c>
      <c r="AO86" s="111"/>
      <c r="AP86" s="112"/>
      <c r="AQ86" s="99">
        <f t="shared" si="45"/>
        <v>0</v>
      </c>
      <c r="AR86" s="102">
        <f t="shared" si="45"/>
        <v>0</v>
      </c>
      <c r="AS86" s="103">
        <f t="shared" si="32"/>
        <v>0.05</v>
      </c>
      <c r="AT86" s="104">
        <f t="shared" si="33"/>
        <v>1.1473430814221017</v>
      </c>
      <c r="AU86" s="56" t="s">
        <v>155</v>
      </c>
      <c r="AV86" s="56">
        <f t="shared" si="46"/>
        <v>0</v>
      </c>
    </row>
    <row r="87" spans="1:48" ht="15" customHeight="1" thickBot="1" x14ac:dyDescent="0.5">
      <c r="A87" s="73"/>
      <c r="B87" s="90"/>
      <c r="C87" s="107">
        <v>75</v>
      </c>
      <c r="D87" s="181" t="s">
        <v>322</v>
      </c>
      <c r="E87" s="182" t="s">
        <v>323</v>
      </c>
      <c r="F87" s="183" t="s">
        <v>165</v>
      </c>
      <c r="G87" s="118">
        <v>0.01</v>
      </c>
      <c r="H87" s="119">
        <f t="shared" si="34"/>
        <v>0.56035000000000001</v>
      </c>
      <c r="I87" s="119"/>
      <c r="J87" s="119">
        <f t="shared" si="35"/>
        <v>0</v>
      </c>
      <c r="K87" s="120">
        <f t="shared" si="29"/>
        <v>0.01</v>
      </c>
      <c r="L87" s="121">
        <f t="shared" si="29"/>
        <v>0.56035000000000001</v>
      </c>
      <c r="M87" s="122">
        <v>0.05</v>
      </c>
      <c r="N87" s="123">
        <f t="shared" si="36"/>
        <v>1.1473430814221017</v>
      </c>
      <c r="O87" s="123"/>
      <c r="P87" s="123">
        <f t="shared" si="37"/>
        <v>0</v>
      </c>
      <c r="Q87" s="123"/>
      <c r="R87" s="123">
        <f t="shared" si="37"/>
        <v>0</v>
      </c>
      <c r="S87" s="123"/>
      <c r="T87" s="123">
        <f t="shared" si="38"/>
        <v>0</v>
      </c>
      <c r="U87" s="123"/>
      <c r="V87" s="123">
        <f t="shared" si="38"/>
        <v>0</v>
      </c>
      <c r="W87" s="123"/>
      <c r="X87" s="123">
        <f t="shared" si="39"/>
        <v>0</v>
      </c>
      <c r="Y87" s="123"/>
      <c r="Z87" s="123">
        <f t="shared" si="39"/>
        <v>0</v>
      </c>
      <c r="AA87" s="123"/>
      <c r="AB87" s="123">
        <f t="shared" si="40"/>
        <v>0</v>
      </c>
      <c r="AC87" s="124">
        <f t="shared" si="30"/>
        <v>0.05</v>
      </c>
      <c r="AD87" s="125">
        <f t="shared" si="30"/>
        <v>1.1473430814221017</v>
      </c>
      <c r="AE87" s="122"/>
      <c r="AF87" s="123">
        <f t="shared" si="41"/>
        <v>0</v>
      </c>
      <c r="AG87" s="123"/>
      <c r="AH87" s="123">
        <f t="shared" si="42"/>
        <v>0</v>
      </c>
      <c r="AI87" s="123"/>
      <c r="AJ87" s="123">
        <f t="shared" si="43"/>
        <v>0</v>
      </c>
      <c r="AK87" s="123"/>
      <c r="AL87" s="123">
        <f t="shared" si="44"/>
        <v>0</v>
      </c>
      <c r="AM87" s="124">
        <f t="shared" si="31"/>
        <v>0</v>
      </c>
      <c r="AN87" s="126">
        <f t="shared" si="31"/>
        <v>0</v>
      </c>
      <c r="AO87" s="122"/>
      <c r="AP87" s="123"/>
      <c r="AQ87" s="124">
        <f t="shared" si="45"/>
        <v>0</v>
      </c>
      <c r="AR87" s="127">
        <f t="shared" si="45"/>
        <v>0</v>
      </c>
      <c r="AS87" s="128">
        <f t="shared" si="32"/>
        <v>6.0000000000000005E-2</v>
      </c>
      <c r="AT87" s="129">
        <f t="shared" si="33"/>
        <v>1.7076930814221019</v>
      </c>
      <c r="AU87" s="130" t="s">
        <v>155</v>
      </c>
      <c r="AV87" s="56">
        <f t="shared" si="46"/>
        <v>0</v>
      </c>
    </row>
    <row r="88" spans="1:48" ht="15" customHeight="1" thickTop="1" x14ac:dyDescent="0.45">
      <c r="A88" s="131" t="s">
        <v>324</v>
      </c>
      <c r="B88" s="132" t="s">
        <v>325</v>
      </c>
      <c r="C88" s="189">
        <v>76</v>
      </c>
      <c r="D88" s="190" t="s">
        <v>326</v>
      </c>
      <c r="E88" s="191" t="s">
        <v>327</v>
      </c>
      <c r="F88" s="192" t="s">
        <v>162</v>
      </c>
      <c r="G88" s="137"/>
      <c r="H88" s="138">
        <f t="shared" si="34"/>
        <v>0</v>
      </c>
      <c r="I88" s="193"/>
      <c r="J88" s="193">
        <f t="shared" si="35"/>
        <v>0</v>
      </c>
      <c r="K88" s="139">
        <f t="shared" si="29"/>
        <v>0</v>
      </c>
      <c r="L88" s="140">
        <f t="shared" si="29"/>
        <v>0</v>
      </c>
      <c r="M88" s="194"/>
      <c r="N88" s="195">
        <f t="shared" si="36"/>
        <v>0</v>
      </c>
      <c r="O88" s="195"/>
      <c r="P88" s="195">
        <f t="shared" si="37"/>
        <v>0</v>
      </c>
      <c r="Q88" s="195"/>
      <c r="R88" s="195">
        <f t="shared" si="37"/>
        <v>0</v>
      </c>
      <c r="S88" s="195"/>
      <c r="T88" s="195">
        <f t="shared" si="38"/>
        <v>0</v>
      </c>
      <c r="U88" s="195"/>
      <c r="V88" s="195">
        <f t="shared" si="38"/>
        <v>0</v>
      </c>
      <c r="W88" s="195"/>
      <c r="X88" s="195">
        <f t="shared" si="39"/>
        <v>0</v>
      </c>
      <c r="Y88" s="195"/>
      <c r="Z88" s="195">
        <f t="shared" si="39"/>
        <v>0</v>
      </c>
      <c r="AA88" s="195"/>
      <c r="AB88" s="195">
        <f t="shared" si="40"/>
        <v>0</v>
      </c>
      <c r="AC88" s="143">
        <f t="shared" si="30"/>
        <v>0</v>
      </c>
      <c r="AD88" s="144">
        <f t="shared" si="30"/>
        <v>0</v>
      </c>
      <c r="AE88" s="194"/>
      <c r="AF88" s="195">
        <f t="shared" si="41"/>
        <v>0</v>
      </c>
      <c r="AG88" s="195"/>
      <c r="AH88" s="195">
        <f t="shared" si="42"/>
        <v>0</v>
      </c>
      <c r="AI88" s="195"/>
      <c r="AJ88" s="195">
        <f t="shared" si="43"/>
        <v>0</v>
      </c>
      <c r="AK88" s="195"/>
      <c r="AL88" s="195">
        <f t="shared" si="44"/>
        <v>0</v>
      </c>
      <c r="AM88" s="143">
        <f t="shared" si="31"/>
        <v>0</v>
      </c>
      <c r="AN88" s="145">
        <f t="shared" si="31"/>
        <v>0</v>
      </c>
      <c r="AO88" s="194"/>
      <c r="AP88" s="195"/>
      <c r="AQ88" s="143">
        <f t="shared" si="45"/>
        <v>0</v>
      </c>
      <c r="AR88" s="146">
        <f t="shared" si="45"/>
        <v>0</v>
      </c>
      <c r="AS88" s="147">
        <f t="shared" si="32"/>
        <v>0</v>
      </c>
      <c r="AT88" s="148">
        <f t="shared" si="33"/>
        <v>0</v>
      </c>
      <c r="AU88" s="149" t="s">
        <v>155</v>
      </c>
      <c r="AV88" s="56">
        <f t="shared" si="46"/>
        <v>0</v>
      </c>
    </row>
    <row r="89" spans="1:48" ht="15" customHeight="1" thickBot="1" x14ac:dyDescent="0.5">
      <c r="A89" s="150"/>
      <c r="B89" s="196" t="s">
        <v>328</v>
      </c>
      <c r="C89" s="197">
        <v>77</v>
      </c>
      <c r="D89" s="196" t="s">
        <v>329</v>
      </c>
      <c r="E89" s="198" t="s">
        <v>159</v>
      </c>
      <c r="F89" s="199" t="s">
        <v>154</v>
      </c>
      <c r="G89" s="156"/>
      <c r="H89" s="157">
        <f t="shared" si="34"/>
        <v>0</v>
      </c>
      <c r="I89" s="200"/>
      <c r="J89" s="200">
        <f t="shared" si="35"/>
        <v>0</v>
      </c>
      <c r="K89" s="158">
        <f t="shared" si="29"/>
        <v>0</v>
      </c>
      <c r="L89" s="159">
        <f t="shared" si="29"/>
        <v>0</v>
      </c>
      <c r="M89" s="201"/>
      <c r="N89" s="202">
        <f t="shared" si="36"/>
        <v>0</v>
      </c>
      <c r="O89" s="202"/>
      <c r="P89" s="202">
        <f t="shared" si="37"/>
        <v>0</v>
      </c>
      <c r="Q89" s="202"/>
      <c r="R89" s="202">
        <f t="shared" si="37"/>
        <v>0</v>
      </c>
      <c r="S89" s="202"/>
      <c r="T89" s="202">
        <f t="shared" si="38"/>
        <v>0</v>
      </c>
      <c r="U89" s="202"/>
      <c r="V89" s="202">
        <f t="shared" si="38"/>
        <v>0</v>
      </c>
      <c r="W89" s="202"/>
      <c r="X89" s="202">
        <f t="shared" si="39"/>
        <v>0</v>
      </c>
      <c r="Y89" s="202"/>
      <c r="Z89" s="202">
        <f t="shared" si="39"/>
        <v>0</v>
      </c>
      <c r="AA89" s="202"/>
      <c r="AB89" s="202">
        <f t="shared" si="40"/>
        <v>0</v>
      </c>
      <c r="AC89" s="162">
        <f t="shared" si="30"/>
        <v>0</v>
      </c>
      <c r="AD89" s="163">
        <f t="shared" si="30"/>
        <v>0</v>
      </c>
      <c r="AE89" s="201"/>
      <c r="AF89" s="202">
        <f t="shared" si="41"/>
        <v>0</v>
      </c>
      <c r="AG89" s="202"/>
      <c r="AH89" s="202">
        <f t="shared" si="42"/>
        <v>0</v>
      </c>
      <c r="AI89" s="202"/>
      <c r="AJ89" s="202">
        <f t="shared" si="43"/>
        <v>0</v>
      </c>
      <c r="AK89" s="202"/>
      <c r="AL89" s="202">
        <f t="shared" si="44"/>
        <v>0</v>
      </c>
      <c r="AM89" s="162">
        <f t="shared" si="31"/>
        <v>0</v>
      </c>
      <c r="AN89" s="164">
        <f t="shared" si="31"/>
        <v>0</v>
      </c>
      <c r="AO89" s="201"/>
      <c r="AP89" s="202"/>
      <c r="AQ89" s="162">
        <f t="shared" si="45"/>
        <v>0</v>
      </c>
      <c r="AR89" s="165">
        <f t="shared" si="45"/>
        <v>0</v>
      </c>
      <c r="AS89" s="166">
        <f t="shared" si="32"/>
        <v>0</v>
      </c>
      <c r="AT89" s="167">
        <f t="shared" si="33"/>
        <v>0</v>
      </c>
      <c r="AU89" s="168" t="s">
        <v>155</v>
      </c>
      <c r="AV89" s="56">
        <f t="shared" si="46"/>
        <v>0</v>
      </c>
    </row>
    <row r="90" spans="1:48" ht="15" customHeight="1" thickTop="1" x14ac:dyDescent="0.45">
      <c r="A90" s="203" t="s">
        <v>330</v>
      </c>
      <c r="B90" s="185" t="s">
        <v>331</v>
      </c>
      <c r="C90" s="105">
        <v>78</v>
      </c>
      <c r="D90" s="24" t="s">
        <v>332</v>
      </c>
      <c r="E90" s="204" t="s">
        <v>333</v>
      </c>
      <c r="F90" s="77" t="s">
        <v>203</v>
      </c>
      <c r="G90" s="78">
        <v>0.05</v>
      </c>
      <c r="H90" s="79">
        <f t="shared" si="34"/>
        <v>2.8017500000000002</v>
      </c>
      <c r="I90" s="205"/>
      <c r="J90" s="205">
        <f t="shared" si="35"/>
        <v>0</v>
      </c>
      <c r="K90" s="80">
        <f t="shared" si="29"/>
        <v>0.05</v>
      </c>
      <c r="L90" s="81">
        <f t="shared" si="29"/>
        <v>2.8017500000000002</v>
      </c>
      <c r="M90" s="82">
        <v>0.01</v>
      </c>
      <c r="N90" s="83">
        <f t="shared" si="36"/>
        <v>0.22946861628442033</v>
      </c>
      <c r="O90" s="83">
        <v>0.01</v>
      </c>
      <c r="P90" s="83">
        <f t="shared" si="37"/>
        <v>0.22946861628442033</v>
      </c>
      <c r="Q90" s="83">
        <v>0.01</v>
      </c>
      <c r="R90" s="83">
        <f t="shared" si="37"/>
        <v>0.22946861628442033</v>
      </c>
      <c r="S90" s="83">
        <v>0.01</v>
      </c>
      <c r="T90" s="83">
        <f t="shared" si="38"/>
        <v>0.22946861628442033</v>
      </c>
      <c r="U90" s="83">
        <v>0.01</v>
      </c>
      <c r="V90" s="83">
        <f t="shared" si="38"/>
        <v>0.22946861628442033</v>
      </c>
      <c r="W90" s="83">
        <v>0.01</v>
      </c>
      <c r="X90" s="83">
        <f t="shared" si="39"/>
        <v>0.22946861628442033</v>
      </c>
      <c r="Y90" s="83">
        <v>0.01</v>
      </c>
      <c r="Z90" s="83">
        <f t="shared" si="39"/>
        <v>0.22946861628442033</v>
      </c>
      <c r="AA90" s="83"/>
      <c r="AB90" s="83">
        <f t="shared" si="40"/>
        <v>0</v>
      </c>
      <c r="AC90" s="84">
        <f t="shared" si="30"/>
        <v>7.0000000000000007E-2</v>
      </c>
      <c r="AD90" s="85">
        <f t="shared" si="30"/>
        <v>1.6062803139909425</v>
      </c>
      <c r="AE90" s="82"/>
      <c r="AF90" s="83">
        <f t="shared" si="41"/>
        <v>0</v>
      </c>
      <c r="AG90" s="83"/>
      <c r="AH90" s="83">
        <f t="shared" si="42"/>
        <v>0</v>
      </c>
      <c r="AI90" s="83"/>
      <c r="AJ90" s="83">
        <f t="shared" si="43"/>
        <v>0</v>
      </c>
      <c r="AK90" s="83"/>
      <c r="AL90" s="83">
        <f t="shared" si="44"/>
        <v>0</v>
      </c>
      <c r="AM90" s="84">
        <f t="shared" si="31"/>
        <v>0</v>
      </c>
      <c r="AN90" s="86">
        <f t="shared" si="31"/>
        <v>0</v>
      </c>
      <c r="AO90" s="82"/>
      <c r="AP90" s="83"/>
      <c r="AQ90" s="84">
        <f t="shared" si="45"/>
        <v>0</v>
      </c>
      <c r="AR90" s="87">
        <f t="shared" si="45"/>
        <v>0</v>
      </c>
      <c r="AS90" s="88">
        <f t="shared" si="32"/>
        <v>0.12000000000000001</v>
      </c>
      <c r="AT90" s="89">
        <f t="shared" si="33"/>
        <v>4.4080303139909427</v>
      </c>
      <c r="AU90" s="171" t="s">
        <v>155</v>
      </c>
      <c r="AV90" s="56">
        <f t="shared" si="46"/>
        <v>0</v>
      </c>
    </row>
    <row r="91" spans="1:48" ht="15" customHeight="1" x14ac:dyDescent="0.45">
      <c r="A91" s="203"/>
      <c r="B91" s="185"/>
      <c r="C91" s="105">
        <v>79</v>
      </c>
      <c r="D91" s="206" t="s">
        <v>334</v>
      </c>
      <c r="E91" s="206" t="s">
        <v>335</v>
      </c>
      <c r="F91" s="92" t="s">
        <v>203</v>
      </c>
      <c r="G91" s="93">
        <v>0.02</v>
      </c>
      <c r="H91" s="94">
        <f t="shared" si="34"/>
        <v>1.1207</v>
      </c>
      <c r="I91" s="207">
        <v>0.01</v>
      </c>
      <c r="J91" s="207">
        <f t="shared" si="35"/>
        <v>0.56035000000000001</v>
      </c>
      <c r="K91" s="95">
        <f t="shared" si="29"/>
        <v>0.03</v>
      </c>
      <c r="L91" s="96">
        <f t="shared" si="29"/>
        <v>1.6810499999999999</v>
      </c>
      <c r="M91" s="97">
        <v>0.05</v>
      </c>
      <c r="N91" s="98">
        <f t="shared" si="36"/>
        <v>1.1473430814221017</v>
      </c>
      <c r="O91" s="98">
        <v>0.01</v>
      </c>
      <c r="P91" s="98">
        <f t="shared" si="37"/>
        <v>0.22946861628442033</v>
      </c>
      <c r="Q91" s="98">
        <v>0.01</v>
      </c>
      <c r="R91" s="98">
        <f t="shared" si="37"/>
        <v>0.22946861628442033</v>
      </c>
      <c r="S91" s="98">
        <v>0.01</v>
      </c>
      <c r="T91" s="98">
        <f t="shared" si="38"/>
        <v>0.22946861628442033</v>
      </c>
      <c r="U91" s="98">
        <v>0.01</v>
      </c>
      <c r="V91" s="98">
        <f t="shared" si="38"/>
        <v>0.22946861628442033</v>
      </c>
      <c r="W91" s="98">
        <v>0.01</v>
      </c>
      <c r="X91" s="98">
        <f t="shared" si="39"/>
        <v>0.22946861628442033</v>
      </c>
      <c r="Y91" s="98">
        <v>0.01</v>
      </c>
      <c r="Z91" s="98">
        <f t="shared" si="39"/>
        <v>0.22946861628442033</v>
      </c>
      <c r="AA91" s="98">
        <v>0.01</v>
      </c>
      <c r="AB91" s="98">
        <f t="shared" si="40"/>
        <v>0.22946861628442033</v>
      </c>
      <c r="AC91" s="99">
        <f t="shared" si="30"/>
        <v>0.11999999999999998</v>
      </c>
      <c r="AD91" s="100">
        <f t="shared" si="30"/>
        <v>2.7536233954130438</v>
      </c>
      <c r="AE91" s="97">
        <v>0.05</v>
      </c>
      <c r="AF91" s="98">
        <f t="shared" si="41"/>
        <v>1.1473430814221017</v>
      </c>
      <c r="AG91" s="98">
        <v>0.02</v>
      </c>
      <c r="AH91" s="98">
        <f t="shared" si="42"/>
        <v>0.45893723256884067</v>
      </c>
      <c r="AI91" s="98">
        <v>0.06</v>
      </c>
      <c r="AJ91" s="98">
        <f t="shared" si="43"/>
        <v>1.3768116977065219</v>
      </c>
      <c r="AK91" s="98">
        <v>0.05</v>
      </c>
      <c r="AL91" s="98">
        <f t="shared" si="44"/>
        <v>1.1473430814221017</v>
      </c>
      <c r="AM91" s="99">
        <f t="shared" si="31"/>
        <v>0.18</v>
      </c>
      <c r="AN91" s="101">
        <f t="shared" si="31"/>
        <v>4.1304350931195657</v>
      </c>
      <c r="AO91" s="97"/>
      <c r="AP91" s="98"/>
      <c r="AQ91" s="99">
        <f t="shared" si="45"/>
        <v>0</v>
      </c>
      <c r="AR91" s="102">
        <f t="shared" si="45"/>
        <v>0</v>
      </c>
      <c r="AS91" s="103">
        <f t="shared" si="32"/>
        <v>0.32999999999999996</v>
      </c>
      <c r="AT91" s="104">
        <f t="shared" si="33"/>
        <v>8.5651084885326085</v>
      </c>
      <c r="AU91" s="56" t="s">
        <v>155</v>
      </c>
      <c r="AV91" s="56">
        <f t="shared" si="46"/>
        <v>0</v>
      </c>
    </row>
    <row r="92" spans="1:48" ht="15" customHeight="1" x14ac:dyDescent="0.45">
      <c r="A92" s="203"/>
      <c r="B92" s="185"/>
      <c r="C92" s="105">
        <v>80</v>
      </c>
      <c r="D92" s="206" t="s">
        <v>336</v>
      </c>
      <c r="E92" s="206" t="s">
        <v>337</v>
      </c>
      <c r="F92" s="92" t="s">
        <v>203</v>
      </c>
      <c r="G92" s="93"/>
      <c r="H92" s="94">
        <f t="shared" si="34"/>
        <v>0</v>
      </c>
      <c r="I92" s="207">
        <v>0.05</v>
      </c>
      <c r="J92" s="207">
        <f t="shared" si="35"/>
        <v>2.8017500000000002</v>
      </c>
      <c r="K92" s="95">
        <f t="shared" si="29"/>
        <v>0.05</v>
      </c>
      <c r="L92" s="96">
        <f t="shared" si="29"/>
        <v>2.8017500000000002</v>
      </c>
      <c r="M92" s="97"/>
      <c r="N92" s="98">
        <f t="shared" si="36"/>
        <v>0</v>
      </c>
      <c r="O92" s="98"/>
      <c r="P92" s="98">
        <f t="shared" si="37"/>
        <v>0</v>
      </c>
      <c r="Q92" s="98"/>
      <c r="R92" s="98">
        <f t="shared" si="37"/>
        <v>0</v>
      </c>
      <c r="S92" s="98"/>
      <c r="T92" s="98">
        <f t="shared" si="38"/>
        <v>0</v>
      </c>
      <c r="U92" s="98"/>
      <c r="V92" s="98">
        <f t="shared" si="38"/>
        <v>0</v>
      </c>
      <c r="W92" s="98"/>
      <c r="X92" s="98">
        <f t="shared" si="39"/>
        <v>0</v>
      </c>
      <c r="Y92" s="98"/>
      <c r="Z92" s="98">
        <f t="shared" si="39"/>
        <v>0</v>
      </c>
      <c r="AA92" s="98">
        <v>0.15</v>
      </c>
      <c r="AB92" s="98">
        <f t="shared" si="40"/>
        <v>3.4420292442663047</v>
      </c>
      <c r="AC92" s="99">
        <f t="shared" si="30"/>
        <v>0.15</v>
      </c>
      <c r="AD92" s="100">
        <f t="shared" si="30"/>
        <v>3.4420292442663047</v>
      </c>
      <c r="AE92" s="97">
        <v>0.05</v>
      </c>
      <c r="AF92" s="98">
        <f t="shared" si="41"/>
        <v>1.1473430814221017</v>
      </c>
      <c r="AG92" s="98">
        <v>0.02</v>
      </c>
      <c r="AH92" s="98">
        <f t="shared" si="42"/>
        <v>0.45893723256884067</v>
      </c>
      <c r="AI92" s="98">
        <v>0.04</v>
      </c>
      <c r="AJ92" s="98">
        <f t="shared" si="43"/>
        <v>0.91787446513768134</v>
      </c>
      <c r="AK92" s="98">
        <v>0.06</v>
      </c>
      <c r="AL92" s="98">
        <f t="shared" si="44"/>
        <v>1.3768116977065219</v>
      </c>
      <c r="AM92" s="99">
        <f t="shared" si="31"/>
        <v>0.17</v>
      </c>
      <c r="AN92" s="101">
        <f t="shared" si="31"/>
        <v>3.900966476835146</v>
      </c>
      <c r="AO92" s="97"/>
      <c r="AP92" s="98"/>
      <c r="AQ92" s="99">
        <f t="shared" si="45"/>
        <v>0</v>
      </c>
      <c r="AR92" s="102">
        <f t="shared" si="45"/>
        <v>0</v>
      </c>
      <c r="AS92" s="103">
        <f t="shared" si="32"/>
        <v>0.37</v>
      </c>
      <c r="AT92" s="104">
        <f t="shared" si="33"/>
        <v>10.144745721101451</v>
      </c>
      <c r="AU92" s="56" t="s">
        <v>155</v>
      </c>
      <c r="AV92" s="56">
        <f t="shared" si="46"/>
        <v>0</v>
      </c>
    </row>
    <row r="93" spans="1:48" ht="15" customHeight="1" x14ac:dyDescent="0.45">
      <c r="A93" s="203"/>
      <c r="B93" s="185"/>
      <c r="C93" s="91">
        <v>81</v>
      </c>
      <c r="D93" s="24" t="s">
        <v>338</v>
      </c>
      <c r="E93" s="204" t="s">
        <v>339</v>
      </c>
      <c r="F93" s="208" t="s">
        <v>203</v>
      </c>
      <c r="G93" s="93">
        <v>0.01</v>
      </c>
      <c r="H93" s="94">
        <f t="shared" si="34"/>
        <v>0.56035000000000001</v>
      </c>
      <c r="I93" s="207">
        <v>0.3</v>
      </c>
      <c r="J93" s="207">
        <f t="shared" si="35"/>
        <v>16.810499999999998</v>
      </c>
      <c r="K93" s="95">
        <f t="shared" si="29"/>
        <v>0.31</v>
      </c>
      <c r="L93" s="96">
        <f t="shared" si="29"/>
        <v>17.370849999999997</v>
      </c>
      <c r="M93" s="97"/>
      <c r="N93" s="98">
        <f t="shared" si="36"/>
        <v>0</v>
      </c>
      <c r="O93" s="98"/>
      <c r="P93" s="98">
        <f t="shared" si="37"/>
        <v>0</v>
      </c>
      <c r="Q93" s="98"/>
      <c r="R93" s="98">
        <f t="shared" si="37"/>
        <v>0</v>
      </c>
      <c r="S93" s="98"/>
      <c r="T93" s="98">
        <f t="shared" si="38"/>
        <v>0</v>
      </c>
      <c r="U93" s="98"/>
      <c r="V93" s="98">
        <f t="shared" si="38"/>
        <v>0</v>
      </c>
      <c r="W93" s="98"/>
      <c r="X93" s="98">
        <f t="shared" si="39"/>
        <v>0</v>
      </c>
      <c r="Y93" s="98"/>
      <c r="Z93" s="98">
        <f t="shared" si="39"/>
        <v>0</v>
      </c>
      <c r="AA93" s="98">
        <v>0.3</v>
      </c>
      <c r="AB93" s="98">
        <f t="shared" si="40"/>
        <v>6.8840584885326095</v>
      </c>
      <c r="AC93" s="99">
        <f t="shared" si="30"/>
        <v>0.3</v>
      </c>
      <c r="AD93" s="100">
        <f t="shared" si="30"/>
        <v>6.8840584885326095</v>
      </c>
      <c r="AE93" s="97"/>
      <c r="AF93" s="98">
        <f t="shared" si="41"/>
        <v>0</v>
      </c>
      <c r="AG93" s="98"/>
      <c r="AH93" s="98">
        <f t="shared" si="42"/>
        <v>0</v>
      </c>
      <c r="AI93" s="98"/>
      <c r="AJ93" s="98">
        <f t="shared" si="43"/>
        <v>0</v>
      </c>
      <c r="AK93" s="98"/>
      <c r="AL93" s="98">
        <f t="shared" si="44"/>
        <v>0</v>
      </c>
      <c r="AM93" s="99">
        <f t="shared" si="31"/>
        <v>0</v>
      </c>
      <c r="AN93" s="101">
        <f t="shared" si="31"/>
        <v>0</v>
      </c>
      <c r="AO93" s="97"/>
      <c r="AP93" s="98"/>
      <c r="AQ93" s="99">
        <f t="shared" si="45"/>
        <v>0</v>
      </c>
      <c r="AR93" s="102">
        <f t="shared" si="45"/>
        <v>0</v>
      </c>
      <c r="AS93" s="103">
        <f t="shared" si="32"/>
        <v>0.61</v>
      </c>
      <c r="AT93" s="104">
        <f t="shared" si="33"/>
        <v>24.254908488532607</v>
      </c>
      <c r="AU93" s="56" t="s">
        <v>155</v>
      </c>
      <c r="AV93" s="56">
        <f t="shared" si="46"/>
        <v>0</v>
      </c>
    </row>
    <row r="94" spans="1:48" ht="15" customHeight="1" x14ac:dyDescent="0.45">
      <c r="A94" s="203"/>
      <c r="B94" s="185"/>
      <c r="C94" s="75">
        <v>82</v>
      </c>
      <c r="D94" s="209" t="s">
        <v>340</v>
      </c>
      <c r="E94" s="206" t="s">
        <v>341</v>
      </c>
      <c r="F94" s="92" t="s">
        <v>342</v>
      </c>
      <c r="G94" s="93"/>
      <c r="H94" s="94">
        <f t="shared" si="34"/>
        <v>0</v>
      </c>
      <c r="I94" s="207"/>
      <c r="J94" s="207">
        <f t="shared" si="35"/>
        <v>0</v>
      </c>
      <c r="K94" s="95">
        <f t="shared" si="29"/>
        <v>0</v>
      </c>
      <c r="L94" s="96">
        <f t="shared" si="29"/>
        <v>0</v>
      </c>
      <c r="M94" s="97"/>
      <c r="N94" s="98">
        <f t="shared" si="36"/>
        <v>0</v>
      </c>
      <c r="O94" s="98"/>
      <c r="P94" s="98">
        <f t="shared" ref="P94:R109" si="47">P$12/O$12*O94</f>
        <v>0</v>
      </c>
      <c r="Q94" s="98"/>
      <c r="R94" s="98">
        <f t="shared" si="47"/>
        <v>0</v>
      </c>
      <c r="S94" s="98"/>
      <c r="T94" s="98">
        <f t="shared" ref="T94:V109" si="48">T$12/S$12*S94</f>
        <v>0</v>
      </c>
      <c r="U94" s="98"/>
      <c r="V94" s="98">
        <f t="shared" si="48"/>
        <v>0</v>
      </c>
      <c r="W94" s="98"/>
      <c r="X94" s="98">
        <f t="shared" ref="X94:Z109" si="49">X$12/W$12*W94</f>
        <v>0</v>
      </c>
      <c r="Y94" s="98">
        <v>0.06</v>
      </c>
      <c r="Z94" s="98">
        <f t="shared" si="49"/>
        <v>1.3768116977065219</v>
      </c>
      <c r="AA94" s="98"/>
      <c r="AB94" s="98">
        <f t="shared" si="40"/>
        <v>0</v>
      </c>
      <c r="AC94" s="99">
        <f t="shared" si="30"/>
        <v>0.06</v>
      </c>
      <c r="AD94" s="100">
        <f t="shared" si="30"/>
        <v>1.3768116977065219</v>
      </c>
      <c r="AE94" s="97"/>
      <c r="AF94" s="98">
        <f t="shared" si="41"/>
        <v>0</v>
      </c>
      <c r="AG94" s="98"/>
      <c r="AH94" s="98">
        <f t="shared" si="42"/>
        <v>0</v>
      </c>
      <c r="AI94" s="98"/>
      <c r="AJ94" s="98">
        <f t="shared" si="43"/>
        <v>0</v>
      </c>
      <c r="AK94" s="98"/>
      <c r="AL94" s="98">
        <f t="shared" si="44"/>
        <v>0</v>
      </c>
      <c r="AM94" s="99">
        <f t="shared" si="31"/>
        <v>0</v>
      </c>
      <c r="AN94" s="101">
        <f t="shared" si="31"/>
        <v>0</v>
      </c>
      <c r="AO94" s="97"/>
      <c r="AP94" s="98"/>
      <c r="AQ94" s="99">
        <f t="shared" si="45"/>
        <v>0</v>
      </c>
      <c r="AR94" s="102">
        <f t="shared" si="45"/>
        <v>0</v>
      </c>
      <c r="AS94" s="103">
        <f t="shared" si="32"/>
        <v>0.06</v>
      </c>
      <c r="AT94" s="104">
        <f t="shared" si="33"/>
        <v>1.3768116977065219</v>
      </c>
      <c r="AU94" s="56" t="s">
        <v>155</v>
      </c>
      <c r="AV94" s="56">
        <f t="shared" si="46"/>
        <v>0</v>
      </c>
    </row>
    <row r="95" spans="1:48" ht="15" customHeight="1" x14ac:dyDescent="0.45">
      <c r="A95" s="203"/>
      <c r="B95" s="113" t="s">
        <v>343</v>
      </c>
      <c r="C95" s="91">
        <v>83</v>
      </c>
      <c r="D95" s="24" t="s">
        <v>344</v>
      </c>
      <c r="E95" s="204" t="s">
        <v>345</v>
      </c>
      <c r="F95" s="92" t="s">
        <v>165</v>
      </c>
      <c r="G95" s="93">
        <v>0.15</v>
      </c>
      <c r="H95" s="94">
        <f t="shared" si="34"/>
        <v>8.4052499999999988</v>
      </c>
      <c r="I95" s="207"/>
      <c r="J95" s="207">
        <f t="shared" si="35"/>
        <v>0</v>
      </c>
      <c r="K95" s="95">
        <f t="shared" si="29"/>
        <v>0.15</v>
      </c>
      <c r="L95" s="96">
        <f t="shared" si="29"/>
        <v>8.4052499999999988</v>
      </c>
      <c r="M95" s="97">
        <v>0.18</v>
      </c>
      <c r="N95" s="98">
        <f t="shared" si="36"/>
        <v>4.1304350931195657</v>
      </c>
      <c r="O95" s="98">
        <v>0.01</v>
      </c>
      <c r="P95" s="98">
        <f t="shared" si="47"/>
        <v>0.22946861628442033</v>
      </c>
      <c r="Q95" s="98">
        <v>0.01</v>
      </c>
      <c r="R95" s="98">
        <f t="shared" si="47"/>
        <v>0.22946861628442033</v>
      </c>
      <c r="S95" s="98">
        <v>0.01</v>
      </c>
      <c r="T95" s="98">
        <f t="shared" si="48"/>
        <v>0.22946861628442033</v>
      </c>
      <c r="U95" s="98">
        <v>0.01</v>
      </c>
      <c r="V95" s="98">
        <f t="shared" si="48"/>
        <v>0.22946861628442033</v>
      </c>
      <c r="W95" s="98">
        <v>0.01</v>
      </c>
      <c r="X95" s="98">
        <f t="shared" si="49"/>
        <v>0.22946861628442033</v>
      </c>
      <c r="Y95" s="98">
        <v>0.01</v>
      </c>
      <c r="Z95" s="98">
        <f t="shared" si="49"/>
        <v>0.22946861628442033</v>
      </c>
      <c r="AA95" s="98"/>
      <c r="AB95" s="98">
        <f t="shared" si="40"/>
        <v>0</v>
      </c>
      <c r="AC95" s="99">
        <f t="shared" si="30"/>
        <v>0.24000000000000005</v>
      </c>
      <c r="AD95" s="100">
        <f t="shared" si="30"/>
        <v>5.5072467908260894</v>
      </c>
      <c r="AE95" s="97"/>
      <c r="AF95" s="98">
        <f t="shared" si="41"/>
        <v>0</v>
      </c>
      <c r="AG95" s="98"/>
      <c r="AH95" s="98">
        <f t="shared" si="42"/>
        <v>0</v>
      </c>
      <c r="AI95" s="98"/>
      <c r="AJ95" s="98">
        <f t="shared" si="43"/>
        <v>0</v>
      </c>
      <c r="AK95" s="98"/>
      <c r="AL95" s="98">
        <f t="shared" si="44"/>
        <v>0</v>
      </c>
      <c r="AM95" s="99">
        <f t="shared" si="31"/>
        <v>0</v>
      </c>
      <c r="AN95" s="101">
        <f t="shared" si="31"/>
        <v>0</v>
      </c>
      <c r="AO95" s="97"/>
      <c r="AP95" s="98"/>
      <c r="AQ95" s="99">
        <f t="shared" si="45"/>
        <v>0</v>
      </c>
      <c r="AR95" s="102">
        <f t="shared" si="45"/>
        <v>0</v>
      </c>
      <c r="AS95" s="103">
        <f t="shared" si="32"/>
        <v>0.39</v>
      </c>
      <c r="AT95" s="104">
        <f t="shared" si="33"/>
        <v>13.912496790826088</v>
      </c>
      <c r="AU95" s="56" t="s">
        <v>155</v>
      </c>
      <c r="AV95" s="56">
        <f t="shared" si="46"/>
        <v>0</v>
      </c>
    </row>
    <row r="96" spans="1:48" ht="15" customHeight="1" x14ac:dyDescent="0.45">
      <c r="A96" s="203"/>
      <c r="B96" s="185"/>
      <c r="C96" s="91">
        <v>84</v>
      </c>
      <c r="D96" s="206" t="s">
        <v>346</v>
      </c>
      <c r="E96" s="206" t="s">
        <v>347</v>
      </c>
      <c r="F96" s="92" t="s">
        <v>165</v>
      </c>
      <c r="G96" s="93"/>
      <c r="H96" s="94">
        <f t="shared" si="34"/>
        <v>0</v>
      </c>
      <c r="I96" s="207"/>
      <c r="J96" s="207">
        <f t="shared" si="35"/>
        <v>0</v>
      </c>
      <c r="K96" s="95">
        <f t="shared" si="29"/>
        <v>0</v>
      </c>
      <c r="L96" s="96">
        <f t="shared" si="29"/>
        <v>0</v>
      </c>
      <c r="M96" s="97"/>
      <c r="N96" s="98">
        <f t="shared" si="36"/>
        <v>0</v>
      </c>
      <c r="O96" s="98">
        <v>0.01</v>
      </c>
      <c r="P96" s="98">
        <f t="shared" si="47"/>
        <v>0.22946861628442033</v>
      </c>
      <c r="Q96" s="98">
        <v>0.01</v>
      </c>
      <c r="R96" s="98">
        <f t="shared" si="47"/>
        <v>0.22946861628442033</v>
      </c>
      <c r="S96" s="98">
        <v>0.01</v>
      </c>
      <c r="T96" s="98">
        <f t="shared" si="48"/>
        <v>0.22946861628442033</v>
      </c>
      <c r="U96" s="98">
        <v>0.01</v>
      </c>
      <c r="V96" s="98">
        <f t="shared" si="48"/>
        <v>0.22946861628442033</v>
      </c>
      <c r="W96" s="98">
        <v>0.01</v>
      </c>
      <c r="X96" s="98">
        <f t="shared" si="49"/>
        <v>0.22946861628442033</v>
      </c>
      <c r="Y96" s="98">
        <v>0.01</v>
      </c>
      <c r="Z96" s="98">
        <f t="shared" si="49"/>
        <v>0.22946861628442033</v>
      </c>
      <c r="AA96" s="98"/>
      <c r="AB96" s="98">
        <f t="shared" si="40"/>
        <v>0</v>
      </c>
      <c r="AC96" s="99">
        <f t="shared" si="30"/>
        <v>6.0000000000000005E-2</v>
      </c>
      <c r="AD96" s="100">
        <f t="shared" si="30"/>
        <v>1.3768116977065221</v>
      </c>
      <c r="AE96" s="97">
        <v>0.05</v>
      </c>
      <c r="AF96" s="98">
        <f t="shared" si="41"/>
        <v>1.1473430814221017</v>
      </c>
      <c r="AG96" s="98"/>
      <c r="AH96" s="98">
        <f t="shared" si="42"/>
        <v>0</v>
      </c>
      <c r="AI96" s="98"/>
      <c r="AJ96" s="98">
        <f t="shared" si="43"/>
        <v>0</v>
      </c>
      <c r="AK96" s="98"/>
      <c r="AL96" s="98">
        <f t="shared" si="44"/>
        <v>0</v>
      </c>
      <c r="AM96" s="99">
        <f t="shared" si="31"/>
        <v>0.05</v>
      </c>
      <c r="AN96" s="101">
        <f t="shared" si="31"/>
        <v>1.1473430814221017</v>
      </c>
      <c r="AO96" s="97"/>
      <c r="AP96" s="98"/>
      <c r="AQ96" s="99">
        <f t="shared" si="45"/>
        <v>0</v>
      </c>
      <c r="AR96" s="102">
        <f t="shared" si="45"/>
        <v>0</v>
      </c>
      <c r="AS96" s="103">
        <f t="shared" si="32"/>
        <v>0.11000000000000001</v>
      </c>
      <c r="AT96" s="104">
        <f t="shared" si="33"/>
        <v>2.5241547791286241</v>
      </c>
      <c r="AU96" s="56" t="s">
        <v>155</v>
      </c>
      <c r="AV96" s="56">
        <f t="shared" si="46"/>
        <v>0</v>
      </c>
    </row>
    <row r="97" spans="1:48" ht="15" customHeight="1" x14ac:dyDescent="0.45">
      <c r="A97" s="203"/>
      <c r="B97" s="185"/>
      <c r="C97" s="105">
        <v>85</v>
      </c>
      <c r="D97" s="206" t="s">
        <v>348</v>
      </c>
      <c r="E97" s="206" t="s">
        <v>349</v>
      </c>
      <c r="F97" s="92"/>
      <c r="G97" s="93"/>
      <c r="H97" s="94">
        <f t="shared" si="34"/>
        <v>0</v>
      </c>
      <c r="I97" s="207"/>
      <c r="J97" s="207">
        <f t="shared" si="35"/>
        <v>0</v>
      </c>
      <c r="K97" s="95">
        <f t="shared" si="29"/>
        <v>0</v>
      </c>
      <c r="L97" s="96">
        <f t="shared" si="29"/>
        <v>0</v>
      </c>
      <c r="M97" s="97">
        <v>0.01</v>
      </c>
      <c r="N97" s="98">
        <f t="shared" si="36"/>
        <v>0.22946861628442033</v>
      </c>
      <c r="O97" s="98">
        <v>0.01</v>
      </c>
      <c r="P97" s="98">
        <f t="shared" si="47"/>
        <v>0.22946861628442033</v>
      </c>
      <c r="Q97" s="98">
        <v>0.01</v>
      </c>
      <c r="R97" s="98">
        <f t="shared" si="47"/>
        <v>0.22946861628442033</v>
      </c>
      <c r="S97" s="98">
        <v>0.01</v>
      </c>
      <c r="T97" s="98">
        <f t="shared" si="48"/>
        <v>0.22946861628442033</v>
      </c>
      <c r="U97" s="98">
        <v>0.01</v>
      </c>
      <c r="V97" s="98">
        <f t="shared" si="48"/>
        <v>0.22946861628442033</v>
      </c>
      <c r="W97" s="98">
        <v>0.01</v>
      </c>
      <c r="X97" s="98">
        <f t="shared" si="49"/>
        <v>0.22946861628442033</v>
      </c>
      <c r="Y97" s="98">
        <v>0.01</v>
      </c>
      <c r="Z97" s="98">
        <f t="shared" si="49"/>
        <v>0.22946861628442033</v>
      </c>
      <c r="AA97" s="98"/>
      <c r="AB97" s="98">
        <f t="shared" si="40"/>
        <v>0</v>
      </c>
      <c r="AC97" s="99">
        <f t="shared" si="30"/>
        <v>7.0000000000000007E-2</v>
      </c>
      <c r="AD97" s="100">
        <f t="shared" si="30"/>
        <v>1.6062803139909425</v>
      </c>
      <c r="AE97" s="97"/>
      <c r="AF97" s="98">
        <f t="shared" si="41"/>
        <v>0</v>
      </c>
      <c r="AG97" s="98"/>
      <c r="AH97" s="98">
        <f t="shared" si="42"/>
        <v>0</v>
      </c>
      <c r="AI97" s="98"/>
      <c r="AJ97" s="98">
        <f t="shared" si="43"/>
        <v>0</v>
      </c>
      <c r="AK97" s="98"/>
      <c r="AL97" s="98">
        <f t="shared" si="44"/>
        <v>0</v>
      </c>
      <c r="AM97" s="99">
        <f t="shared" si="31"/>
        <v>0</v>
      </c>
      <c r="AN97" s="101">
        <f t="shared" si="31"/>
        <v>0</v>
      </c>
      <c r="AO97" s="97"/>
      <c r="AP97" s="98"/>
      <c r="AQ97" s="99">
        <f t="shared" si="45"/>
        <v>0</v>
      </c>
      <c r="AR97" s="102">
        <f t="shared" si="45"/>
        <v>0</v>
      </c>
      <c r="AS97" s="103">
        <f t="shared" si="32"/>
        <v>7.0000000000000007E-2</v>
      </c>
      <c r="AT97" s="104">
        <f t="shared" si="33"/>
        <v>1.6062803139909425</v>
      </c>
      <c r="AU97" s="56" t="s">
        <v>155</v>
      </c>
      <c r="AV97" s="56">
        <f t="shared" si="46"/>
        <v>0</v>
      </c>
    </row>
    <row r="98" spans="1:48" ht="15" customHeight="1" x14ac:dyDescent="0.45">
      <c r="A98" s="203"/>
      <c r="B98" s="185"/>
      <c r="C98" s="105">
        <v>86</v>
      </c>
      <c r="D98" s="24" t="s">
        <v>350</v>
      </c>
      <c r="E98" s="204" t="s">
        <v>351</v>
      </c>
      <c r="F98" s="77" t="s">
        <v>165</v>
      </c>
      <c r="G98" s="93">
        <v>0.05</v>
      </c>
      <c r="H98" s="94">
        <f t="shared" si="34"/>
        <v>2.8017500000000002</v>
      </c>
      <c r="I98" s="207"/>
      <c r="J98" s="207">
        <f t="shared" si="35"/>
        <v>0</v>
      </c>
      <c r="K98" s="95">
        <f t="shared" si="29"/>
        <v>0.05</v>
      </c>
      <c r="L98" s="96">
        <f t="shared" si="29"/>
        <v>2.8017500000000002</v>
      </c>
      <c r="M98" s="97">
        <v>0.05</v>
      </c>
      <c r="N98" s="98">
        <f t="shared" si="36"/>
        <v>1.1473430814221017</v>
      </c>
      <c r="O98" s="98"/>
      <c r="P98" s="98">
        <f t="shared" si="47"/>
        <v>0</v>
      </c>
      <c r="Q98" s="98"/>
      <c r="R98" s="98">
        <f t="shared" si="47"/>
        <v>0</v>
      </c>
      <c r="S98" s="98"/>
      <c r="T98" s="98">
        <f t="shared" si="48"/>
        <v>0</v>
      </c>
      <c r="U98" s="98"/>
      <c r="V98" s="98">
        <f t="shared" si="48"/>
        <v>0</v>
      </c>
      <c r="W98" s="98"/>
      <c r="X98" s="98">
        <f t="shared" si="49"/>
        <v>0</v>
      </c>
      <c r="Y98" s="98"/>
      <c r="Z98" s="98">
        <f t="shared" si="49"/>
        <v>0</v>
      </c>
      <c r="AA98" s="98"/>
      <c r="AB98" s="98">
        <f t="shared" si="40"/>
        <v>0</v>
      </c>
      <c r="AC98" s="99">
        <f t="shared" si="30"/>
        <v>0.05</v>
      </c>
      <c r="AD98" s="100">
        <f t="shared" si="30"/>
        <v>1.1473430814221017</v>
      </c>
      <c r="AE98" s="97"/>
      <c r="AF98" s="98">
        <f t="shared" si="41"/>
        <v>0</v>
      </c>
      <c r="AG98" s="98"/>
      <c r="AH98" s="98">
        <f t="shared" si="42"/>
        <v>0</v>
      </c>
      <c r="AI98" s="98"/>
      <c r="AJ98" s="98">
        <f t="shared" si="43"/>
        <v>0</v>
      </c>
      <c r="AK98" s="98"/>
      <c r="AL98" s="98">
        <f t="shared" si="44"/>
        <v>0</v>
      </c>
      <c r="AM98" s="99">
        <f t="shared" si="31"/>
        <v>0</v>
      </c>
      <c r="AN98" s="101">
        <f t="shared" si="31"/>
        <v>0</v>
      </c>
      <c r="AO98" s="97"/>
      <c r="AP98" s="98"/>
      <c r="AQ98" s="99">
        <f t="shared" si="45"/>
        <v>0</v>
      </c>
      <c r="AR98" s="102">
        <f t="shared" si="45"/>
        <v>0</v>
      </c>
      <c r="AS98" s="103">
        <f t="shared" si="32"/>
        <v>0.1</v>
      </c>
      <c r="AT98" s="104">
        <f t="shared" si="33"/>
        <v>3.9490930814221019</v>
      </c>
      <c r="AU98" s="56" t="s">
        <v>155</v>
      </c>
      <c r="AV98" s="56">
        <f t="shared" si="46"/>
        <v>0</v>
      </c>
    </row>
    <row r="99" spans="1:48" ht="15" customHeight="1" x14ac:dyDescent="0.45">
      <c r="A99" s="203"/>
      <c r="B99" s="185"/>
      <c r="C99" s="91">
        <v>87</v>
      </c>
      <c r="D99" s="206" t="s">
        <v>352</v>
      </c>
      <c r="E99" s="206" t="s">
        <v>353</v>
      </c>
      <c r="F99" s="92" t="s">
        <v>165</v>
      </c>
      <c r="G99" s="93">
        <v>0.05</v>
      </c>
      <c r="H99" s="94">
        <f t="shared" si="34"/>
        <v>2.8017500000000002</v>
      </c>
      <c r="I99" s="207"/>
      <c r="J99" s="207">
        <f t="shared" si="35"/>
        <v>0</v>
      </c>
      <c r="K99" s="95">
        <f t="shared" si="29"/>
        <v>0.05</v>
      </c>
      <c r="L99" s="96">
        <f t="shared" si="29"/>
        <v>2.8017500000000002</v>
      </c>
      <c r="M99" s="97">
        <v>0.05</v>
      </c>
      <c r="N99" s="98">
        <f t="shared" si="36"/>
        <v>1.1473430814221017</v>
      </c>
      <c r="O99" s="98"/>
      <c r="P99" s="98">
        <f t="shared" si="47"/>
        <v>0</v>
      </c>
      <c r="Q99" s="98"/>
      <c r="R99" s="98">
        <f t="shared" si="47"/>
        <v>0</v>
      </c>
      <c r="S99" s="98"/>
      <c r="T99" s="98">
        <f t="shared" si="48"/>
        <v>0</v>
      </c>
      <c r="U99" s="98"/>
      <c r="V99" s="98">
        <f t="shared" si="48"/>
        <v>0</v>
      </c>
      <c r="W99" s="98"/>
      <c r="X99" s="98">
        <f t="shared" si="49"/>
        <v>0</v>
      </c>
      <c r="Y99" s="98"/>
      <c r="Z99" s="98">
        <f t="shared" si="49"/>
        <v>0</v>
      </c>
      <c r="AA99" s="98"/>
      <c r="AB99" s="98">
        <f t="shared" si="40"/>
        <v>0</v>
      </c>
      <c r="AC99" s="99">
        <f t="shared" si="30"/>
        <v>0.05</v>
      </c>
      <c r="AD99" s="100">
        <f t="shared" si="30"/>
        <v>1.1473430814221017</v>
      </c>
      <c r="AE99" s="97"/>
      <c r="AF99" s="98">
        <f t="shared" si="41"/>
        <v>0</v>
      </c>
      <c r="AG99" s="98"/>
      <c r="AH99" s="98">
        <f t="shared" si="42"/>
        <v>0</v>
      </c>
      <c r="AI99" s="98"/>
      <c r="AJ99" s="98">
        <f t="shared" si="43"/>
        <v>0</v>
      </c>
      <c r="AK99" s="98"/>
      <c r="AL99" s="98">
        <f t="shared" si="44"/>
        <v>0</v>
      </c>
      <c r="AM99" s="99">
        <f t="shared" si="31"/>
        <v>0</v>
      </c>
      <c r="AN99" s="101">
        <f t="shared" si="31"/>
        <v>0</v>
      </c>
      <c r="AO99" s="97"/>
      <c r="AP99" s="98"/>
      <c r="AQ99" s="99">
        <f t="shared" si="45"/>
        <v>0</v>
      </c>
      <c r="AR99" s="102">
        <f t="shared" si="45"/>
        <v>0</v>
      </c>
      <c r="AS99" s="103">
        <f t="shared" si="32"/>
        <v>0.1</v>
      </c>
      <c r="AT99" s="104">
        <f t="shared" si="33"/>
        <v>3.9490930814221019</v>
      </c>
      <c r="AU99" s="56" t="s">
        <v>155</v>
      </c>
      <c r="AV99" s="56">
        <f t="shared" si="46"/>
        <v>0</v>
      </c>
    </row>
    <row r="100" spans="1:48" ht="15" customHeight="1" x14ac:dyDescent="0.45">
      <c r="A100" s="203"/>
      <c r="B100" s="185"/>
      <c r="C100" s="105">
        <v>88</v>
      </c>
      <c r="D100" s="24" t="s">
        <v>354</v>
      </c>
      <c r="E100" s="204" t="s">
        <v>355</v>
      </c>
      <c r="F100" s="92" t="s">
        <v>165</v>
      </c>
      <c r="G100" s="93">
        <v>0.05</v>
      </c>
      <c r="H100" s="94">
        <f t="shared" si="34"/>
        <v>2.8017500000000002</v>
      </c>
      <c r="I100" s="207"/>
      <c r="J100" s="207">
        <f t="shared" si="35"/>
        <v>0</v>
      </c>
      <c r="K100" s="95">
        <f t="shared" si="29"/>
        <v>0.05</v>
      </c>
      <c r="L100" s="96">
        <f t="shared" si="29"/>
        <v>2.8017500000000002</v>
      </c>
      <c r="M100" s="97">
        <v>0.04</v>
      </c>
      <c r="N100" s="98">
        <f t="shared" si="36"/>
        <v>0.91787446513768134</v>
      </c>
      <c r="O100" s="98"/>
      <c r="P100" s="98">
        <f t="shared" si="47"/>
        <v>0</v>
      </c>
      <c r="Q100" s="98"/>
      <c r="R100" s="98">
        <f t="shared" si="47"/>
        <v>0</v>
      </c>
      <c r="S100" s="98"/>
      <c r="T100" s="98">
        <f t="shared" si="48"/>
        <v>0</v>
      </c>
      <c r="U100" s="98"/>
      <c r="V100" s="98">
        <f t="shared" si="48"/>
        <v>0</v>
      </c>
      <c r="W100" s="98"/>
      <c r="X100" s="98">
        <f t="shared" si="49"/>
        <v>0</v>
      </c>
      <c r="Y100" s="98"/>
      <c r="Z100" s="98">
        <f t="shared" si="49"/>
        <v>0</v>
      </c>
      <c r="AA100" s="98"/>
      <c r="AB100" s="98">
        <f t="shared" si="40"/>
        <v>0</v>
      </c>
      <c r="AC100" s="99">
        <f t="shared" si="30"/>
        <v>0.04</v>
      </c>
      <c r="AD100" s="100">
        <f t="shared" si="30"/>
        <v>0.91787446513768134</v>
      </c>
      <c r="AE100" s="97"/>
      <c r="AF100" s="98">
        <f t="shared" si="41"/>
        <v>0</v>
      </c>
      <c r="AG100" s="98"/>
      <c r="AH100" s="98">
        <f t="shared" si="42"/>
        <v>0</v>
      </c>
      <c r="AI100" s="98"/>
      <c r="AJ100" s="98">
        <f t="shared" si="43"/>
        <v>0</v>
      </c>
      <c r="AK100" s="98"/>
      <c r="AL100" s="98">
        <f t="shared" si="44"/>
        <v>0</v>
      </c>
      <c r="AM100" s="99">
        <f t="shared" si="31"/>
        <v>0</v>
      </c>
      <c r="AN100" s="101">
        <f t="shared" si="31"/>
        <v>0</v>
      </c>
      <c r="AO100" s="97"/>
      <c r="AP100" s="98"/>
      <c r="AQ100" s="99">
        <f t="shared" si="45"/>
        <v>0</v>
      </c>
      <c r="AR100" s="102">
        <f t="shared" si="45"/>
        <v>0</v>
      </c>
      <c r="AS100" s="103">
        <f t="shared" si="32"/>
        <v>0.09</v>
      </c>
      <c r="AT100" s="104">
        <f t="shared" si="33"/>
        <v>3.7196244651376817</v>
      </c>
      <c r="AU100" s="56" t="s">
        <v>155</v>
      </c>
      <c r="AV100" s="56">
        <f t="shared" si="46"/>
        <v>0</v>
      </c>
    </row>
    <row r="101" spans="1:48" ht="15" customHeight="1" x14ac:dyDescent="0.45">
      <c r="A101" s="203"/>
      <c r="B101" s="185"/>
      <c r="C101" s="75">
        <v>89</v>
      </c>
      <c r="D101" s="206" t="s">
        <v>356</v>
      </c>
      <c r="E101" s="206" t="s">
        <v>357</v>
      </c>
      <c r="F101" s="92" t="s">
        <v>165</v>
      </c>
      <c r="G101" s="210"/>
      <c r="H101" s="207">
        <f t="shared" si="34"/>
        <v>0</v>
      </c>
      <c r="I101" s="207"/>
      <c r="J101" s="207">
        <f t="shared" si="35"/>
        <v>0</v>
      </c>
      <c r="K101" s="95">
        <f t="shared" si="29"/>
        <v>0</v>
      </c>
      <c r="L101" s="96">
        <f t="shared" si="29"/>
        <v>0</v>
      </c>
      <c r="M101" s="97"/>
      <c r="N101" s="98">
        <f t="shared" si="36"/>
        <v>0</v>
      </c>
      <c r="O101" s="98"/>
      <c r="P101" s="98">
        <f t="shared" si="47"/>
        <v>0</v>
      </c>
      <c r="Q101" s="98"/>
      <c r="R101" s="98">
        <f t="shared" si="47"/>
        <v>0</v>
      </c>
      <c r="S101" s="98"/>
      <c r="T101" s="98">
        <f t="shared" si="48"/>
        <v>0</v>
      </c>
      <c r="U101" s="98"/>
      <c r="V101" s="98">
        <f t="shared" si="48"/>
        <v>0</v>
      </c>
      <c r="W101" s="98"/>
      <c r="X101" s="98">
        <f t="shared" si="49"/>
        <v>0</v>
      </c>
      <c r="Y101" s="98">
        <v>0.1</v>
      </c>
      <c r="Z101" s="98">
        <f t="shared" si="49"/>
        <v>2.2946861628442035</v>
      </c>
      <c r="AA101" s="98"/>
      <c r="AB101" s="98">
        <f t="shared" si="40"/>
        <v>0</v>
      </c>
      <c r="AC101" s="99">
        <f t="shared" si="30"/>
        <v>0.1</v>
      </c>
      <c r="AD101" s="100">
        <f t="shared" si="30"/>
        <v>2.2946861628442035</v>
      </c>
      <c r="AE101" s="97"/>
      <c r="AF101" s="98">
        <f t="shared" si="41"/>
        <v>0</v>
      </c>
      <c r="AG101" s="98"/>
      <c r="AH101" s="98">
        <f t="shared" si="42"/>
        <v>0</v>
      </c>
      <c r="AI101" s="98"/>
      <c r="AJ101" s="98">
        <f t="shared" si="43"/>
        <v>0</v>
      </c>
      <c r="AK101" s="98"/>
      <c r="AL101" s="98">
        <f t="shared" si="44"/>
        <v>0</v>
      </c>
      <c r="AM101" s="99">
        <f t="shared" si="31"/>
        <v>0</v>
      </c>
      <c r="AN101" s="101">
        <f t="shared" si="31"/>
        <v>0</v>
      </c>
      <c r="AO101" s="97"/>
      <c r="AP101" s="98"/>
      <c r="AQ101" s="99">
        <f t="shared" si="45"/>
        <v>0</v>
      </c>
      <c r="AR101" s="102">
        <f t="shared" si="45"/>
        <v>0</v>
      </c>
      <c r="AS101" s="103">
        <f t="shared" si="32"/>
        <v>0.1</v>
      </c>
      <c r="AT101" s="104">
        <f t="shared" si="33"/>
        <v>2.2946861628442035</v>
      </c>
      <c r="AU101" s="56" t="s">
        <v>155</v>
      </c>
      <c r="AV101" s="56">
        <f t="shared" si="46"/>
        <v>0</v>
      </c>
    </row>
    <row r="102" spans="1:48" ht="15" customHeight="1" x14ac:dyDescent="0.45">
      <c r="A102" s="203"/>
      <c r="B102" s="113" t="s">
        <v>358</v>
      </c>
      <c r="C102" s="91">
        <v>90</v>
      </c>
      <c r="D102" s="206" t="s">
        <v>359</v>
      </c>
      <c r="E102" s="206" t="s">
        <v>360</v>
      </c>
      <c r="F102" s="92" t="s">
        <v>154</v>
      </c>
      <c r="G102" s="210">
        <v>0.02</v>
      </c>
      <c r="H102" s="207">
        <f t="shared" si="34"/>
        <v>1.1207</v>
      </c>
      <c r="I102" s="207"/>
      <c r="J102" s="207">
        <f t="shared" si="35"/>
        <v>0</v>
      </c>
      <c r="K102" s="95">
        <f t="shared" si="29"/>
        <v>0.02</v>
      </c>
      <c r="L102" s="96">
        <f t="shared" si="29"/>
        <v>1.1207</v>
      </c>
      <c r="M102" s="97">
        <v>0.01</v>
      </c>
      <c r="N102" s="98">
        <f t="shared" si="36"/>
        <v>0.22946861628442033</v>
      </c>
      <c r="O102" s="98"/>
      <c r="P102" s="98">
        <f t="shared" si="47"/>
        <v>0</v>
      </c>
      <c r="Q102" s="98"/>
      <c r="R102" s="98">
        <f t="shared" si="47"/>
        <v>0</v>
      </c>
      <c r="S102" s="98"/>
      <c r="T102" s="98">
        <f t="shared" si="48"/>
        <v>0</v>
      </c>
      <c r="U102" s="98"/>
      <c r="V102" s="98">
        <f t="shared" si="48"/>
        <v>0</v>
      </c>
      <c r="W102" s="98"/>
      <c r="X102" s="98">
        <f t="shared" si="49"/>
        <v>0</v>
      </c>
      <c r="Y102" s="98"/>
      <c r="Z102" s="98">
        <f t="shared" si="49"/>
        <v>0</v>
      </c>
      <c r="AA102" s="98"/>
      <c r="AB102" s="98">
        <f t="shared" si="40"/>
        <v>0</v>
      </c>
      <c r="AC102" s="99">
        <f t="shared" si="30"/>
        <v>0.01</v>
      </c>
      <c r="AD102" s="100">
        <f t="shared" si="30"/>
        <v>0.22946861628442033</v>
      </c>
      <c r="AE102" s="97"/>
      <c r="AF102" s="98">
        <f t="shared" si="41"/>
        <v>0</v>
      </c>
      <c r="AG102" s="98"/>
      <c r="AH102" s="98">
        <f t="shared" si="42"/>
        <v>0</v>
      </c>
      <c r="AI102" s="98"/>
      <c r="AJ102" s="98">
        <f t="shared" si="43"/>
        <v>0</v>
      </c>
      <c r="AK102" s="98"/>
      <c r="AL102" s="98">
        <f t="shared" si="44"/>
        <v>0</v>
      </c>
      <c r="AM102" s="99">
        <f t="shared" si="31"/>
        <v>0</v>
      </c>
      <c r="AN102" s="101">
        <f t="shared" si="31"/>
        <v>0</v>
      </c>
      <c r="AO102" s="97"/>
      <c r="AP102" s="98"/>
      <c r="AQ102" s="99">
        <f t="shared" si="45"/>
        <v>0</v>
      </c>
      <c r="AR102" s="102">
        <f t="shared" si="45"/>
        <v>0</v>
      </c>
      <c r="AS102" s="103">
        <f t="shared" si="32"/>
        <v>0.03</v>
      </c>
      <c r="AT102" s="104">
        <f t="shared" si="33"/>
        <v>1.3501686162844204</v>
      </c>
      <c r="AU102" s="56" t="s">
        <v>155</v>
      </c>
      <c r="AV102" s="56">
        <f t="shared" si="46"/>
        <v>0</v>
      </c>
    </row>
    <row r="103" spans="1:48" ht="15" customHeight="1" x14ac:dyDescent="0.45">
      <c r="A103" s="203"/>
      <c r="B103" s="185"/>
      <c r="C103" s="105">
        <v>91</v>
      </c>
      <c r="D103" s="24" t="s">
        <v>361</v>
      </c>
      <c r="E103" s="206" t="s">
        <v>362</v>
      </c>
      <c r="F103" s="92" t="s">
        <v>154</v>
      </c>
      <c r="G103" s="210">
        <v>0.01</v>
      </c>
      <c r="H103" s="207">
        <f t="shared" si="34"/>
        <v>0.56035000000000001</v>
      </c>
      <c r="I103" s="207"/>
      <c r="J103" s="207">
        <f t="shared" si="35"/>
        <v>0</v>
      </c>
      <c r="K103" s="95">
        <f t="shared" si="29"/>
        <v>0.01</v>
      </c>
      <c r="L103" s="96">
        <f t="shared" si="29"/>
        <v>0.56035000000000001</v>
      </c>
      <c r="M103" s="97">
        <v>0.01</v>
      </c>
      <c r="N103" s="98">
        <f t="shared" si="36"/>
        <v>0.22946861628442033</v>
      </c>
      <c r="O103" s="98"/>
      <c r="P103" s="98">
        <f t="shared" si="47"/>
        <v>0</v>
      </c>
      <c r="Q103" s="98"/>
      <c r="R103" s="98">
        <f t="shared" si="47"/>
        <v>0</v>
      </c>
      <c r="S103" s="98"/>
      <c r="T103" s="98">
        <f t="shared" si="48"/>
        <v>0</v>
      </c>
      <c r="U103" s="98"/>
      <c r="V103" s="98">
        <f t="shared" si="48"/>
        <v>0</v>
      </c>
      <c r="W103" s="98"/>
      <c r="X103" s="98">
        <f t="shared" si="49"/>
        <v>0</v>
      </c>
      <c r="Y103" s="98"/>
      <c r="Z103" s="98">
        <f t="shared" si="49"/>
        <v>0</v>
      </c>
      <c r="AA103" s="98"/>
      <c r="AB103" s="98">
        <f t="shared" si="40"/>
        <v>0</v>
      </c>
      <c r="AC103" s="99">
        <f t="shared" si="30"/>
        <v>0.01</v>
      </c>
      <c r="AD103" s="100">
        <f t="shared" si="30"/>
        <v>0.22946861628442033</v>
      </c>
      <c r="AE103" s="97"/>
      <c r="AF103" s="98">
        <f t="shared" si="41"/>
        <v>0</v>
      </c>
      <c r="AG103" s="98"/>
      <c r="AH103" s="98">
        <f t="shared" si="42"/>
        <v>0</v>
      </c>
      <c r="AI103" s="98"/>
      <c r="AJ103" s="98">
        <f t="shared" si="43"/>
        <v>0</v>
      </c>
      <c r="AK103" s="98"/>
      <c r="AL103" s="98">
        <f t="shared" si="44"/>
        <v>0</v>
      </c>
      <c r="AM103" s="99">
        <f t="shared" si="31"/>
        <v>0</v>
      </c>
      <c r="AN103" s="101">
        <f t="shared" si="31"/>
        <v>0</v>
      </c>
      <c r="AO103" s="97"/>
      <c r="AP103" s="98"/>
      <c r="AQ103" s="99">
        <f t="shared" si="45"/>
        <v>0</v>
      </c>
      <c r="AR103" s="102">
        <f t="shared" si="45"/>
        <v>0</v>
      </c>
      <c r="AS103" s="103">
        <f t="shared" si="32"/>
        <v>0.02</v>
      </c>
      <c r="AT103" s="104">
        <f t="shared" si="33"/>
        <v>0.78981861628442029</v>
      </c>
      <c r="AU103" s="56" t="s">
        <v>155</v>
      </c>
      <c r="AV103" s="56">
        <f t="shared" si="46"/>
        <v>0</v>
      </c>
    </row>
    <row r="104" spans="1:48" ht="15" customHeight="1" x14ac:dyDescent="0.45">
      <c r="A104" s="203"/>
      <c r="B104" s="185"/>
      <c r="C104" s="105">
        <v>92</v>
      </c>
      <c r="D104" s="206" t="s">
        <v>363</v>
      </c>
      <c r="E104" s="76" t="s">
        <v>364</v>
      </c>
      <c r="F104" s="92" t="s">
        <v>154</v>
      </c>
      <c r="G104" s="210">
        <v>0.01</v>
      </c>
      <c r="H104" s="207">
        <f t="shared" si="34"/>
        <v>0.56035000000000001</v>
      </c>
      <c r="I104" s="207"/>
      <c r="J104" s="207">
        <f t="shared" si="35"/>
        <v>0</v>
      </c>
      <c r="K104" s="95">
        <f t="shared" si="29"/>
        <v>0.01</v>
      </c>
      <c r="L104" s="96">
        <f t="shared" si="29"/>
        <v>0.56035000000000001</v>
      </c>
      <c r="M104" s="97">
        <v>0.01</v>
      </c>
      <c r="N104" s="98">
        <f t="shared" si="36"/>
        <v>0.22946861628442033</v>
      </c>
      <c r="O104" s="98"/>
      <c r="P104" s="98">
        <f t="shared" si="47"/>
        <v>0</v>
      </c>
      <c r="Q104" s="98"/>
      <c r="R104" s="98">
        <f t="shared" si="47"/>
        <v>0</v>
      </c>
      <c r="S104" s="98"/>
      <c r="T104" s="98">
        <f t="shared" si="48"/>
        <v>0</v>
      </c>
      <c r="U104" s="98"/>
      <c r="V104" s="98">
        <f t="shared" si="48"/>
        <v>0</v>
      </c>
      <c r="W104" s="98"/>
      <c r="X104" s="98">
        <f t="shared" si="49"/>
        <v>0</v>
      </c>
      <c r="Y104" s="98"/>
      <c r="Z104" s="98">
        <f t="shared" si="49"/>
        <v>0</v>
      </c>
      <c r="AA104" s="98"/>
      <c r="AB104" s="98">
        <f t="shared" si="40"/>
        <v>0</v>
      </c>
      <c r="AC104" s="99">
        <f t="shared" si="30"/>
        <v>0.01</v>
      </c>
      <c r="AD104" s="100">
        <f t="shared" si="30"/>
        <v>0.22946861628442033</v>
      </c>
      <c r="AE104" s="97"/>
      <c r="AF104" s="98">
        <f t="shared" si="41"/>
        <v>0</v>
      </c>
      <c r="AG104" s="98"/>
      <c r="AH104" s="98">
        <f t="shared" si="42"/>
        <v>0</v>
      </c>
      <c r="AI104" s="98"/>
      <c r="AJ104" s="98">
        <f t="shared" si="43"/>
        <v>0</v>
      </c>
      <c r="AK104" s="98"/>
      <c r="AL104" s="98">
        <f t="shared" si="44"/>
        <v>0</v>
      </c>
      <c r="AM104" s="99">
        <f t="shared" si="31"/>
        <v>0</v>
      </c>
      <c r="AN104" s="101">
        <f t="shared" si="31"/>
        <v>0</v>
      </c>
      <c r="AO104" s="97"/>
      <c r="AP104" s="98"/>
      <c r="AQ104" s="99">
        <f t="shared" si="45"/>
        <v>0</v>
      </c>
      <c r="AR104" s="102">
        <f t="shared" si="45"/>
        <v>0</v>
      </c>
      <c r="AS104" s="103">
        <f t="shared" si="32"/>
        <v>0.02</v>
      </c>
      <c r="AT104" s="104">
        <f t="shared" si="33"/>
        <v>0.78981861628442029</v>
      </c>
      <c r="AU104" s="56" t="s">
        <v>155</v>
      </c>
      <c r="AV104" s="56">
        <f t="shared" si="46"/>
        <v>0</v>
      </c>
    </row>
    <row r="105" spans="1:48" ht="15" customHeight="1" x14ac:dyDescent="0.45">
      <c r="A105" s="203"/>
      <c r="B105" s="185"/>
      <c r="C105" s="91">
        <v>93</v>
      </c>
      <c r="D105" s="211" t="s">
        <v>365</v>
      </c>
      <c r="E105" s="204" t="s">
        <v>366</v>
      </c>
      <c r="F105" s="92" t="s">
        <v>154</v>
      </c>
      <c r="G105" s="210">
        <v>0.01</v>
      </c>
      <c r="H105" s="207">
        <f t="shared" si="34"/>
        <v>0.56035000000000001</v>
      </c>
      <c r="I105" s="207"/>
      <c r="J105" s="207">
        <f t="shared" si="35"/>
        <v>0</v>
      </c>
      <c r="K105" s="95">
        <f t="shared" si="29"/>
        <v>0.01</v>
      </c>
      <c r="L105" s="96">
        <f t="shared" si="29"/>
        <v>0.56035000000000001</v>
      </c>
      <c r="M105" s="97">
        <v>0.01</v>
      </c>
      <c r="N105" s="98">
        <f t="shared" si="36"/>
        <v>0.22946861628442033</v>
      </c>
      <c r="O105" s="98"/>
      <c r="P105" s="98">
        <f t="shared" si="47"/>
        <v>0</v>
      </c>
      <c r="Q105" s="98"/>
      <c r="R105" s="98">
        <f t="shared" si="47"/>
        <v>0</v>
      </c>
      <c r="S105" s="98"/>
      <c r="T105" s="98">
        <f t="shared" si="48"/>
        <v>0</v>
      </c>
      <c r="U105" s="98"/>
      <c r="V105" s="98">
        <f t="shared" si="48"/>
        <v>0</v>
      </c>
      <c r="W105" s="98"/>
      <c r="X105" s="98">
        <f t="shared" si="49"/>
        <v>0</v>
      </c>
      <c r="Y105" s="98"/>
      <c r="Z105" s="98">
        <f t="shared" si="49"/>
        <v>0</v>
      </c>
      <c r="AA105" s="98"/>
      <c r="AB105" s="98">
        <f t="shared" si="40"/>
        <v>0</v>
      </c>
      <c r="AC105" s="99">
        <f t="shared" si="30"/>
        <v>0.01</v>
      </c>
      <c r="AD105" s="100">
        <f t="shared" si="30"/>
        <v>0.22946861628442033</v>
      </c>
      <c r="AE105" s="97"/>
      <c r="AF105" s="98">
        <f t="shared" si="41"/>
        <v>0</v>
      </c>
      <c r="AG105" s="98"/>
      <c r="AH105" s="98">
        <f t="shared" si="42"/>
        <v>0</v>
      </c>
      <c r="AI105" s="98"/>
      <c r="AJ105" s="98">
        <f t="shared" si="43"/>
        <v>0</v>
      </c>
      <c r="AK105" s="98"/>
      <c r="AL105" s="98">
        <f t="shared" si="44"/>
        <v>0</v>
      </c>
      <c r="AM105" s="99">
        <f t="shared" si="31"/>
        <v>0</v>
      </c>
      <c r="AN105" s="101">
        <f t="shared" si="31"/>
        <v>0</v>
      </c>
      <c r="AO105" s="97"/>
      <c r="AP105" s="98"/>
      <c r="AQ105" s="99">
        <f t="shared" si="45"/>
        <v>0</v>
      </c>
      <c r="AR105" s="102">
        <f t="shared" si="45"/>
        <v>0</v>
      </c>
      <c r="AS105" s="103">
        <f t="shared" si="32"/>
        <v>0.02</v>
      </c>
      <c r="AT105" s="104">
        <f t="shared" si="33"/>
        <v>0.78981861628442029</v>
      </c>
      <c r="AU105" s="56" t="s">
        <v>155</v>
      </c>
      <c r="AV105" s="56">
        <f t="shared" si="46"/>
        <v>0</v>
      </c>
    </row>
    <row r="106" spans="1:48" ht="15" customHeight="1" x14ac:dyDescent="0.45">
      <c r="A106" s="203"/>
      <c r="B106" s="185"/>
      <c r="C106" s="105">
        <v>94</v>
      </c>
      <c r="D106" s="24" t="s">
        <v>367</v>
      </c>
      <c r="E106" s="206" t="s">
        <v>368</v>
      </c>
      <c r="F106" s="92" t="s">
        <v>154</v>
      </c>
      <c r="G106" s="210">
        <v>0.01</v>
      </c>
      <c r="H106" s="207">
        <f t="shared" si="34"/>
        <v>0.56035000000000001</v>
      </c>
      <c r="I106" s="207"/>
      <c r="J106" s="207">
        <f t="shared" si="35"/>
        <v>0</v>
      </c>
      <c r="K106" s="95">
        <f t="shared" si="29"/>
        <v>0.01</v>
      </c>
      <c r="L106" s="96">
        <f t="shared" si="29"/>
        <v>0.56035000000000001</v>
      </c>
      <c r="M106" s="97">
        <v>0.01</v>
      </c>
      <c r="N106" s="98">
        <f t="shared" si="36"/>
        <v>0.22946861628442033</v>
      </c>
      <c r="O106" s="98"/>
      <c r="P106" s="98">
        <f t="shared" si="47"/>
        <v>0</v>
      </c>
      <c r="Q106" s="98"/>
      <c r="R106" s="98">
        <f t="shared" si="47"/>
        <v>0</v>
      </c>
      <c r="S106" s="98"/>
      <c r="T106" s="98">
        <f t="shared" si="48"/>
        <v>0</v>
      </c>
      <c r="U106" s="98"/>
      <c r="V106" s="98">
        <f t="shared" si="48"/>
        <v>0</v>
      </c>
      <c r="W106" s="98"/>
      <c r="X106" s="98">
        <f t="shared" si="49"/>
        <v>0</v>
      </c>
      <c r="Y106" s="98"/>
      <c r="Z106" s="98">
        <f t="shared" si="49"/>
        <v>0</v>
      </c>
      <c r="AA106" s="98"/>
      <c r="AB106" s="98">
        <f t="shared" si="40"/>
        <v>0</v>
      </c>
      <c r="AC106" s="99">
        <f t="shared" si="30"/>
        <v>0.01</v>
      </c>
      <c r="AD106" s="100">
        <f t="shared" si="30"/>
        <v>0.22946861628442033</v>
      </c>
      <c r="AE106" s="97"/>
      <c r="AF106" s="98">
        <f t="shared" si="41"/>
        <v>0</v>
      </c>
      <c r="AG106" s="98"/>
      <c r="AH106" s="98">
        <f t="shared" si="42"/>
        <v>0</v>
      </c>
      <c r="AI106" s="98"/>
      <c r="AJ106" s="98">
        <f t="shared" si="43"/>
        <v>0</v>
      </c>
      <c r="AK106" s="98"/>
      <c r="AL106" s="98">
        <f t="shared" si="44"/>
        <v>0</v>
      </c>
      <c r="AM106" s="99">
        <f t="shared" si="31"/>
        <v>0</v>
      </c>
      <c r="AN106" s="101">
        <f t="shared" si="31"/>
        <v>0</v>
      </c>
      <c r="AO106" s="97"/>
      <c r="AP106" s="98"/>
      <c r="AQ106" s="99">
        <f t="shared" si="45"/>
        <v>0</v>
      </c>
      <c r="AR106" s="102">
        <f t="shared" si="45"/>
        <v>0</v>
      </c>
      <c r="AS106" s="103">
        <f t="shared" si="32"/>
        <v>0.02</v>
      </c>
      <c r="AT106" s="104">
        <f t="shared" si="33"/>
        <v>0.78981861628442029</v>
      </c>
      <c r="AU106" s="56" t="s">
        <v>155</v>
      </c>
      <c r="AV106" s="56">
        <f t="shared" si="46"/>
        <v>0</v>
      </c>
    </row>
    <row r="107" spans="1:48" ht="15" customHeight="1" x14ac:dyDescent="0.45">
      <c r="A107" s="203"/>
      <c r="B107" s="185"/>
      <c r="C107" s="105">
        <v>95</v>
      </c>
      <c r="D107" s="206" t="s">
        <v>369</v>
      </c>
      <c r="E107" s="204" t="s">
        <v>370</v>
      </c>
      <c r="F107" s="92" t="s">
        <v>154</v>
      </c>
      <c r="G107" s="210">
        <v>0.01</v>
      </c>
      <c r="H107" s="207">
        <f t="shared" si="34"/>
        <v>0.56035000000000001</v>
      </c>
      <c r="I107" s="207"/>
      <c r="J107" s="207">
        <f t="shared" si="35"/>
        <v>0</v>
      </c>
      <c r="K107" s="95">
        <f t="shared" si="29"/>
        <v>0.01</v>
      </c>
      <c r="L107" s="96">
        <f t="shared" si="29"/>
        <v>0.56035000000000001</v>
      </c>
      <c r="M107" s="97"/>
      <c r="N107" s="98">
        <f t="shared" si="36"/>
        <v>0</v>
      </c>
      <c r="O107" s="98">
        <v>0.01</v>
      </c>
      <c r="P107" s="98">
        <f t="shared" si="47"/>
        <v>0.22946861628442033</v>
      </c>
      <c r="Q107" s="98">
        <v>0.01</v>
      </c>
      <c r="R107" s="98">
        <f t="shared" si="47"/>
        <v>0.22946861628442033</v>
      </c>
      <c r="S107" s="98">
        <v>0.01</v>
      </c>
      <c r="T107" s="98">
        <f t="shared" si="48"/>
        <v>0.22946861628442033</v>
      </c>
      <c r="U107" s="98">
        <v>0.01</v>
      </c>
      <c r="V107" s="98">
        <f t="shared" si="48"/>
        <v>0.22946861628442033</v>
      </c>
      <c r="W107" s="98">
        <v>0.01</v>
      </c>
      <c r="X107" s="98">
        <f t="shared" si="49"/>
        <v>0.22946861628442033</v>
      </c>
      <c r="Y107" s="98">
        <v>0.01</v>
      </c>
      <c r="Z107" s="98">
        <f t="shared" si="49"/>
        <v>0.22946861628442033</v>
      </c>
      <c r="AA107" s="98"/>
      <c r="AB107" s="98">
        <f t="shared" si="40"/>
        <v>0</v>
      </c>
      <c r="AC107" s="99">
        <f t="shared" si="30"/>
        <v>6.0000000000000005E-2</v>
      </c>
      <c r="AD107" s="100">
        <f t="shared" si="30"/>
        <v>1.3768116977065221</v>
      </c>
      <c r="AE107" s="97"/>
      <c r="AF107" s="98">
        <f t="shared" si="41"/>
        <v>0</v>
      </c>
      <c r="AG107" s="98"/>
      <c r="AH107" s="98">
        <f t="shared" si="42"/>
        <v>0</v>
      </c>
      <c r="AI107" s="98"/>
      <c r="AJ107" s="98">
        <f t="shared" si="43"/>
        <v>0</v>
      </c>
      <c r="AK107" s="98"/>
      <c r="AL107" s="98">
        <f t="shared" si="44"/>
        <v>0</v>
      </c>
      <c r="AM107" s="99">
        <f t="shared" si="31"/>
        <v>0</v>
      </c>
      <c r="AN107" s="101">
        <f t="shared" si="31"/>
        <v>0</v>
      </c>
      <c r="AO107" s="97"/>
      <c r="AP107" s="98"/>
      <c r="AQ107" s="99">
        <f t="shared" si="45"/>
        <v>0</v>
      </c>
      <c r="AR107" s="102">
        <f t="shared" si="45"/>
        <v>0</v>
      </c>
      <c r="AS107" s="103">
        <f t="shared" si="32"/>
        <v>7.0000000000000007E-2</v>
      </c>
      <c r="AT107" s="104">
        <f t="shared" si="33"/>
        <v>1.937161697706522</v>
      </c>
      <c r="AU107" s="56" t="s">
        <v>155</v>
      </c>
      <c r="AV107" s="56">
        <f t="shared" si="46"/>
        <v>0</v>
      </c>
    </row>
    <row r="108" spans="1:48" ht="15" customHeight="1" x14ac:dyDescent="0.45">
      <c r="A108" s="203"/>
      <c r="B108" s="185"/>
      <c r="C108" s="91">
        <v>96</v>
      </c>
      <c r="D108" s="211" t="s">
        <v>371</v>
      </c>
      <c r="E108" s="206" t="s">
        <v>372</v>
      </c>
      <c r="F108" s="92" t="s">
        <v>154</v>
      </c>
      <c r="G108" s="210">
        <v>0.01</v>
      </c>
      <c r="H108" s="207">
        <f t="shared" si="34"/>
        <v>0.56035000000000001</v>
      </c>
      <c r="I108" s="207"/>
      <c r="J108" s="207">
        <f t="shared" si="35"/>
        <v>0</v>
      </c>
      <c r="K108" s="95">
        <f t="shared" si="29"/>
        <v>0.01</v>
      </c>
      <c r="L108" s="96">
        <f t="shared" si="29"/>
        <v>0.56035000000000001</v>
      </c>
      <c r="M108" s="97">
        <v>0.01</v>
      </c>
      <c r="N108" s="98">
        <f t="shared" si="36"/>
        <v>0.22946861628442033</v>
      </c>
      <c r="O108" s="98">
        <v>0.01</v>
      </c>
      <c r="P108" s="98">
        <f t="shared" si="47"/>
        <v>0.22946861628442033</v>
      </c>
      <c r="Q108" s="98">
        <v>0.01</v>
      </c>
      <c r="R108" s="98">
        <f t="shared" si="47"/>
        <v>0.22946861628442033</v>
      </c>
      <c r="S108" s="98">
        <v>0.01</v>
      </c>
      <c r="T108" s="98">
        <f t="shared" si="48"/>
        <v>0.22946861628442033</v>
      </c>
      <c r="U108" s="98">
        <v>0.01</v>
      </c>
      <c r="V108" s="98">
        <f t="shared" si="48"/>
        <v>0.22946861628442033</v>
      </c>
      <c r="W108" s="98">
        <v>0.1</v>
      </c>
      <c r="X108" s="98">
        <f t="shared" si="49"/>
        <v>2.2946861628442035</v>
      </c>
      <c r="Y108" s="98">
        <v>0.01</v>
      </c>
      <c r="Z108" s="98">
        <f t="shared" si="49"/>
        <v>0.22946861628442033</v>
      </c>
      <c r="AA108" s="98"/>
      <c r="AB108" s="98">
        <f t="shared" si="40"/>
        <v>0</v>
      </c>
      <c r="AC108" s="99">
        <f t="shared" si="30"/>
        <v>0.16000000000000003</v>
      </c>
      <c r="AD108" s="100">
        <f t="shared" si="30"/>
        <v>3.6714978605507254</v>
      </c>
      <c r="AE108" s="97"/>
      <c r="AF108" s="98">
        <f t="shared" si="41"/>
        <v>0</v>
      </c>
      <c r="AG108" s="98"/>
      <c r="AH108" s="98">
        <f t="shared" si="42"/>
        <v>0</v>
      </c>
      <c r="AI108" s="98"/>
      <c r="AJ108" s="98">
        <f t="shared" si="43"/>
        <v>0</v>
      </c>
      <c r="AK108" s="98"/>
      <c r="AL108" s="98">
        <f t="shared" si="44"/>
        <v>0</v>
      </c>
      <c r="AM108" s="99">
        <f t="shared" si="31"/>
        <v>0</v>
      </c>
      <c r="AN108" s="101">
        <f t="shared" si="31"/>
        <v>0</v>
      </c>
      <c r="AO108" s="97"/>
      <c r="AP108" s="98"/>
      <c r="AQ108" s="99">
        <f t="shared" si="45"/>
        <v>0</v>
      </c>
      <c r="AR108" s="102">
        <f t="shared" si="45"/>
        <v>0</v>
      </c>
      <c r="AS108" s="103">
        <f t="shared" si="32"/>
        <v>0.17000000000000004</v>
      </c>
      <c r="AT108" s="104">
        <f t="shared" si="33"/>
        <v>4.231847860550725</v>
      </c>
      <c r="AU108" s="56" t="s">
        <v>155</v>
      </c>
      <c r="AV108" s="56">
        <f t="shared" si="46"/>
        <v>0</v>
      </c>
    </row>
    <row r="109" spans="1:48" ht="15" customHeight="1" x14ac:dyDescent="0.45">
      <c r="A109" s="203"/>
      <c r="B109" s="185"/>
      <c r="C109" s="105">
        <v>97</v>
      </c>
      <c r="D109" s="76" t="s">
        <v>373</v>
      </c>
      <c r="E109" s="76" t="s">
        <v>374</v>
      </c>
      <c r="F109" s="92" t="s">
        <v>154</v>
      </c>
      <c r="G109" s="210"/>
      <c r="H109" s="207">
        <f t="shared" si="34"/>
        <v>0</v>
      </c>
      <c r="I109" s="207">
        <v>0.05</v>
      </c>
      <c r="J109" s="207">
        <f t="shared" si="35"/>
        <v>2.8017500000000002</v>
      </c>
      <c r="K109" s="95">
        <f t="shared" si="29"/>
        <v>0.05</v>
      </c>
      <c r="L109" s="96">
        <f t="shared" si="29"/>
        <v>2.8017500000000002</v>
      </c>
      <c r="M109" s="97"/>
      <c r="N109" s="98">
        <f t="shared" si="36"/>
        <v>0</v>
      </c>
      <c r="O109" s="98"/>
      <c r="P109" s="98">
        <f t="shared" si="47"/>
        <v>0</v>
      </c>
      <c r="Q109" s="98"/>
      <c r="R109" s="98">
        <f t="shared" si="47"/>
        <v>0</v>
      </c>
      <c r="S109" s="98"/>
      <c r="T109" s="98">
        <f t="shared" si="48"/>
        <v>0</v>
      </c>
      <c r="U109" s="98"/>
      <c r="V109" s="98">
        <f t="shared" si="48"/>
        <v>0</v>
      </c>
      <c r="W109" s="98"/>
      <c r="X109" s="98">
        <f t="shared" si="49"/>
        <v>0</v>
      </c>
      <c r="Y109" s="98"/>
      <c r="Z109" s="98">
        <f t="shared" si="49"/>
        <v>0</v>
      </c>
      <c r="AA109" s="98">
        <v>0.05</v>
      </c>
      <c r="AB109" s="98">
        <f t="shared" si="40"/>
        <v>1.1473430814221017</v>
      </c>
      <c r="AC109" s="99">
        <f t="shared" si="30"/>
        <v>0.05</v>
      </c>
      <c r="AD109" s="100">
        <f t="shared" si="30"/>
        <v>1.1473430814221017</v>
      </c>
      <c r="AE109" s="97"/>
      <c r="AF109" s="98">
        <f t="shared" si="41"/>
        <v>0</v>
      </c>
      <c r="AG109" s="98"/>
      <c r="AH109" s="98">
        <f t="shared" si="42"/>
        <v>0</v>
      </c>
      <c r="AI109" s="98"/>
      <c r="AJ109" s="98">
        <f t="shared" si="43"/>
        <v>0</v>
      </c>
      <c r="AK109" s="98"/>
      <c r="AL109" s="98">
        <f t="shared" si="44"/>
        <v>0</v>
      </c>
      <c r="AM109" s="99">
        <f t="shared" si="31"/>
        <v>0</v>
      </c>
      <c r="AN109" s="101">
        <f t="shared" si="31"/>
        <v>0</v>
      </c>
      <c r="AO109" s="97"/>
      <c r="AP109" s="98"/>
      <c r="AQ109" s="99">
        <f t="shared" si="45"/>
        <v>0</v>
      </c>
      <c r="AR109" s="102">
        <f t="shared" si="45"/>
        <v>0</v>
      </c>
      <c r="AS109" s="103">
        <f t="shared" si="32"/>
        <v>0.1</v>
      </c>
      <c r="AT109" s="104">
        <f t="shared" si="33"/>
        <v>3.9490930814221019</v>
      </c>
      <c r="AU109" s="56" t="s">
        <v>155</v>
      </c>
      <c r="AV109" s="56">
        <f t="shared" si="46"/>
        <v>0</v>
      </c>
    </row>
    <row r="110" spans="1:48" ht="15" customHeight="1" x14ac:dyDescent="0.45">
      <c r="A110" s="203"/>
      <c r="B110" s="185"/>
      <c r="C110" s="91">
        <v>98</v>
      </c>
      <c r="D110" s="76" t="s">
        <v>373</v>
      </c>
      <c r="E110" s="206" t="s">
        <v>375</v>
      </c>
      <c r="F110" s="92" t="s">
        <v>154</v>
      </c>
      <c r="G110" s="210">
        <v>0.01</v>
      </c>
      <c r="H110" s="207">
        <f t="shared" si="34"/>
        <v>0.56035000000000001</v>
      </c>
      <c r="I110" s="207">
        <v>0.02</v>
      </c>
      <c r="J110" s="207">
        <f t="shared" si="35"/>
        <v>1.1207</v>
      </c>
      <c r="K110" s="95">
        <f t="shared" si="29"/>
        <v>0.03</v>
      </c>
      <c r="L110" s="96">
        <f t="shared" si="29"/>
        <v>1.6810499999999999</v>
      </c>
      <c r="M110" s="97"/>
      <c r="N110" s="98">
        <f t="shared" si="36"/>
        <v>0</v>
      </c>
      <c r="O110" s="98"/>
      <c r="P110" s="98">
        <f t="shared" ref="P110:R112" si="50">P$12/O$12*O110</f>
        <v>0</v>
      </c>
      <c r="Q110" s="98"/>
      <c r="R110" s="98">
        <f t="shared" si="50"/>
        <v>0</v>
      </c>
      <c r="S110" s="98"/>
      <c r="T110" s="98">
        <f t="shared" ref="T110:V112" si="51">T$12/S$12*S110</f>
        <v>0</v>
      </c>
      <c r="U110" s="98"/>
      <c r="V110" s="98">
        <f t="shared" si="51"/>
        <v>0</v>
      </c>
      <c r="W110" s="98"/>
      <c r="X110" s="98">
        <f t="shared" ref="X110:Z112" si="52">X$12/W$12*W110</f>
        <v>0</v>
      </c>
      <c r="Y110" s="98"/>
      <c r="Z110" s="98">
        <f t="shared" si="52"/>
        <v>0</v>
      </c>
      <c r="AA110" s="98">
        <v>0.02</v>
      </c>
      <c r="AB110" s="98">
        <f t="shared" si="40"/>
        <v>0.45893723256884067</v>
      </c>
      <c r="AC110" s="99">
        <f t="shared" si="30"/>
        <v>0.02</v>
      </c>
      <c r="AD110" s="100">
        <f t="shared" si="30"/>
        <v>0.45893723256884067</v>
      </c>
      <c r="AE110" s="97"/>
      <c r="AF110" s="98">
        <f t="shared" si="41"/>
        <v>0</v>
      </c>
      <c r="AG110" s="98">
        <v>0.01</v>
      </c>
      <c r="AH110" s="98">
        <f t="shared" si="42"/>
        <v>0.22946861628442033</v>
      </c>
      <c r="AI110" s="98">
        <v>0.01</v>
      </c>
      <c r="AJ110" s="98">
        <f t="shared" si="43"/>
        <v>0.22946861628442033</v>
      </c>
      <c r="AK110" s="98">
        <v>0.01</v>
      </c>
      <c r="AL110" s="98">
        <f t="shared" si="44"/>
        <v>0.22946861628442033</v>
      </c>
      <c r="AM110" s="99">
        <f t="shared" si="31"/>
        <v>0.03</v>
      </c>
      <c r="AN110" s="101">
        <f t="shared" si="31"/>
        <v>0.68840584885326095</v>
      </c>
      <c r="AO110" s="97"/>
      <c r="AP110" s="98"/>
      <c r="AQ110" s="99">
        <f t="shared" si="45"/>
        <v>0</v>
      </c>
      <c r="AR110" s="102">
        <f t="shared" si="45"/>
        <v>0</v>
      </c>
      <c r="AS110" s="103">
        <f t="shared" si="32"/>
        <v>0.08</v>
      </c>
      <c r="AT110" s="104">
        <f t="shared" si="33"/>
        <v>2.8283930814221017</v>
      </c>
      <c r="AU110" s="56" t="s">
        <v>155</v>
      </c>
      <c r="AV110" s="56">
        <f t="shared" si="46"/>
        <v>0</v>
      </c>
    </row>
    <row r="111" spans="1:48" ht="15" customHeight="1" x14ac:dyDescent="0.45">
      <c r="A111" s="203"/>
      <c r="B111" s="185"/>
      <c r="C111" s="91">
        <v>99</v>
      </c>
      <c r="D111" s="76" t="s">
        <v>376</v>
      </c>
      <c r="E111" s="204" t="s">
        <v>377</v>
      </c>
      <c r="F111" s="77" t="s">
        <v>154</v>
      </c>
      <c r="G111" s="210">
        <v>0.01</v>
      </c>
      <c r="H111" s="207">
        <f t="shared" si="34"/>
        <v>0.56035000000000001</v>
      </c>
      <c r="I111" s="207"/>
      <c r="J111" s="207">
        <f t="shared" si="35"/>
        <v>0</v>
      </c>
      <c r="K111" s="95">
        <f t="shared" si="29"/>
        <v>0.01</v>
      </c>
      <c r="L111" s="96">
        <f t="shared" si="29"/>
        <v>0.56035000000000001</v>
      </c>
      <c r="M111" s="97"/>
      <c r="N111" s="98">
        <f t="shared" si="36"/>
        <v>0</v>
      </c>
      <c r="O111" s="98"/>
      <c r="P111" s="98">
        <f t="shared" si="50"/>
        <v>0</v>
      </c>
      <c r="Q111" s="98"/>
      <c r="R111" s="98">
        <f t="shared" si="50"/>
        <v>0</v>
      </c>
      <c r="S111" s="98"/>
      <c r="T111" s="98">
        <f t="shared" si="51"/>
        <v>0</v>
      </c>
      <c r="U111" s="98"/>
      <c r="V111" s="98">
        <f t="shared" si="51"/>
        <v>0</v>
      </c>
      <c r="W111" s="98"/>
      <c r="X111" s="98">
        <f t="shared" si="52"/>
        <v>0</v>
      </c>
      <c r="Y111" s="98"/>
      <c r="Z111" s="98">
        <f t="shared" si="52"/>
        <v>0</v>
      </c>
      <c r="AA111" s="98"/>
      <c r="AB111" s="98">
        <f t="shared" si="40"/>
        <v>0</v>
      </c>
      <c r="AC111" s="99">
        <f t="shared" si="30"/>
        <v>0</v>
      </c>
      <c r="AD111" s="100">
        <f t="shared" si="30"/>
        <v>0</v>
      </c>
      <c r="AE111" s="97"/>
      <c r="AF111" s="98">
        <f t="shared" si="41"/>
        <v>0</v>
      </c>
      <c r="AG111" s="98"/>
      <c r="AH111" s="98">
        <f t="shared" si="42"/>
        <v>0</v>
      </c>
      <c r="AI111" s="98"/>
      <c r="AJ111" s="98">
        <f t="shared" si="43"/>
        <v>0</v>
      </c>
      <c r="AK111" s="98"/>
      <c r="AL111" s="98">
        <f t="shared" si="44"/>
        <v>0</v>
      </c>
      <c r="AM111" s="99">
        <f t="shared" si="31"/>
        <v>0</v>
      </c>
      <c r="AN111" s="101">
        <f t="shared" si="31"/>
        <v>0</v>
      </c>
      <c r="AO111" s="97"/>
      <c r="AP111" s="98"/>
      <c r="AQ111" s="99">
        <f t="shared" si="45"/>
        <v>0</v>
      </c>
      <c r="AR111" s="102">
        <f t="shared" si="45"/>
        <v>0</v>
      </c>
      <c r="AS111" s="103">
        <f t="shared" si="32"/>
        <v>0.01</v>
      </c>
      <c r="AT111" s="104">
        <f t="shared" si="33"/>
        <v>0.56035000000000001</v>
      </c>
      <c r="AU111" s="56" t="s">
        <v>155</v>
      </c>
      <c r="AV111" s="56">
        <f t="shared" si="46"/>
        <v>0</v>
      </c>
    </row>
    <row r="112" spans="1:48" ht="15" customHeight="1" thickBot="1" x14ac:dyDescent="0.5">
      <c r="A112" s="203"/>
      <c r="B112" s="185"/>
      <c r="C112" s="105">
        <v>100</v>
      </c>
      <c r="D112" s="113" t="s">
        <v>378</v>
      </c>
      <c r="E112" s="212" t="s">
        <v>379</v>
      </c>
      <c r="F112" s="208" t="s">
        <v>154</v>
      </c>
      <c r="G112" s="213">
        <v>0.01</v>
      </c>
      <c r="H112" s="214">
        <f t="shared" si="34"/>
        <v>0.56035000000000001</v>
      </c>
      <c r="I112" s="214"/>
      <c r="J112" s="214">
        <f t="shared" si="35"/>
        <v>0</v>
      </c>
      <c r="K112" s="120">
        <f t="shared" si="29"/>
        <v>0.01</v>
      </c>
      <c r="L112" s="121">
        <f t="shared" si="29"/>
        <v>0.56035000000000001</v>
      </c>
      <c r="M112" s="215">
        <v>0.01</v>
      </c>
      <c r="N112" s="216">
        <f t="shared" si="36"/>
        <v>0.22946861628442033</v>
      </c>
      <c r="O112" s="216"/>
      <c r="P112" s="216">
        <f t="shared" si="50"/>
        <v>0</v>
      </c>
      <c r="Q112" s="216"/>
      <c r="R112" s="216">
        <f t="shared" si="50"/>
        <v>0</v>
      </c>
      <c r="S112" s="216"/>
      <c r="T112" s="216">
        <f t="shared" si="51"/>
        <v>0</v>
      </c>
      <c r="U112" s="216"/>
      <c r="V112" s="216">
        <f t="shared" si="51"/>
        <v>0</v>
      </c>
      <c r="W112" s="216"/>
      <c r="X112" s="216">
        <f t="shared" si="52"/>
        <v>0</v>
      </c>
      <c r="Y112" s="216"/>
      <c r="Z112" s="216">
        <f t="shared" si="52"/>
        <v>0</v>
      </c>
      <c r="AA112" s="216"/>
      <c r="AB112" s="216">
        <f t="shared" si="40"/>
        <v>0</v>
      </c>
      <c r="AC112" s="124">
        <f t="shared" si="30"/>
        <v>0.01</v>
      </c>
      <c r="AD112" s="125">
        <f t="shared" si="30"/>
        <v>0.22946861628442033</v>
      </c>
      <c r="AE112" s="215"/>
      <c r="AF112" s="216">
        <f t="shared" si="41"/>
        <v>0</v>
      </c>
      <c r="AG112" s="216"/>
      <c r="AH112" s="216">
        <f t="shared" si="42"/>
        <v>0</v>
      </c>
      <c r="AI112" s="216"/>
      <c r="AJ112" s="216">
        <f t="shared" si="43"/>
        <v>0</v>
      </c>
      <c r="AK112" s="216"/>
      <c r="AL112" s="216">
        <f t="shared" si="44"/>
        <v>0</v>
      </c>
      <c r="AM112" s="124">
        <f t="shared" si="31"/>
        <v>0</v>
      </c>
      <c r="AN112" s="126">
        <f t="shared" si="31"/>
        <v>0</v>
      </c>
      <c r="AO112" s="215"/>
      <c r="AP112" s="216"/>
      <c r="AQ112" s="124">
        <f t="shared" si="45"/>
        <v>0</v>
      </c>
      <c r="AR112" s="127">
        <f t="shared" si="45"/>
        <v>0</v>
      </c>
      <c r="AS112" s="128">
        <f t="shared" si="32"/>
        <v>0.02</v>
      </c>
      <c r="AT112" s="129">
        <f t="shared" si="33"/>
        <v>0.78981861628442029</v>
      </c>
      <c r="AU112" s="130" t="s">
        <v>155</v>
      </c>
      <c r="AV112" s="56">
        <f t="shared" si="46"/>
        <v>0</v>
      </c>
    </row>
    <row r="113" spans="1:49" ht="15" customHeight="1" thickBot="1" x14ac:dyDescent="0.5">
      <c r="A113" s="217" t="s">
        <v>380</v>
      </c>
      <c r="B113" s="218"/>
      <c r="C113" s="219"/>
      <c r="D113" s="218"/>
      <c r="E113" s="220"/>
      <c r="F113" s="221"/>
      <c r="G113" s="222">
        <f t="shared" ref="G113:AR113" si="53">SUM(G13:G112)</f>
        <v>1.0000000000000004</v>
      </c>
      <c r="H113" s="223">
        <f t="shared" si="53"/>
        <v>56.034999999999982</v>
      </c>
      <c r="I113" s="223">
        <f t="shared" si="53"/>
        <v>1.0000000000000002</v>
      </c>
      <c r="J113" s="223">
        <f t="shared" si="53"/>
        <v>56.034999999999982</v>
      </c>
      <c r="K113" s="224">
        <f t="shared" si="53"/>
        <v>2.0000000000000004</v>
      </c>
      <c r="L113" s="225">
        <f t="shared" si="53"/>
        <v>112.06999999999996</v>
      </c>
      <c r="M113" s="226">
        <f t="shared" si="53"/>
        <v>1.0000000000000002</v>
      </c>
      <c r="N113" s="227">
        <f>SUM(N13:N112)</f>
        <v>22.94686162844204</v>
      </c>
      <c r="O113" s="227">
        <f t="shared" si="53"/>
        <v>1.0000000000000002</v>
      </c>
      <c r="P113" s="227">
        <f>SUM(P13:P112)</f>
        <v>22.946861628442047</v>
      </c>
      <c r="Q113" s="227">
        <f t="shared" si="53"/>
        <v>1.0000000000000002</v>
      </c>
      <c r="R113" s="227">
        <f>SUM(R13:R112)</f>
        <v>22.946861628442051</v>
      </c>
      <c r="S113" s="227">
        <f t="shared" si="53"/>
        <v>1.0000000000000002</v>
      </c>
      <c r="T113" s="227">
        <f>SUM(T13:T112)</f>
        <v>22.946861628442047</v>
      </c>
      <c r="U113" s="227">
        <f t="shared" si="53"/>
        <v>1.0000000000000002</v>
      </c>
      <c r="V113" s="227">
        <f>SUM(V13:V112)</f>
        <v>22.946861628442054</v>
      </c>
      <c r="W113" s="227">
        <f t="shared" si="53"/>
        <v>1.0000000000000002</v>
      </c>
      <c r="X113" s="227">
        <f>SUM(X13:X112)</f>
        <v>22.94686162844204</v>
      </c>
      <c r="Y113" s="227">
        <f t="shared" si="53"/>
        <v>1.0000000000000002</v>
      </c>
      <c r="Z113" s="227">
        <f>SUM(Z13:Z112)</f>
        <v>22.946861628442033</v>
      </c>
      <c r="AA113" s="227">
        <f t="shared" si="53"/>
        <v>1.0000000000000002</v>
      </c>
      <c r="AB113" s="227">
        <f t="shared" si="53"/>
        <v>22.946861628442033</v>
      </c>
      <c r="AC113" s="228">
        <f t="shared" si="53"/>
        <v>7.999999999999992</v>
      </c>
      <c r="AD113" s="229">
        <f t="shared" si="53"/>
        <v>183.57489302753621</v>
      </c>
      <c r="AE113" s="226">
        <f t="shared" si="53"/>
        <v>1.0000000000000002</v>
      </c>
      <c r="AF113" s="227">
        <f t="shared" si="53"/>
        <v>22.946861628442029</v>
      </c>
      <c r="AG113" s="227">
        <f t="shared" si="53"/>
        <v>1.0000000000000004</v>
      </c>
      <c r="AH113" s="227">
        <f t="shared" si="53"/>
        <v>22.946861628442029</v>
      </c>
      <c r="AI113" s="227">
        <f t="shared" si="53"/>
        <v>1.0000000000000002</v>
      </c>
      <c r="AJ113" s="227">
        <f t="shared" si="53"/>
        <v>22.946861628442036</v>
      </c>
      <c r="AK113" s="227">
        <f t="shared" si="53"/>
        <v>1.0000000000000002</v>
      </c>
      <c r="AL113" s="227">
        <f t="shared" si="53"/>
        <v>22.946861628442036</v>
      </c>
      <c r="AM113" s="228">
        <f t="shared" si="53"/>
        <v>3.9999999999999996</v>
      </c>
      <c r="AN113" s="230">
        <f t="shared" si="53"/>
        <v>91.787446513768145</v>
      </c>
      <c r="AO113" s="226">
        <f t="shared" si="53"/>
        <v>1</v>
      </c>
      <c r="AP113" s="227">
        <f t="shared" si="53"/>
        <v>33.042000000000002</v>
      </c>
      <c r="AQ113" s="228">
        <f t="shared" si="53"/>
        <v>1</v>
      </c>
      <c r="AR113" s="231">
        <f t="shared" si="53"/>
        <v>33.042000000000002</v>
      </c>
      <c r="AS113" s="232">
        <f>K113+AQ113+AC113+AM113</f>
        <v>14.999999999999993</v>
      </c>
      <c r="AT113" s="233">
        <f>SUM(AT13:AT112)</f>
        <v>420.47433954130452</v>
      </c>
      <c r="AU113" s="234">
        <f>COUNTIF(AU13:AU112,"●")</f>
        <v>6</v>
      </c>
      <c r="AV113" s="235">
        <f>SUM(AV13:AV112)</f>
        <v>22.915058988762684</v>
      </c>
    </row>
    <row r="114" spans="1:49" x14ac:dyDescent="0.45">
      <c r="D114" s="236" t="s">
        <v>381</v>
      </c>
      <c r="AW114" s="237">
        <f>AV113/AT113</f>
        <v>5.4498115185247033E-2</v>
      </c>
    </row>
    <row r="115" spans="1:49" x14ac:dyDescent="0.45">
      <c r="D115" s="238" t="s">
        <v>382</v>
      </c>
    </row>
    <row r="116" spans="1:49" x14ac:dyDescent="0.45">
      <c r="D116" s="238" t="s">
        <v>383</v>
      </c>
    </row>
  </sheetData>
  <mergeCells count="51">
    <mergeCell ref="I1:L2"/>
    <mergeCell ref="M1:N2"/>
    <mergeCell ref="O1:T1"/>
    <mergeCell ref="AU1:AV1"/>
    <mergeCell ref="O2:Q2"/>
    <mergeCell ref="R2:T2"/>
    <mergeCell ref="I3:L3"/>
    <mergeCell ref="M3:N3"/>
    <mergeCell ref="O3:Q3"/>
    <mergeCell ref="R3:T3"/>
    <mergeCell ref="I4:L4"/>
    <mergeCell ref="M4:N4"/>
    <mergeCell ref="O4:Q4"/>
    <mergeCell ref="R4:T4"/>
    <mergeCell ref="I5:L5"/>
    <mergeCell ref="M5:N5"/>
    <mergeCell ref="O5:Q5"/>
    <mergeCell ref="R5:T5"/>
    <mergeCell ref="I6:L6"/>
    <mergeCell ref="M6:N6"/>
    <mergeCell ref="O6:Q6"/>
    <mergeCell ref="R6:T6"/>
    <mergeCell ref="I7:L7"/>
    <mergeCell ref="M7:N7"/>
    <mergeCell ref="O7:Q7"/>
    <mergeCell ref="R7:T7"/>
    <mergeCell ref="Y7:Z7"/>
    <mergeCell ref="AE9:AN9"/>
    <mergeCell ref="AO9:AR9"/>
    <mergeCell ref="AS9:AT10"/>
    <mergeCell ref="G10:H10"/>
    <mergeCell ref="I10:J10"/>
    <mergeCell ref="K10:L10"/>
    <mergeCell ref="M10:N10"/>
    <mergeCell ref="O10:P10"/>
    <mergeCell ref="Q10:R10"/>
    <mergeCell ref="S10:T10"/>
    <mergeCell ref="G9:L9"/>
    <mergeCell ref="M9:AD9"/>
    <mergeCell ref="AQ10:AR10"/>
    <mergeCell ref="U10:V10"/>
    <mergeCell ref="W10:X10"/>
    <mergeCell ref="Y10:Z10"/>
    <mergeCell ref="AK10:AL10"/>
    <mergeCell ref="AM10:AN10"/>
    <mergeCell ref="AO10:AP10"/>
    <mergeCell ref="AA10:AB10"/>
    <mergeCell ref="AC10:AD10"/>
    <mergeCell ref="AE10:AF10"/>
    <mergeCell ref="AG10:AH10"/>
    <mergeCell ref="AI10:AJ10"/>
  </mergeCells>
  <phoneticPr fontId="5"/>
  <dataValidations count="1">
    <dataValidation type="list" allowBlank="1" showInputMessage="1" showErrorMessage="1" sqref="AU13:AU112" xr:uid="{098A0331-46FB-461F-AFDD-5519C465BA37}">
      <formula1>$AZ$14:$AZ$15</formula1>
    </dataValidation>
  </dataValidations>
  <printOptions horizontalCentered="1"/>
  <pageMargins left="0" right="0" top="0.39370078740157483" bottom="0" header="0" footer="0"/>
  <pageSetup paperSize="8" scale="44" orientation="landscape" r:id="rId1"/>
  <headerFooter>
    <oddHeader>&amp;L&amp;F&amp;”/”&amp;A</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31E4A-77F0-4ABB-AD7B-A0C0752D6F76}">
  <sheetPr>
    <pageSetUpPr fitToPage="1"/>
  </sheetPr>
  <dimension ref="A1:BA117"/>
  <sheetViews>
    <sheetView showGridLines="0" zoomScaleNormal="100" zoomScaleSheetLayoutView="100" workbookViewId="0">
      <pane xSplit="6" ySplit="13" topLeftCell="G47" activePane="bottomRight" state="frozen"/>
      <selection pane="topRight" activeCell="M13" sqref="M13"/>
      <selection pane="bottomLeft" activeCell="M13" sqref="M13"/>
      <selection pane="bottomRight" activeCell="E55" sqref="E55"/>
    </sheetView>
  </sheetViews>
  <sheetFormatPr defaultColWidth="8" defaultRowHeight="18" x14ac:dyDescent="0.45"/>
  <cols>
    <col min="1" max="1" width="7.19921875" style="29" customWidth="1"/>
    <col min="2" max="2" width="8" style="29"/>
    <col min="3" max="3" width="3.296875" style="29" customWidth="1"/>
    <col min="4" max="4" width="15.796875" style="29" customWidth="1"/>
    <col min="5" max="5" width="43.09765625" style="29" customWidth="1"/>
    <col min="6" max="6" width="12.8984375" style="29" customWidth="1"/>
    <col min="7" max="7" width="4.8984375" style="29" bestFit="1" customWidth="1"/>
    <col min="8" max="8" width="6.796875" style="29" bestFit="1" customWidth="1"/>
    <col min="9" max="9" width="4.8984375" style="29" bestFit="1" customWidth="1"/>
    <col min="10" max="10" width="6.796875" style="29" bestFit="1" customWidth="1"/>
    <col min="11" max="11" width="5.796875" style="29" bestFit="1" customWidth="1"/>
    <col min="12" max="12" width="6.296875" style="29" customWidth="1"/>
    <col min="13" max="13" width="4.8984375" style="29" bestFit="1" customWidth="1"/>
    <col min="14" max="14" width="6.796875" style="29" bestFit="1" customWidth="1"/>
    <col min="15" max="15" width="4.8984375" style="29" bestFit="1" customWidth="1"/>
    <col min="16" max="16" width="6.796875" style="29" bestFit="1" customWidth="1"/>
    <col min="17" max="17" width="4.8984375" style="29" bestFit="1" customWidth="1"/>
    <col min="18" max="18" width="6.796875" style="29" bestFit="1" customWidth="1"/>
    <col min="19" max="19" width="4.8984375" style="29" bestFit="1" customWidth="1"/>
    <col min="20" max="20" width="5.796875" style="29" bestFit="1" customWidth="1"/>
    <col min="21" max="21" width="5.69921875" style="29" customWidth="1"/>
    <col min="22" max="22" width="6.09765625" style="29" bestFit="1" customWidth="1"/>
    <col min="23" max="23" width="4.8984375" style="29" bestFit="1" customWidth="1"/>
    <col min="24" max="24" width="5.796875" style="29" bestFit="1" customWidth="1"/>
    <col min="25" max="25" width="6.8984375" style="29" bestFit="1" customWidth="1"/>
    <col min="26" max="26" width="6.796875" style="29" bestFit="1" customWidth="1"/>
    <col min="27" max="27" width="5.8984375" style="29" customWidth="1"/>
    <col min="28" max="28" width="5.796875" style="29" bestFit="1" customWidth="1"/>
    <col min="29" max="29" width="4.8984375" style="29" bestFit="1" customWidth="1"/>
    <col min="30" max="30" width="5.796875" style="29" bestFit="1" customWidth="1"/>
    <col min="31" max="31" width="4.8984375" style="29" bestFit="1" customWidth="1"/>
    <col min="32" max="32" width="5.796875" style="29" bestFit="1" customWidth="1"/>
    <col min="33" max="33" width="4.8984375" style="29" bestFit="1" customWidth="1"/>
    <col min="34" max="34" width="6.8984375" style="29" bestFit="1" customWidth="1"/>
    <col min="35" max="35" width="4.8984375" style="29" bestFit="1" customWidth="1"/>
    <col min="36" max="36" width="5.796875" style="29" customWidth="1"/>
    <col min="37" max="37" width="4.8984375" style="29" bestFit="1" customWidth="1"/>
    <col min="38" max="38" width="6.796875" style="29" bestFit="1" customWidth="1"/>
    <col min="39" max="39" width="4.8984375" style="29" bestFit="1" customWidth="1"/>
    <col min="40" max="40" width="5.796875" style="29" bestFit="1" customWidth="1"/>
    <col min="41" max="41" width="4.8984375" style="29" bestFit="1" customWidth="1"/>
    <col min="42" max="42" width="5.796875" style="29" bestFit="1" customWidth="1"/>
    <col min="43" max="43" width="6.09765625" style="29" bestFit="1" customWidth="1"/>
    <col min="44" max="44" width="7" style="29" bestFit="1" customWidth="1"/>
    <col min="45" max="45" width="4.8984375" style="29" bestFit="1" customWidth="1"/>
    <col min="46" max="46" width="16.19921875" style="29" bestFit="1" customWidth="1"/>
    <col min="47" max="47" width="6" style="29" customWidth="1"/>
    <col min="48" max="48" width="7.796875" style="29" customWidth="1"/>
    <col min="49" max="49" width="6.296875" style="29" customWidth="1"/>
    <col min="50" max="50" width="7.19921875" style="29" customWidth="1"/>
    <col min="51" max="53" width="8" style="29"/>
    <col min="54" max="54" width="23.296875" style="29" bestFit="1" customWidth="1"/>
    <col min="55" max="16384" width="8" style="29"/>
  </cols>
  <sheetData>
    <row r="1" spans="1:48" ht="13.35" customHeight="1" x14ac:dyDescent="0.45">
      <c r="A1" s="23"/>
      <c r="B1" s="24"/>
      <c r="C1" s="25"/>
      <c r="D1" s="24"/>
      <c r="G1" s="571"/>
      <c r="H1" s="572"/>
      <c r="I1" s="572"/>
      <c r="J1" s="572"/>
      <c r="K1" s="572"/>
      <c r="L1" s="573"/>
      <c r="M1" s="577" t="s">
        <v>100</v>
      </c>
      <c r="N1" s="578"/>
      <c r="O1" s="529" t="s">
        <v>101</v>
      </c>
      <c r="P1" s="530"/>
      <c r="Q1" s="530"/>
      <c r="R1" s="530"/>
      <c r="S1" s="530"/>
      <c r="T1" s="531"/>
      <c r="U1"/>
      <c r="V1"/>
      <c r="W1"/>
      <c r="X1"/>
      <c r="Y1"/>
      <c r="Z1"/>
      <c r="AA1"/>
      <c r="AB1"/>
      <c r="AC1"/>
      <c r="AD1" s="239"/>
      <c r="AE1"/>
      <c r="AF1" s="239"/>
      <c r="AG1" s="239"/>
      <c r="AH1" s="239"/>
      <c r="AI1" s="239"/>
      <c r="AJ1" s="239"/>
      <c r="AL1" s="28"/>
      <c r="AS1" s="532">
        <v>45091</v>
      </c>
      <c r="AT1" s="532"/>
    </row>
    <row r="2" spans="1:48" ht="13.35" customHeight="1" x14ac:dyDescent="0.45">
      <c r="A2" s="23" t="s">
        <v>102</v>
      </c>
      <c r="B2" s="24"/>
      <c r="C2" s="25"/>
      <c r="D2" s="24"/>
      <c r="G2" s="574"/>
      <c r="H2" s="575"/>
      <c r="I2" s="575"/>
      <c r="J2" s="575"/>
      <c r="K2" s="575"/>
      <c r="L2" s="576"/>
      <c r="M2" s="579"/>
      <c r="N2" s="580"/>
      <c r="O2" s="581" t="s">
        <v>103</v>
      </c>
      <c r="P2" s="582"/>
      <c r="Q2" s="583"/>
      <c r="R2" s="529" t="s">
        <v>104</v>
      </c>
      <c r="S2" s="530"/>
      <c r="T2" s="531"/>
      <c r="U2"/>
      <c r="V2"/>
      <c r="W2"/>
      <c r="X2"/>
      <c r="Y2" s="240"/>
      <c r="Z2"/>
      <c r="AA2"/>
      <c r="AB2"/>
      <c r="AC2"/>
      <c r="AD2" s="239"/>
      <c r="AE2"/>
      <c r="AF2" s="239"/>
      <c r="AG2" s="239"/>
      <c r="AH2" s="239"/>
      <c r="AI2" s="239"/>
      <c r="AJ2" s="239"/>
      <c r="AK2" s="28"/>
      <c r="AL2" s="28"/>
      <c r="AT2" s="28" t="s">
        <v>105</v>
      </c>
    </row>
    <row r="3" spans="1:48" ht="13.35" customHeight="1" x14ac:dyDescent="0.45">
      <c r="A3" s="23"/>
      <c r="B3" s="24"/>
      <c r="C3" s="25"/>
      <c r="D3" s="24"/>
      <c r="G3" s="538" t="s">
        <v>106</v>
      </c>
      <c r="H3" s="539"/>
      <c r="I3" s="539"/>
      <c r="J3" s="539"/>
      <c r="K3" s="539"/>
      <c r="L3" s="540"/>
      <c r="M3" s="617">
        <v>2</v>
      </c>
      <c r="N3" s="618"/>
      <c r="O3" s="617">
        <f>R3/M3</f>
        <v>59.43</v>
      </c>
      <c r="P3" s="619"/>
      <c r="Q3" s="618"/>
      <c r="R3" s="620">
        <v>118.86</v>
      </c>
      <c r="S3" s="621"/>
      <c r="T3" s="622"/>
      <c r="U3"/>
      <c r="V3"/>
      <c r="W3"/>
      <c r="X3"/>
      <c r="Y3"/>
      <c r="Z3"/>
      <c r="AA3"/>
      <c r="AB3"/>
      <c r="AC3"/>
      <c r="AD3" s="239"/>
      <c r="AE3"/>
      <c r="AF3" s="239"/>
      <c r="AG3" s="239"/>
      <c r="AH3" s="239"/>
      <c r="AI3" s="239"/>
      <c r="AJ3" s="239"/>
      <c r="AK3" s="28"/>
      <c r="AL3" s="28"/>
    </row>
    <row r="4" spans="1:48" ht="13.35" customHeight="1" x14ac:dyDescent="0.45">
      <c r="A4" s="23"/>
      <c r="B4" s="24"/>
      <c r="C4" s="25"/>
      <c r="D4" s="24"/>
      <c r="G4" s="538" t="s">
        <v>107</v>
      </c>
      <c r="H4" s="539"/>
      <c r="I4" s="539"/>
      <c r="J4" s="539"/>
      <c r="K4" s="539"/>
      <c r="L4" s="540"/>
      <c r="M4" s="617">
        <v>6</v>
      </c>
      <c r="N4" s="618"/>
      <c r="O4" s="617">
        <f>R4/M4</f>
        <v>26.240724612727277</v>
      </c>
      <c r="P4" s="619"/>
      <c r="Q4" s="618"/>
      <c r="R4" s="620">
        <v>157.44434767636366</v>
      </c>
      <c r="S4" s="621"/>
      <c r="T4" s="622"/>
      <c r="U4"/>
      <c r="V4"/>
      <c r="W4"/>
      <c r="X4"/>
      <c r="Y4"/>
      <c r="Z4"/>
      <c r="AA4"/>
      <c r="AB4"/>
      <c r="AC4"/>
      <c r="AD4" s="239"/>
      <c r="AE4"/>
      <c r="AF4" s="239"/>
      <c r="AG4" s="239"/>
      <c r="AH4" s="239"/>
      <c r="AI4" s="239"/>
      <c r="AJ4" s="239"/>
      <c r="AK4" s="28"/>
      <c r="AL4" s="28"/>
    </row>
    <row r="5" spans="1:48" ht="13.35" customHeight="1" x14ac:dyDescent="0.45">
      <c r="A5" s="590" t="s">
        <v>384</v>
      </c>
      <c r="B5" s="590"/>
      <c r="C5" s="590"/>
      <c r="D5" s="590"/>
      <c r="E5" s="590"/>
      <c r="G5" s="538" t="s">
        <v>109</v>
      </c>
      <c r="H5" s="539"/>
      <c r="I5" s="539"/>
      <c r="J5" s="539"/>
      <c r="K5" s="539"/>
      <c r="L5" s="540"/>
      <c r="M5" s="541">
        <v>5</v>
      </c>
      <c r="N5" s="542"/>
      <c r="O5" s="541">
        <f>R5/M5</f>
        <v>26.240724612727274</v>
      </c>
      <c r="P5" s="591"/>
      <c r="Q5" s="542"/>
      <c r="R5" s="543">
        <v>131.20362306363637</v>
      </c>
      <c r="S5" s="544"/>
      <c r="T5" s="545"/>
      <c r="U5" t="s">
        <v>110</v>
      </c>
      <c r="V5"/>
      <c r="W5"/>
      <c r="X5"/>
      <c r="Y5"/>
      <c r="Z5"/>
      <c r="AA5"/>
      <c r="AB5"/>
      <c r="AC5"/>
      <c r="AD5" s="239"/>
      <c r="AE5"/>
      <c r="AF5" s="239"/>
      <c r="AG5" s="239"/>
      <c r="AH5" s="239"/>
      <c r="AI5" s="239"/>
      <c r="AJ5" s="239"/>
      <c r="AK5" s="28"/>
      <c r="AL5" s="28"/>
      <c r="AV5" s="241"/>
    </row>
    <row r="6" spans="1:48" ht="13.35" customHeight="1" x14ac:dyDescent="0.45">
      <c r="A6" s="590"/>
      <c r="B6" s="590"/>
      <c r="C6" s="590"/>
      <c r="D6" s="590"/>
      <c r="E6" s="590"/>
      <c r="G6" s="538" t="s">
        <v>111</v>
      </c>
      <c r="H6" s="539"/>
      <c r="I6" s="539"/>
      <c r="J6" s="539"/>
      <c r="K6" s="539"/>
      <c r="L6" s="540"/>
      <c r="M6" s="541">
        <v>1</v>
      </c>
      <c r="N6" s="542"/>
      <c r="O6" s="541">
        <f>R6</f>
        <v>27.96</v>
      </c>
      <c r="P6" s="591"/>
      <c r="Q6" s="542"/>
      <c r="R6" s="543">
        <v>27.96</v>
      </c>
      <c r="S6" s="544"/>
      <c r="T6" s="545"/>
      <c r="U6" t="s">
        <v>112</v>
      </c>
      <c r="V6"/>
      <c r="W6"/>
      <c r="X6"/>
      <c r="Y6"/>
      <c r="Z6"/>
      <c r="AA6"/>
      <c r="AB6"/>
      <c r="AC6"/>
      <c r="AD6" s="239"/>
      <c r="AE6"/>
      <c r="AF6" s="239"/>
      <c r="AG6" s="239"/>
      <c r="AH6" s="239"/>
      <c r="AI6" s="239"/>
      <c r="AJ6" s="239"/>
      <c r="AK6" s="28"/>
      <c r="AL6" s="28"/>
      <c r="AV6" s="241"/>
    </row>
    <row r="7" spans="1:48" ht="13.35" customHeight="1" x14ac:dyDescent="0.45">
      <c r="A7" s="23"/>
      <c r="B7" s="24"/>
      <c r="C7" s="25"/>
      <c r="D7" s="24"/>
      <c r="G7" s="538" t="s">
        <v>113</v>
      </c>
      <c r="H7" s="539"/>
      <c r="I7" s="539"/>
      <c r="J7" s="539"/>
      <c r="K7" s="539"/>
      <c r="L7" s="540"/>
      <c r="M7" s="543">
        <f>SUM(M3:N6)</f>
        <v>14</v>
      </c>
      <c r="N7" s="545"/>
      <c r="O7" s="543" t="s">
        <v>114</v>
      </c>
      <c r="P7" s="544"/>
      <c r="Q7" s="545"/>
      <c r="R7" s="592">
        <f>SUM(R3:T6)</f>
        <v>435.46797074</v>
      </c>
      <c r="S7" s="593"/>
      <c r="T7" s="594"/>
      <c r="U7" t="s">
        <v>115</v>
      </c>
      <c r="V7" s="35">
        <f>R7/12</f>
        <v>36.288997561666669</v>
      </c>
      <c r="W7" s="35" t="s">
        <v>116</v>
      </c>
      <c r="X7" t="s">
        <v>117</v>
      </c>
      <c r="Y7" s="595">
        <f>V7*1000*135</f>
        <v>4899014.6708250009</v>
      </c>
      <c r="Z7" s="595"/>
      <c r="AA7" t="s">
        <v>118</v>
      </c>
      <c r="AB7"/>
      <c r="AC7"/>
      <c r="AD7" s="239"/>
      <c r="AE7"/>
      <c r="AF7" s="239"/>
      <c r="AG7" s="239"/>
      <c r="AH7" s="239"/>
      <c r="AI7" s="239"/>
      <c r="AJ7" s="239"/>
      <c r="AK7" s="28"/>
      <c r="AL7" s="28"/>
    </row>
    <row r="8" spans="1:48" ht="13.35" customHeight="1" x14ac:dyDescent="0.15">
      <c r="A8" s="23"/>
      <c r="B8" s="24"/>
      <c r="C8" s="25"/>
      <c r="D8" s="24"/>
      <c r="G8" s="242"/>
      <c r="H8" s="242"/>
      <c r="I8" s="242"/>
      <c r="J8" s="242"/>
      <c r="K8" s="242"/>
      <c r="L8" s="242"/>
      <c r="M8" s="242"/>
      <c r="N8" s="242"/>
      <c r="O8" s="242"/>
      <c r="P8" s="242"/>
      <c r="Q8" s="242"/>
      <c r="R8" s="242"/>
      <c r="S8" s="242"/>
      <c r="T8" s="242"/>
      <c r="U8" s="242"/>
      <c r="V8" s="242"/>
      <c r="W8" s="242"/>
      <c r="X8" s="242"/>
      <c r="Y8" s="242"/>
      <c r="Z8" s="243"/>
      <c r="AA8" s="239"/>
      <c r="AB8" s="239"/>
      <c r="AC8" s="239"/>
      <c r="AD8" s="239"/>
      <c r="AE8" s="239"/>
      <c r="AF8" s="239"/>
      <c r="AG8" s="239"/>
      <c r="AH8" s="239"/>
      <c r="AI8" s="239"/>
      <c r="AJ8" s="239"/>
      <c r="AK8" s="28"/>
      <c r="AL8" s="28"/>
      <c r="AT8" t="s">
        <v>119</v>
      </c>
    </row>
    <row r="9" spans="1:48" ht="18.600000000000001" thickBot="1" x14ac:dyDescent="0.2">
      <c r="B9" s="32"/>
      <c r="C9" s="33"/>
      <c r="D9" s="34"/>
      <c r="E9" s="244"/>
      <c r="F9" s="244"/>
      <c r="G9" s="244"/>
      <c r="H9" s="244"/>
      <c r="I9" s="244"/>
      <c r="J9" s="244"/>
      <c r="K9" s="244"/>
      <c r="L9" s="245" t="s">
        <v>385</v>
      </c>
      <c r="M9" s="244"/>
      <c r="N9" s="244"/>
      <c r="O9" s="244"/>
      <c r="P9" s="244"/>
      <c r="Q9" s="244"/>
      <c r="R9" s="244"/>
      <c r="S9" s="244"/>
      <c r="T9" s="244"/>
      <c r="U9" s="244"/>
      <c r="V9" s="244"/>
      <c r="W9" s="244"/>
      <c r="X9" s="244"/>
      <c r="Y9" s="244"/>
      <c r="Z9" s="246"/>
      <c r="AA9" s="247"/>
      <c r="AB9" s="247"/>
      <c r="AC9" s="247"/>
      <c r="AD9" s="247"/>
      <c r="AE9" s="247"/>
      <c r="AF9" s="247"/>
      <c r="AG9" s="247"/>
      <c r="AH9" s="247"/>
      <c r="AI9" s="247"/>
      <c r="AJ9" s="247"/>
      <c r="AL9" s="28"/>
    </row>
    <row r="10" spans="1:48" x14ac:dyDescent="0.45">
      <c r="A10" s="38"/>
      <c r="B10" s="39"/>
      <c r="C10" s="40"/>
      <c r="D10" s="39"/>
      <c r="E10" s="39"/>
      <c r="F10" s="41"/>
      <c r="G10" s="606" t="s">
        <v>120</v>
      </c>
      <c r="H10" s="607"/>
      <c r="I10" s="607"/>
      <c r="J10" s="607"/>
      <c r="K10" s="607"/>
      <c r="L10" s="608"/>
      <c r="M10" s="596" t="s">
        <v>121</v>
      </c>
      <c r="N10" s="597"/>
      <c r="O10" s="597"/>
      <c r="P10" s="597"/>
      <c r="Q10" s="597"/>
      <c r="R10" s="597"/>
      <c r="S10" s="597"/>
      <c r="T10" s="597"/>
      <c r="U10" s="597"/>
      <c r="V10" s="597"/>
      <c r="W10" s="597"/>
      <c r="X10" s="597"/>
      <c r="Y10" s="597"/>
      <c r="Z10" s="598"/>
      <c r="AA10" s="596" t="s">
        <v>122</v>
      </c>
      <c r="AB10" s="597"/>
      <c r="AC10" s="597"/>
      <c r="AD10" s="597"/>
      <c r="AE10" s="597"/>
      <c r="AF10" s="597"/>
      <c r="AG10" s="597"/>
      <c r="AH10" s="597"/>
      <c r="AI10" s="597"/>
      <c r="AJ10" s="597"/>
      <c r="AK10" s="597"/>
      <c r="AL10" s="598"/>
      <c r="AM10" s="553" t="s">
        <v>123</v>
      </c>
      <c r="AN10" s="554"/>
      <c r="AO10" s="554"/>
      <c r="AP10" s="555"/>
      <c r="AQ10" s="556" t="s">
        <v>124</v>
      </c>
      <c r="AR10" s="557"/>
    </row>
    <row r="11" spans="1:48" x14ac:dyDescent="0.45">
      <c r="A11" s="42"/>
      <c r="B11" s="24"/>
      <c r="C11" s="25"/>
      <c r="D11" s="24"/>
      <c r="E11" s="24"/>
      <c r="F11" s="43"/>
      <c r="G11" s="599" t="s">
        <v>386</v>
      </c>
      <c r="H11" s="600"/>
      <c r="I11" s="601" t="s">
        <v>387</v>
      </c>
      <c r="J11" s="602"/>
      <c r="K11" s="563" t="s">
        <v>127</v>
      </c>
      <c r="L11" s="603"/>
      <c r="M11" s="604" t="s">
        <v>388</v>
      </c>
      <c r="N11" s="605"/>
      <c r="O11" s="604" t="s">
        <v>389</v>
      </c>
      <c r="P11" s="605"/>
      <c r="Q11" s="604" t="s">
        <v>390</v>
      </c>
      <c r="R11" s="605"/>
      <c r="S11" s="604" t="s">
        <v>391</v>
      </c>
      <c r="T11" s="605"/>
      <c r="U11" s="604" t="s">
        <v>392</v>
      </c>
      <c r="V11" s="605"/>
      <c r="W11" s="604" t="s">
        <v>393</v>
      </c>
      <c r="X11" s="605"/>
      <c r="Y11" s="570" t="s">
        <v>136</v>
      </c>
      <c r="Z11" s="609"/>
      <c r="AA11" s="610" t="s">
        <v>394</v>
      </c>
      <c r="AB11" s="605"/>
      <c r="AC11" s="604" t="s">
        <v>395</v>
      </c>
      <c r="AD11" s="605"/>
      <c r="AE11" s="604" t="s">
        <v>396</v>
      </c>
      <c r="AF11" s="605"/>
      <c r="AG11" s="604" t="s">
        <v>397</v>
      </c>
      <c r="AH11" s="605"/>
      <c r="AI11" s="604" t="s">
        <v>398</v>
      </c>
      <c r="AJ11" s="605"/>
      <c r="AK11" s="570" t="s">
        <v>136</v>
      </c>
      <c r="AL11" s="609"/>
      <c r="AM11" s="610" t="s">
        <v>141</v>
      </c>
      <c r="AN11" s="605"/>
      <c r="AO11" s="570" t="s">
        <v>136</v>
      </c>
      <c r="AP11" s="609"/>
      <c r="AQ11" s="558"/>
      <c r="AR11" s="559"/>
    </row>
    <row r="12" spans="1:48" x14ac:dyDescent="0.45">
      <c r="A12" s="42"/>
      <c r="B12" s="24"/>
      <c r="C12" s="25"/>
      <c r="D12" s="24"/>
      <c r="E12" s="24"/>
      <c r="F12" s="43"/>
      <c r="G12" s="248" t="s">
        <v>100</v>
      </c>
      <c r="H12" s="249" t="s">
        <v>142</v>
      </c>
      <c r="I12" s="250" t="s">
        <v>100</v>
      </c>
      <c r="J12" s="250" t="s">
        <v>142</v>
      </c>
      <c r="K12" s="251" t="s">
        <v>100</v>
      </c>
      <c r="L12" s="252" t="s">
        <v>142</v>
      </c>
      <c r="M12" s="253" t="s">
        <v>100</v>
      </c>
      <c r="N12" s="253" t="s">
        <v>142</v>
      </c>
      <c r="O12" s="253" t="s">
        <v>100</v>
      </c>
      <c r="P12" s="253" t="s">
        <v>142</v>
      </c>
      <c r="Q12" s="253" t="s">
        <v>100</v>
      </c>
      <c r="R12" s="253" t="s">
        <v>142</v>
      </c>
      <c r="S12" s="253" t="s">
        <v>100</v>
      </c>
      <c r="T12" s="253" t="s">
        <v>142</v>
      </c>
      <c r="U12" s="253" t="s">
        <v>100</v>
      </c>
      <c r="V12" s="253" t="s">
        <v>142</v>
      </c>
      <c r="W12" s="253" t="s">
        <v>100</v>
      </c>
      <c r="X12" s="253" t="s">
        <v>142</v>
      </c>
      <c r="Y12" s="254" t="s">
        <v>100</v>
      </c>
      <c r="Z12" s="255" t="s">
        <v>142</v>
      </c>
      <c r="AA12" s="256" t="s">
        <v>100</v>
      </c>
      <c r="AB12" s="253" t="s">
        <v>142</v>
      </c>
      <c r="AC12" s="253" t="s">
        <v>100</v>
      </c>
      <c r="AD12" s="253" t="s">
        <v>142</v>
      </c>
      <c r="AE12" s="253" t="s">
        <v>100</v>
      </c>
      <c r="AF12" s="253" t="s">
        <v>142</v>
      </c>
      <c r="AG12" s="253" t="s">
        <v>100</v>
      </c>
      <c r="AH12" s="253" t="s">
        <v>142</v>
      </c>
      <c r="AI12" s="253" t="s">
        <v>100</v>
      </c>
      <c r="AJ12" s="253" t="s">
        <v>142</v>
      </c>
      <c r="AK12" s="254" t="s">
        <v>100</v>
      </c>
      <c r="AL12" s="257" t="s">
        <v>142</v>
      </c>
      <c r="AM12" s="258" t="s">
        <v>100</v>
      </c>
      <c r="AN12" s="253" t="s">
        <v>142</v>
      </c>
      <c r="AO12" s="254" t="s">
        <v>100</v>
      </c>
      <c r="AP12" s="255" t="s">
        <v>142</v>
      </c>
      <c r="AQ12" s="259" t="s">
        <v>100</v>
      </c>
      <c r="AR12" s="260" t="s">
        <v>142</v>
      </c>
      <c r="AS12" s="261" t="s">
        <v>143</v>
      </c>
      <c r="AT12" s="262" t="s">
        <v>144</v>
      </c>
    </row>
    <row r="13" spans="1:48" ht="18.600000000000001" thickBot="1" x14ac:dyDescent="0.5">
      <c r="A13" s="57" t="s">
        <v>145</v>
      </c>
      <c r="B13" s="58" t="s">
        <v>146</v>
      </c>
      <c r="C13" s="59"/>
      <c r="D13" s="58" t="s">
        <v>147</v>
      </c>
      <c r="E13" s="58" t="s">
        <v>148</v>
      </c>
      <c r="F13" s="60" t="s">
        <v>149</v>
      </c>
      <c r="G13" s="263">
        <v>1</v>
      </c>
      <c r="H13" s="264">
        <f>O3</f>
        <v>59.43</v>
      </c>
      <c r="I13" s="264">
        <v>1</v>
      </c>
      <c r="J13" s="264">
        <f>O3</f>
        <v>59.43</v>
      </c>
      <c r="K13" s="63">
        <f>G13+I13</f>
        <v>2</v>
      </c>
      <c r="L13" s="265">
        <f>H13+J13</f>
        <v>118.86</v>
      </c>
      <c r="M13" s="66">
        <v>1</v>
      </c>
      <c r="N13" s="66">
        <f>O4</f>
        <v>26.240724612727277</v>
      </c>
      <c r="O13" s="66">
        <v>1</v>
      </c>
      <c r="P13" s="66">
        <f>O4</f>
        <v>26.240724612727277</v>
      </c>
      <c r="Q13" s="66">
        <v>1</v>
      </c>
      <c r="R13" s="66">
        <f>O4</f>
        <v>26.240724612727277</v>
      </c>
      <c r="S13" s="66">
        <v>1</v>
      </c>
      <c r="T13" s="66">
        <f>O4</f>
        <v>26.240724612727277</v>
      </c>
      <c r="U13" s="66">
        <v>1</v>
      </c>
      <c r="V13" s="66">
        <f>O4</f>
        <v>26.240724612727277</v>
      </c>
      <c r="W13" s="66">
        <v>1</v>
      </c>
      <c r="X13" s="66">
        <f>O4</f>
        <v>26.240724612727277</v>
      </c>
      <c r="Y13" s="67">
        <f>M13+O13+Q13+S13+U13+W13</f>
        <v>6</v>
      </c>
      <c r="Z13" s="266">
        <f>N13+P13+R13+T13+V13+X13</f>
        <v>157.44434767636363</v>
      </c>
      <c r="AA13" s="65">
        <v>1</v>
      </c>
      <c r="AB13" s="66">
        <f>O5</f>
        <v>26.240724612727274</v>
      </c>
      <c r="AC13" s="66">
        <v>1</v>
      </c>
      <c r="AD13" s="66">
        <f>O5</f>
        <v>26.240724612727274</v>
      </c>
      <c r="AE13" s="66">
        <v>1</v>
      </c>
      <c r="AF13" s="66">
        <f>O5</f>
        <v>26.240724612727274</v>
      </c>
      <c r="AG13" s="66">
        <v>1</v>
      </c>
      <c r="AH13" s="66">
        <f>O5</f>
        <v>26.240724612727274</v>
      </c>
      <c r="AI13" s="66">
        <v>1</v>
      </c>
      <c r="AJ13" s="66">
        <f>O5</f>
        <v>26.240724612727274</v>
      </c>
      <c r="AK13" s="67">
        <f>AA13+AC13+AE13+AG13+AI13</f>
        <v>5</v>
      </c>
      <c r="AL13" s="68">
        <f>AB13+AD13+AF13+AH13+AJ13</f>
        <v>131.20362306363637</v>
      </c>
      <c r="AM13" s="267">
        <v>1</v>
      </c>
      <c r="AN13" s="66">
        <f>O6</f>
        <v>27.96</v>
      </c>
      <c r="AO13" s="67">
        <f>AM13</f>
        <v>1</v>
      </c>
      <c r="AP13" s="268">
        <f>AN13</f>
        <v>27.96</v>
      </c>
      <c r="AQ13" s="71">
        <f t="shared" ref="AQ13:AR44" si="0">K13+Y13+AK13+AO13</f>
        <v>14</v>
      </c>
      <c r="AR13" s="72">
        <f t="shared" si="0"/>
        <v>435.46797074</v>
      </c>
      <c r="AS13" s="56"/>
      <c r="AT13" s="56"/>
    </row>
    <row r="14" spans="1:48" ht="15" customHeight="1" x14ac:dyDescent="0.45">
      <c r="A14" s="73" t="s">
        <v>150</v>
      </c>
      <c r="B14" s="74" t="s">
        <v>151</v>
      </c>
      <c r="C14" s="75">
        <v>1</v>
      </c>
      <c r="D14" s="74" t="s">
        <v>152</v>
      </c>
      <c r="E14" s="76" t="s">
        <v>153</v>
      </c>
      <c r="F14" s="77" t="s">
        <v>154</v>
      </c>
      <c r="G14" s="269">
        <v>0.01</v>
      </c>
      <c r="H14" s="205">
        <f>H$13/G$13*G14</f>
        <v>0.59430000000000005</v>
      </c>
      <c r="I14" s="205"/>
      <c r="J14" s="205">
        <f>J$13/I$13*I14</f>
        <v>0</v>
      </c>
      <c r="K14" s="80">
        <f>G14+I14</f>
        <v>0.01</v>
      </c>
      <c r="L14" s="270">
        <f>H14+J14</f>
        <v>0.59430000000000005</v>
      </c>
      <c r="M14" s="271">
        <v>0.01</v>
      </c>
      <c r="N14" s="83">
        <f t="shared" ref="N14:N77" si="1">N$13/M$13*M14</f>
        <v>0.26240724612727279</v>
      </c>
      <c r="O14" s="83"/>
      <c r="P14" s="83">
        <f t="shared" ref="P14:P77" si="2">P$13/O$13*O14</f>
        <v>0</v>
      </c>
      <c r="Q14" s="83"/>
      <c r="R14" s="83">
        <f t="shared" ref="R14:R77" si="3">R$13/Q$13*Q14</f>
        <v>0</v>
      </c>
      <c r="S14" s="83"/>
      <c r="T14" s="83">
        <f t="shared" ref="T14:T77" si="4">T$13/S$13*S14</f>
        <v>0</v>
      </c>
      <c r="U14" s="83"/>
      <c r="V14" s="83">
        <f t="shared" ref="V14:V77" si="5">V$13/U$13*U14</f>
        <v>0</v>
      </c>
      <c r="W14" s="83"/>
      <c r="X14" s="83">
        <f t="shared" ref="X14:X77" si="6">X$13/W$13*W14</f>
        <v>0</v>
      </c>
      <c r="Y14" s="84">
        <f t="shared" ref="Y14:Z77" si="7">M14+O14+Q14+S14+U14+W14</f>
        <v>0.01</v>
      </c>
      <c r="Z14" s="272">
        <f t="shared" si="7"/>
        <v>0.26240724612727279</v>
      </c>
      <c r="AA14" s="82"/>
      <c r="AB14" s="83">
        <f t="shared" ref="AB14:AB77" si="8">AB$13/AA$13*AA14</f>
        <v>0</v>
      </c>
      <c r="AC14" s="83"/>
      <c r="AD14" s="83">
        <f t="shared" ref="AD14:AD77" si="9">AD$13/AC$13*AC14</f>
        <v>0</v>
      </c>
      <c r="AE14" s="83"/>
      <c r="AF14" s="83">
        <f t="shared" ref="AF14:AF77" si="10">AF$13/AE$13*AE14</f>
        <v>0</v>
      </c>
      <c r="AG14" s="83"/>
      <c r="AH14" s="83">
        <f t="shared" ref="AH14:AH77" si="11">AH$13/AG$13*AG14</f>
        <v>0</v>
      </c>
      <c r="AI14" s="83"/>
      <c r="AJ14" s="83">
        <f t="shared" ref="AJ14:AJ77" si="12">AJ$13/AI$13*AI14</f>
        <v>0</v>
      </c>
      <c r="AK14" s="84">
        <f t="shared" ref="AK14:AL77" si="13">AA14+AC14+AE14+AG14+AI14</f>
        <v>0</v>
      </c>
      <c r="AL14" s="85">
        <f t="shared" si="13"/>
        <v>0</v>
      </c>
      <c r="AM14" s="271"/>
      <c r="AN14" s="83">
        <f t="shared" ref="AN14:AN77" si="14">AN$13/AM$13*AM14</f>
        <v>0</v>
      </c>
      <c r="AO14" s="84">
        <f>AM14</f>
        <v>0</v>
      </c>
      <c r="AP14" s="273">
        <f t="shared" ref="AP14:AP77" si="15">AN14</f>
        <v>0</v>
      </c>
      <c r="AQ14" s="88">
        <f t="shared" si="0"/>
        <v>0.02</v>
      </c>
      <c r="AR14" s="89">
        <f t="shared" si="0"/>
        <v>0.85670724612727289</v>
      </c>
      <c r="AS14" s="56" t="s">
        <v>155</v>
      </c>
      <c r="AT14" s="56">
        <f>IF(AS14="●",AR14,0)</f>
        <v>0</v>
      </c>
      <c r="AV14" s="56" t="s">
        <v>156</v>
      </c>
    </row>
    <row r="15" spans="1:48" ht="15" customHeight="1" x14ac:dyDescent="0.45">
      <c r="A15" s="73"/>
      <c r="B15" s="90" t="s">
        <v>157</v>
      </c>
      <c r="C15" s="91">
        <v>2</v>
      </c>
      <c r="D15" s="74" t="s">
        <v>158</v>
      </c>
      <c r="E15" s="76" t="s">
        <v>159</v>
      </c>
      <c r="F15" s="92" t="s">
        <v>154</v>
      </c>
      <c r="G15" s="210">
        <v>0.01</v>
      </c>
      <c r="H15" s="207">
        <f t="shared" ref="H15:J78" si="16">H$13/G$13*G15</f>
        <v>0.59430000000000005</v>
      </c>
      <c r="I15" s="207"/>
      <c r="J15" s="207">
        <f t="shared" si="16"/>
        <v>0</v>
      </c>
      <c r="K15" s="80">
        <f t="shared" ref="K15:L78" si="17">G15+I15</f>
        <v>0.01</v>
      </c>
      <c r="L15" s="270">
        <f t="shared" si="17"/>
        <v>0.59430000000000005</v>
      </c>
      <c r="M15" s="274">
        <v>0.03</v>
      </c>
      <c r="N15" s="98">
        <f t="shared" si="1"/>
        <v>0.7872217383818183</v>
      </c>
      <c r="O15" s="98"/>
      <c r="P15" s="98">
        <f t="shared" si="2"/>
        <v>0</v>
      </c>
      <c r="Q15" s="98"/>
      <c r="R15" s="98">
        <f t="shared" si="3"/>
        <v>0</v>
      </c>
      <c r="S15" s="98"/>
      <c r="T15" s="98">
        <f t="shared" si="4"/>
        <v>0</v>
      </c>
      <c r="U15" s="98"/>
      <c r="V15" s="98">
        <f t="shared" si="5"/>
        <v>0</v>
      </c>
      <c r="W15" s="98"/>
      <c r="X15" s="98">
        <f t="shared" si="6"/>
        <v>0</v>
      </c>
      <c r="Y15" s="99">
        <f t="shared" si="7"/>
        <v>0.03</v>
      </c>
      <c r="Z15" s="275">
        <f t="shared" si="7"/>
        <v>0.7872217383818183</v>
      </c>
      <c r="AA15" s="97"/>
      <c r="AB15" s="98">
        <f t="shared" si="8"/>
        <v>0</v>
      </c>
      <c r="AC15" s="98"/>
      <c r="AD15" s="98">
        <f t="shared" si="9"/>
        <v>0</v>
      </c>
      <c r="AE15" s="98"/>
      <c r="AF15" s="98">
        <f t="shared" si="10"/>
        <v>0</v>
      </c>
      <c r="AG15" s="98"/>
      <c r="AH15" s="98">
        <f t="shared" si="11"/>
        <v>0</v>
      </c>
      <c r="AI15" s="98"/>
      <c r="AJ15" s="98">
        <f t="shared" si="12"/>
        <v>0</v>
      </c>
      <c r="AK15" s="99">
        <f t="shared" si="13"/>
        <v>0</v>
      </c>
      <c r="AL15" s="100">
        <f t="shared" si="13"/>
        <v>0</v>
      </c>
      <c r="AM15" s="274"/>
      <c r="AN15" s="98">
        <f t="shared" si="14"/>
        <v>0</v>
      </c>
      <c r="AO15" s="99">
        <f t="shared" ref="AO15:AP78" si="18">AM15</f>
        <v>0</v>
      </c>
      <c r="AP15" s="276">
        <f t="shared" si="15"/>
        <v>0</v>
      </c>
      <c r="AQ15" s="103">
        <f t="shared" si="0"/>
        <v>0.04</v>
      </c>
      <c r="AR15" s="104">
        <f t="shared" si="0"/>
        <v>1.3815217383818184</v>
      </c>
      <c r="AS15" s="56" t="s">
        <v>155</v>
      </c>
      <c r="AT15" s="56">
        <f t="shared" ref="AT15:AT78" si="19">IF(AS15="●",AR15,0)</f>
        <v>0</v>
      </c>
      <c r="AV15" t="s">
        <v>114</v>
      </c>
    </row>
    <row r="16" spans="1:48" ht="15" customHeight="1" x14ac:dyDescent="0.45">
      <c r="A16" s="73"/>
      <c r="B16" s="90"/>
      <c r="C16" s="91">
        <v>3</v>
      </c>
      <c r="D16" s="74" t="s">
        <v>160</v>
      </c>
      <c r="E16" s="76" t="s">
        <v>161</v>
      </c>
      <c r="F16" s="77" t="s">
        <v>162</v>
      </c>
      <c r="G16" s="210">
        <v>0.01</v>
      </c>
      <c r="H16" s="207">
        <f t="shared" si="16"/>
        <v>0.59430000000000005</v>
      </c>
      <c r="I16" s="207"/>
      <c r="J16" s="207">
        <f t="shared" si="16"/>
        <v>0</v>
      </c>
      <c r="K16" s="80">
        <f t="shared" si="17"/>
        <v>0.01</v>
      </c>
      <c r="L16" s="270">
        <f t="shared" si="17"/>
        <v>0.59430000000000005</v>
      </c>
      <c r="M16" s="98">
        <v>0.01</v>
      </c>
      <c r="N16" s="98">
        <f t="shared" si="1"/>
        <v>0.26240724612727279</v>
      </c>
      <c r="O16" s="98">
        <v>0.01</v>
      </c>
      <c r="P16" s="98">
        <f t="shared" si="2"/>
        <v>0.26240724612727279</v>
      </c>
      <c r="Q16" s="98">
        <v>0.01</v>
      </c>
      <c r="R16" s="98">
        <f t="shared" si="3"/>
        <v>0.26240724612727279</v>
      </c>
      <c r="S16" s="98">
        <v>0.01</v>
      </c>
      <c r="T16" s="98">
        <f t="shared" si="4"/>
        <v>0.26240724612727279</v>
      </c>
      <c r="U16" s="98">
        <v>0.01</v>
      </c>
      <c r="V16" s="98">
        <f t="shared" si="5"/>
        <v>0.26240724612727279</v>
      </c>
      <c r="W16" s="98">
        <v>0.01</v>
      </c>
      <c r="X16" s="98">
        <f t="shared" si="6"/>
        <v>0.26240724612727279</v>
      </c>
      <c r="Y16" s="99">
        <f t="shared" si="7"/>
        <v>6.0000000000000005E-2</v>
      </c>
      <c r="Z16" s="275">
        <f t="shared" si="7"/>
        <v>1.5744434767636368</v>
      </c>
      <c r="AA16" s="97"/>
      <c r="AB16" s="98">
        <f t="shared" si="8"/>
        <v>0</v>
      </c>
      <c r="AC16" s="98"/>
      <c r="AD16" s="98">
        <f t="shared" si="9"/>
        <v>0</v>
      </c>
      <c r="AE16" s="98"/>
      <c r="AF16" s="98">
        <f t="shared" si="10"/>
        <v>0</v>
      </c>
      <c r="AG16" s="98"/>
      <c r="AH16" s="98">
        <f t="shared" si="11"/>
        <v>0</v>
      </c>
      <c r="AI16" s="98"/>
      <c r="AJ16" s="98">
        <f t="shared" si="12"/>
        <v>0</v>
      </c>
      <c r="AK16" s="99">
        <f t="shared" si="13"/>
        <v>0</v>
      </c>
      <c r="AL16" s="100">
        <f t="shared" si="13"/>
        <v>0</v>
      </c>
      <c r="AM16" s="274"/>
      <c r="AN16" s="98">
        <f t="shared" si="14"/>
        <v>0</v>
      </c>
      <c r="AO16" s="99">
        <f t="shared" si="18"/>
        <v>0</v>
      </c>
      <c r="AP16" s="276">
        <f t="shared" si="15"/>
        <v>0</v>
      </c>
      <c r="AQ16" s="103">
        <f t="shared" si="0"/>
        <v>7.0000000000000007E-2</v>
      </c>
      <c r="AR16" s="104">
        <f t="shared" si="0"/>
        <v>2.1687434767636367</v>
      </c>
      <c r="AS16" s="56" t="s">
        <v>155</v>
      </c>
      <c r="AT16" s="56">
        <f t="shared" si="19"/>
        <v>0</v>
      </c>
    </row>
    <row r="17" spans="1:46" ht="15" customHeight="1" x14ac:dyDescent="0.45">
      <c r="A17" s="73"/>
      <c r="B17" s="90"/>
      <c r="C17" s="105">
        <v>4</v>
      </c>
      <c r="D17" s="74" t="s">
        <v>163</v>
      </c>
      <c r="E17" s="76" t="s">
        <v>164</v>
      </c>
      <c r="F17" s="77" t="s">
        <v>165</v>
      </c>
      <c r="G17" s="93">
        <v>0.4</v>
      </c>
      <c r="H17" s="94">
        <f t="shared" si="16"/>
        <v>23.772000000000002</v>
      </c>
      <c r="I17" s="94"/>
      <c r="J17" s="94">
        <f t="shared" si="16"/>
        <v>0</v>
      </c>
      <c r="K17" s="80">
        <f t="shared" si="17"/>
        <v>0.4</v>
      </c>
      <c r="L17" s="270">
        <f t="shared" si="17"/>
        <v>23.772000000000002</v>
      </c>
      <c r="M17" s="98"/>
      <c r="N17" s="98">
        <f t="shared" si="1"/>
        <v>0</v>
      </c>
      <c r="O17" s="98"/>
      <c r="P17" s="98">
        <f t="shared" si="2"/>
        <v>0</v>
      </c>
      <c r="Q17" s="98"/>
      <c r="R17" s="98">
        <f t="shared" si="3"/>
        <v>0</v>
      </c>
      <c r="S17" s="98"/>
      <c r="T17" s="98">
        <f t="shared" si="4"/>
        <v>0</v>
      </c>
      <c r="U17" s="98"/>
      <c r="V17" s="98">
        <f t="shared" si="5"/>
        <v>0</v>
      </c>
      <c r="W17" s="98"/>
      <c r="X17" s="98">
        <f t="shared" si="6"/>
        <v>0</v>
      </c>
      <c r="Y17" s="99">
        <f t="shared" si="7"/>
        <v>0</v>
      </c>
      <c r="Z17" s="275">
        <f t="shared" si="7"/>
        <v>0</v>
      </c>
      <c r="AA17" s="97"/>
      <c r="AB17" s="98">
        <f t="shared" si="8"/>
        <v>0</v>
      </c>
      <c r="AC17" s="98"/>
      <c r="AD17" s="98">
        <f t="shared" si="9"/>
        <v>0</v>
      </c>
      <c r="AE17" s="98"/>
      <c r="AF17" s="98">
        <f t="shared" si="10"/>
        <v>0</v>
      </c>
      <c r="AG17" s="98"/>
      <c r="AH17" s="98">
        <f t="shared" si="11"/>
        <v>0</v>
      </c>
      <c r="AI17" s="98"/>
      <c r="AJ17" s="98">
        <f t="shared" si="12"/>
        <v>0</v>
      </c>
      <c r="AK17" s="99">
        <f t="shared" si="13"/>
        <v>0</v>
      </c>
      <c r="AL17" s="100">
        <f t="shared" si="13"/>
        <v>0</v>
      </c>
      <c r="AM17" s="274"/>
      <c r="AN17" s="98">
        <f t="shared" si="14"/>
        <v>0</v>
      </c>
      <c r="AO17" s="99">
        <f t="shared" si="18"/>
        <v>0</v>
      </c>
      <c r="AP17" s="276">
        <f t="shared" si="15"/>
        <v>0</v>
      </c>
      <c r="AQ17" s="103">
        <f t="shared" si="0"/>
        <v>0.4</v>
      </c>
      <c r="AR17" s="104">
        <f t="shared" si="0"/>
        <v>23.772000000000002</v>
      </c>
      <c r="AS17" s="56" t="s">
        <v>155</v>
      </c>
      <c r="AT17" s="56">
        <f t="shared" si="19"/>
        <v>0</v>
      </c>
    </row>
    <row r="18" spans="1:46" ht="15" customHeight="1" x14ac:dyDescent="0.45">
      <c r="A18" s="73"/>
      <c r="B18" s="90"/>
      <c r="C18" s="105">
        <v>5</v>
      </c>
      <c r="D18" s="74" t="s">
        <v>166</v>
      </c>
      <c r="E18" s="76"/>
      <c r="F18" s="77" t="s">
        <v>162</v>
      </c>
      <c r="G18" s="210"/>
      <c r="H18" s="207">
        <f t="shared" si="16"/>
        <v>0</v>
      </c>
      <c r="I18" s="207"/>
      <c r="J18" s="207">
        <f t="shared" si="16"/>
        <v>0</v>
      </c>
      <c r="K18" s="80">
        <f t="shared" si="17"/>
        <v>0</v>
      </c>
      <c r="L18" s="270">
        <f t="shared" si="17"/>
        <v>0</v>
      </c>
      <c r="M18" s="98">
        <v>0.01</v>
      </c>
      <c r="N18" s="98">
        <f t="shared" si="1"/>
        <v>0.26240724612727279</v>
      </c>
      <c r="O18" s="98">
        <v>0.01</v>
      </c>
      <c r="P18" s="98">
        <f t="shared" si="2"/>
        <v>0.26240724612727279</v>
      </c>
      <c r="Q18" s="98">
        <v>0.01</v>
      </c>
      <c r="R18" s="98">
        <f t="shared" si="3"/>
        <v>0.26240724612727279</v>
      </c>
      <c r="S18" s="98">
        <v>0.01</v>
      </c>
      <c r="T18" s="98">
        <f t="shared" si="4"/>
        <v>0.26240724612727279</v>
      </c>
      <c r="U18" s="98"/>
      <c r="V18" s="98">
        <f t="shared" si="5"/>
        <v>0</v>
      </c>
      <c r="W18" s="98"/>
      <c r="X18" s="98">
        <f t="shared" si="6"/>
        <v>0</v>
      </c>
      <c r="Y18" s="99">
        <f t="shared" si="7"/>
        <v>0.04</v>
      </c>
      <c r="Z18" s="275">
        <f t="shared" si="7"/>
        <v>1.0496289845090911</v>
      </c>
      <c r="AA18" s="97"/>
      <c r="AB18" s="98">
        <f t="shared" si="8"/>
        <v>0</v>
      </c>
      <c r="AC18" s="98"/>
      <c r="AD18" s="98">
        <f t="shared" si="9"/>
        <v>0</v>
      </c>
      <c r="AE18" s="98"/>
      <c r="AF18" s="98">
        <f t="shared" si="10"/>
        <v>0</v>
      </c>
      <c r="AG18" s="98"/>
      <c r="AH18" s="98">
        <f t="shared" si="11"/>
        <v>0</v>
      </c>
      <c r="AI18" s="98"/>
      <c r="AJ18" s="98">
        <f t="shared" si="12"/>
        <v>0</v>
      </c>
      <c r="AK18" s="99">
        <f t="shared" si="13"/>
        <v>0</v>
      </c>
      <c r="AL18" s="100">
        <f t="shared" si="13"/>
        <v>0</v>
      </c>
      <c r="AM18" s="274"/>
      <c r="AN18" s="98">
        <f t="shared" si="14"/>
        <v>0</v>
      </c>
      <c r="AO18" s="99">
        <f t="shared" si="18"/>
        <v>0</v>
      </c>
      <c r="AP18" s="276">
        <f t="shared" si="15"/>
        <v>0</v>
      </c>
      <c r="AQ18" s="103">
        <f t="shared" si="0"/>
        <v>0.04</v>
      </c>
      <c r="AR18" s="104">
        <f t="shared" si="0"/>
        <v>1.0496289845090911</v>
      </c>
      <c r="AS18" s="56" t="s">
        <v>155</v>
      </c>
      <c r="AT18" s="56">
        <f t="shared" si="19"/>
        <v>0</v>
      </c>
    </row>
    <row r="19" spans="1:46" ht="15" customHeight="1" x14ac:dyDescent="0.45">
      <c r="A19" s="73"/>
      <c r="B19" s="90"/>
      <c r="C19" s="91">
        <v>6</v>
      </c>
      <c r="D19" s="74" t="s">
        <v>167</v>
      </c>
      <c r="E19" s="76"/>
      <c r="F19" s="77" t="s">
        <v>162</v>
      </c>
      <c r="G19" s="210"/>
      <c r="H19" s="207">
        <f t="shared" si="16"/>
        <v>0</v>
      </c>
      <c r="I19" s="207"/>
      <c r="J19" s="207">
        <f t="shared" si="16"/>
        <v>0</v>
      </c>
      <c r="K19" s="80">
        <f t="shared" si="17"/>
        <v>0</v>
      </c>
      <c r="L19" s="270">
        <f t="shared" si="17"/>
        <v>0</v>
      </c>
      <c r="M19" s="98">
        <v>0.01</v>
      </c>
      <c r="N19" s="98">
        <f t="shared" si="1"/>
        <v>0.26240724612727279</v>
      </c>
      <c r="O19" s="98">
        <v>0.01</v>
      </c>
      <c r="P19" s="98">
        <f t="shared" si="2"/>
        <v>0.26240724612727279</v>
      </c>
      <c r="Q19" s="98">
        <v>0.01</v>
      </c>
      <c r="R19" s="98">
        <f t="shared" si="3"/>
        <v>0.26240724612727279</v>
      </c>
      <c r="S19" s="98">
        <v>0.01</v>
      </c>
      <c r="T19" s="98">
        <f t="shared" si="4"/>
        <v>0.26240724612727279</v>
      </c>
      <c r="U19" s="98"/>
      <c r="V19" s="98">
        <f t="shared" si="5"/>
        <v>0</v>
      </c>
      <c r="W19" s="98"/>
      <c r="X19" s="98">
        <f t="shared" si="6"/>
        <v>0</v>
      </c>
      <c r="Y19" s="99">
        <f t="shared" si="7"/>
        <v>0.04</v>
      </c>
      <c r="Z19" s="275">
        <f t="shared" si="7"/>
        <v>1.0496289845090911</v>
      </c>
      <c r="AA19" s="97"/>
      <c r="AB19" s="98">
        <f t="shared" si="8"/>
        <v>0</v>
      </c>
      <c r="AC19" s="98"/>
      <c r="AD19" s="98">
        <f t="shared" si="9"/>
        <v>0</v>
      </c>
      <c r="AE19" s="98"/>
      <c r="AF19" s="98">
        <f t="shared" si="10"/>
        <v>0</v>
      </c>
      <c r="AG19" s="98"/>
      <c r="AH19" s="98">
        <f t="shared" si="11"/>
        <v>0</v>
      </c>
      <c r="AI19" s="98"/>
      <c r="AJ19" s="98">
        <f t="shared" si="12"/>
        <v>0</v>
      </c>
      <c r="AK19" s="99">
        <f t="shared" si="13"/>
        <v>0</v>
      </c>
      <c r="AL19" s="100">
        <f t="shared" si="13"/>
        <v>0</v>
      </c>
      <c r="AM19" s="274"/>
      <c r="AN19" s="98">
        <f t="shared" si="14"/>
        <v>0</v>
      </c>
      <c r="AO19" s="99">
        <f t="shared" si="18"/>
        <v>0</v>
      </c>
      <c r="AP19" s="276">
        <f t="shared" si="15"/>
        <v>0</v>
      </c>
      <c r="AQ19" s="103">
        <f t="shared" si="0"/>
        <v>0.04</v>
      </c>
      <c r="AR19" s="104">
        <f t="shared" si="0"/>
        <v>1.0496289845090911</v>
      </c>
      <c r="AS19" s="56" t="s">
        <v>155</v>
      </c>
      <c r="AT19" s="56">
        <f t="shared" si="19"/>
        <v>0</v>
      </c>
    </row>
    <row r="20" spans="1:46" ht="15" customHeight="1" x14ac:dyDescent="0.45">
      <c r="A20" s="73"/>
      <c r="B20" s="90"/>
      <c r="C20" s="75">
        <v>7</v>
      </c>
      <c r="D20" s="74" t="s">
        <v>168</v>
      </c>
      <c r="E20" s="76"/>
      <c r="F20" s="77" t="s">
        <v>162</v>
      </c>
      <c r="G20" s="210"/>
      <c r="H20" s="207">
        <f t="shared" si="16"/>
        <v>0</v>
      </c>
      <c r="I20" s="207"/>
      <c r="J20" s="207">
        <f t="shared" si="16"/>
        <v>0</v>
      </c>
      <c r="K20" s="80">
        <f t="shared" si="17"/>
        <v>0</v>
      </c>
      <c r="L20" s="270">
        <f t="shared" si="17"/>
        <v>0</v>
      </c>
      <c r="M20" s="98">
        <v>0.01</v>
      </c>
      <c r="N20" s="98">
        <f t="shared" si="1"/>
        <v>0.26240724612727279</v>
      </c>
      <c r="O20" s="98">
        <v>0.01</v>
      </c>
      <c r="P20" s="98">
        <f t="shared" si="2"/>
        <v>0.26240724612727279</v>
      </c>
      <c r="Q20" s="98">
        <v>0.01</v>
      </c>
      <c r="R20" s="98">
        <f t="shared" si="3"/>
        <v>0.26240724612727279</v>
      </c>
      <c r="S20" s="98">
        <v>0.01</v>
      </c>
      <c r="T20" s="98">
        <f t="shared" si="4"/>
        <v>0.26240724612727279</v>
      </c>
      <c r="U20" s="98"/>
      <c r="V20" s="98">
        <f t="shared" si="5"/>
        <v>0</v>
      </c>
      <c r="W20" s="98"/>
      <c r="X20" s="98">
        <f t="shared" si="6"/>
        <v>0</v>
      </c>
      <c r="Y20" s="99">
        <f t="shared" si="7"/>
        <v>0.04</v>
      </c>
      <c r="Z20" s="275">
        <f t="shared" si="7"/>
        <v>1.0496289845090911</v>
      </c>
      <c r="AA20" s="97"/>
      <c r="AB20" s="98">
        <f t="shared" si="8"/>
        <v>0</v>
      </c>
      <c r="AC20" s="98"/>
      <c r="AD20" s="98">
        <f t="shared" si="9"/>
        <v>0</v>
      </c>
      <c r="AE20" s="98"/>
      <c r="AF20" s="98">
        <f t="shared" si="10"/>
        <v>0</v>
      </c>
      <c r="AG20" s="98"/>
      <c r="AH20" s="98">
        <f t="shared" si="11"/>
        <v>0</v>
      </c>
      <c r="AI20" s="98"/>
      <c r="AJ20" s="98">
        <f t="shared" si="12"/>
        <v>0</v>
      </c>
      <c r="AK20" s="99">
        <f t="shared" si="13"/>
        <v>0</v>
      </c>
      <c r="AL20" s="100">
        <f t="shared" si="13"/>
        <v>0</v>
      </c>
      <c r="AM20" s="274"/>
      <c r="AN20" s="98">
        <f t="shared" si="14"/>
        <v>0</v>
      </c>
      <c r="AO20" s="99">
        <f t="shared" si="18"/>
        <v>0</v>
      </c>
      <c r="AP20" s="276">
        <f t="shared" si="15"/>
        <v>0</v>
      </c>
      <c r="AQ20" s="103">
        <f t="shared" si="0"/>
        <v>0.04</v>
      </c>
      <c r="AR20" s="104">
        <f t="shared" si="0"/>
        <v>1.0496289845090911</v>
      </c>
      <c r="AS20" s="56" t="s">
        <v>155</v>
      </c>
      <c r="AT20" s="56">
        <f t="shared" si="19"/>
        <v>0</v>
      </c>
    </row>
    <row r="21" spans="1:46" ht="15" customHeight="1" x14ac:dyDescent="0.45">
      <c r="A21" s="73"/>
      <c r="B21" s="106" t="s">
        <v>169</v>
      </c>
      <c r="C21" s="107">
        <v>8</v>
      </c>
      <c r="D21" s="108" t="s">
        <v>170</v>
      </c>
      <c r="E21" s="109" t="s">
        <v>171</v>
      </c>
      <c r="F21" s="110" t="s">
        <v>162</v>
      </c>
      <c r="G21" s="210"/>
      <c r="H21" s="207">
        <f t="shared" si="16"/>
        <v>0</v>
      </c>
      <c r="I21" s="207"/>
      <c r="J21" s="207">
        <f t="shared" si="16"/>
        <v>0</v>
      </c>
      <c r="K21" s="80">
        <f t="shared" si="17"/>
        <v>0</v>
      </c>
      <c r="L21" s="270">
        <f t="shared" si="17"/>
        <v>0</v>
      </c>
      <c r="M21" s="98">
        <v>0.01</v>
      </c>
      <c r="N21" s="98">
        <f t="shared" si="1"/>
        <v>0.26240724612727279</v>
      </c>
      <c r="O21" s="98">
        <v>0.01</v>
      </c>
      <c r="P21" s="98">
        <f t="shared" si="2"/>
        <v>0.26240724612727279</v>
      </c>
      <c r="Q21" s="98">
        <v>0.01</v>
      </c>
      <c r="R21" s="98">
        <f t="shared" si="3"/>
        <v>0.26240724612727279</v>
      </c>
      <c r="S21" s="98">
        <v>0.01</v>
      </c>
      <c r="T21" s="98">
        <f t="shared" si="4"/>
        <v>0.26240724612727279</v>
      </c>
      <c r="U21" s="98"/>
      <c r="V21" s="98">
        <f t="shared" si="5"/>
        <v>0</v>
      </c>
      <c r="W21" s="98"/>
      <c r="X21" s="98">
        <f t="shared" si="6"/>
        <v>0</v>
      </c>
      <c r="Y21" s="99">
        <f t="shared" si="7"/>
        <v>0.04</v>
      </c>
      <c r="Z21" s="275">
        <f t="shared" si="7"/>
        <v>1.0496289845090911</v>
      </c>
      <c r="AA21" s="97"/>
      <c r="AB21" s="98">
        <f t="shared" si="8"/>
        <v>0</v>
      </c>
      <c r="AC21" s="98"/>
      <c r="AD21" s="98">
        <f t="shared" si="9"/>
        <v>0</v>
      </c>
      <c r="AE21" s="98"/>
      <c r="AF21" s="98">
        <f t="shared" si="10"/>
        <v>0</v>
      </c>
      <c r="AG21" s="98"/>
      <c r="AH21" s="98">
        <f t="shared" si="11"/>
        <v>0</v>
      </c>
      <c r="AI21" s="98"/>
      <c r="AJ21" s="98">
        <f t="shared" si="12"/>
        <v>0</v>
      </c>
      <c r="AK21" s="99">
        <f t="shared" si="13"/>
        <v>0</v>
      </c>
      <c r="AL21" s="100">
        <f t="shared" si="13"/>
        <v>0</v>
      </c>
      <c r="AM21" s="277"/>
      <c r="AN21" s="112">
        <f t="shared" si="14"/>
        <v>0</v>
      </c>
      <c r="AO21" s="99">
        <f t="shared" si="18"/>
        <v>0</v>
      </c>
      <c r="AP21" s="276">
        <f t="shared" si="15"/>
        <v>0</v>
      </c>
      <c r="AQ21" s="103">
        <f t="shared" si="0"/>
        <v>0.04</v>
      </c>
      <c r="AR21" s="104">
        <f t="shared" si="0"/>
        <v>1.0496289845090911</v>
      </c>
      <c r="AS21" s="56" t="s">
        <v>155</v>
      </c>
      <c r="AT21" s="56">
        <f t="shared" si="19"/>
        <v>0</v>
      </c>
    </row>
    <row r="22" spans="1:46" ht="15" customHeight="1" x14ac:dyDescent="0.45">
      <c r="A22" s="73"/>
      <c r="B22" s="90" t="s">
        <v>172</v>
      </c>
      <c r="C22" s="107">
        <v>9</v>
      </c>
      <c r="D22" s="108" t="s">
        <v>173</v>
      </c>
      <c r="E22" s="109"/>
      <c r="F22" s="110" t="s">
        <v>162</v>
      </c>
      <c r="G22" s="210"/>
      <c r="H22" s="207">
        <f t="shared" si="16"/>
        <v>0</v>
      </c>
      <c r="I22" s="207"/>
      <c r="J22" s="207">
        <f t="shared" si="16"/>
        <v>0</v>
      </c>
      <c r="K22" s="80">
        <f t="shared" si="17"/>
        <v>0</v>
      </c>
      <c r="L22" s="270">
        <f t="shared" si="17"/>
        <v>0</v>
      </c>
      <c r="M22" s="98">
        <v>0.01</v>
      </c>
      <c r="N22" s="98">
        <f t="shared" si="1"/>
        <v>0.26240724612727279</v>
      </c>
      <c r="O22" s="98">
        <v>0.01</v>
      </c>
      <c r="P22" s="98">
        <f t="shared" si="2"/>
        <v>0.26240724612727279</v>
      </c>
      <c r="Q22" s="98">
        <v>0.01</v>
      </c>
      <c r="R22" s="98">
        <f t="shared" si="3"/>
        <v>0.26240724612727279</v>
      </c>
      <c r="S22" s="98">
        <v>0.01</v>
      </c>
      <c r="T22" s="98">
        <f t="shared" si="4"/>
        <v>0.26240724612727279</v>
      </c>
      <c r="U22" s="98"/>
      <c r="V22" s="98">
        <f t="shared" si="5"/>
        <v>0</v>
      </c>
      <c r="W22" s="98"/>
      <c r="X22" s="98">
        <f t="shared" si="6"/>
        <v>0</v>
      </c>
      <c r="Y22" s="99">
        <f t="shared" si="7"/>
        <v>0.04</v>
      </c>
      <c r="Z22" s="275">
        <f t="shared" si="7"/>
        <v>1.0496289845090911</v>
      </c>
      <c r="AA22" s="97"/>
      <c r="AB22" s="98">
        <f t="shared" si="8"/>
        <v>0</v>
      </c>
      <c r="AC22" s="98"/>
      <c r="AD22" s="98">
        <f t="shared" si="9"/>
        <v>0</v>
      </c>
      <c r="AE22" s="98"/>
      <c r="AF22" s="98">
        <f t="shared" si="10"/>
        <v>0</v>
      </c>
      <c r="AG22" s="98"/>
      <c r="AH22" s="98">
        <f t="shared" si="11"/>
        <v>0</v>
      </c>
      <c r="AI22" s="98"/>
      <c r="AJ22" s="98">
        <f t="shared" si="12"/>
        <v>0</v>
      </c>
      <c r="AK22" s="99">
        <f t="shared" si="13"/>
        <v>0</v>
      </c>
      <c r="AL22" s="100">
        <f t="shared" si="13"/>
        <v>0</v>
      </c>
      <c r="AM22" s="277"/>
      <c r="AN22" s="112">
        <f t="shared" si="14"/>
        <v>0</v>
      </c>
      <c r="AO22" s="99">
        <f t="shared" si="18"/>
        <v>0</v>
      </c>
      <c r="AP22" s="276">
        <f t="shared" si="15"/>
        <v>0</v>
      </c>
      <c r="AQ22" s="103">
        <f t="shared" si="0"/>
        <v>0.04</v>
      </c>
      <c r="AR22" s="104">
        <f t="shared" si="0"/>
        <v>1.0496289845090911</v>
      </c>
      <c r="AS22" s="56" t="s">
        <v>155</v>
      </c>
      <c r="AT22" s="56">
        <f t="shared" si="19"/>
        <v>0</v>
      </c>
    </row>
    <row r="23" spans="1:46" ht="15" customHeight="1" x14ac:dyDescent="0.45">
      <c r="A23" s="73"/>
      <c r="B23" s="113" t="s">
        <v>174</v>
      </c>
      <c r="C23" s="114">
        <v>10</v>
      </c>
      <c r="D23" s="108" t="s">
        <v>175</v>
      </c>
      <c r="E23" s="109" t="s">
        <v>176</v>
      </c>
      <c r="F23" s="110" t="s">
        <v>177</v>
      </c>
      <c r="G23" s="210"/>
      <c r="H23" s="207">
        <f t="shared" si="16"/>
        <v>0</v>
      </c>
      <c r="I23" s="207"/>
      <c r="J23" s="207">
        <f t="shared" si="16"/>
        <v>0</v>
      </c>
      <c r="K23" s="80">
        <f t="shared" si="17"/>
        <v>0</v>
      </c>
      <c r="L23" s="270">
        <f t="shared" si="17"/>
        <v>0</v>
      </c>
      <c r="M23" s="98">
        <v>0.01</v>
      </c>
      <c r="N23" s="98">
        <f t="shared" si="1"/>
        <v>0.26240724612727279</v>
      </c>
      <c r="O23" s="98">
        <v>0.01</v>
      </c>
      <c r="P23" s="98">
        <f t="shared" si="2"/>
        <v>0.26240724612727279</v>
      </c>
      <c r="Q23" s="98">
        <v>0.01</v>
      </c>
      <c r="R23" s="98">
        <f t="shared" si="3"/>
        <v>0.26240724612727279</v>
      </c>
      <c r="S23" s="98">
        <v>0.01</v>
      </c>
      <c r="T23" s="98">
        <f t="shared" si="4"/>
        <v>0.26240724612727279</v>
      </c>
      <c r="U23" s="98"/>
      <c r="V23" s="98">
        <f t="shared" si="5"/>
        <v>0</v>
      </c>
      <c r="W23" s="98"/>
      <c r="X23" s="98">
        <f t="shared" si="6"/>
        <v>0</v>
      </c>
      <c r="Y23" s="99">
        <f t="shared" si="7"/>
        <v>0.04</v>
      </c>
      <c r="Z23" s="275">
        <f t="shared" si="7"/>
        <v>1.0496289845090911</v>
      </c>
      <c r="AA23" s="97"/>
      <c r="AB23" s="98">
        <f t="shared" si="8"/>
        <v>0</v>
      </c>
      <c r="AC23" s="98"/>
      <c r="AD23" s="98">
        <f t="shared" si="9"/>
        <v>0</v>
      </c>
      <c r="AE23" s="98"/>
      <c r="AF23" s="98">
        <f t="shared" si="10"/>
        <v>0</v>
      </c>
      <c r="AG23" s="98"/>
      <c r="AH23" s="98">
        <f t="shared" si="11"/>
        <v>0</v>
      </c>
      <c r="AI23" s="98"/>
      <c r="AJ23" s="98">
        <f t="shared" si="12"/>
        <v>0</v>
      </c>
      <c r="AK23" s="99">
        <f t="shared" si="13"/>
        <v>0</v>
      </c>
      <c r="AL23" s="100">
        <f t="shared" si="13"/>
        <v>0</v>
      </c>
      <c r="AM23" s="277">
        <v>0.5</v>
      </c>
      <c r="AN23" s="112">
        <f t="shared" si="14"/>
        <v>13.98</v>
      </c>
      <c r="AO23" s="99">
        <f t="shared" si="18"/>
        <v>0.5</v>
      </c>
      <c r="AP23" s="276">
        <f t="shared" si="15"/>
        <v>13.98</v>
      </c>
      <c r="AQ23" s="103">
        <f t="shared" si="0"/>
        <v>0.54</v>
      </c>
      <c r="AR23" s="104">
        <f t="shared" si="0"/>
        <v>15.029628984509092</v>
      </c>
      <c r="AS23" s="56" t="s">
        <v>155</v>
      </c>
      <c r="AT23" s="56">
        <f t="shared" si="19"/>
        <v>0</v>
      </c>
    </row>
    <row r="24" spans="1:46" ht="15" customHeight="1" x14ac:dyDescent="0.45">
      <c r="A24" s="73"/>
      <c r="B24" s="90" t="s">
        <v>178</v>
      </c>
      <c r="C24" s="107">
        <v>11</v>
      </c>
      <c r="D24" s="108" t="s">
        <v>179</v>
      </c>
      <c r="E24" s="109" t="s">
        <v>180</v>
      </c>
      <c r="F24" s="110" t="s">
        <v>162</v>
      </c>
      <c r="G24" s="210"/>
      <c r="H24" s="207">
        <f t="shared" si="16"/>
        <v>0</v>
      </c>
      <c r="I24" s="207"/>
      <c r="J24" s="207">
        <f t="shared" si="16"/>
        <v>0</v>
      </c>
      <c r="K24" s="80">
        <f t="shared" si="17"/>
        <v>0</v>
      </c>
      <c r="L24" s="270">
        <f t="shared" si="17"/>
        <v>0</v>
      </c>
      <c r="M24" s="98">
        <v>0.01</v>
      </c>
      <c r="N24" s="98">
        <f t="shared" si="1"/>
        <v>0.26240724612727279</v>
      </c>
      <c r="O24" s="98">
        <v>0.01</v>
      </c>
      <c r="P24" s="98">
        <f t="shared" si="2"/>
        <v>0.26240724612727279</v>
      </c>
      <c r="Q24" s="98">
        <v>0.01</v>
      </c>
      <c r="R24" s="98">
        <f t="shared" si="3"/>
        <v>0.26240724612727279</v>
      </c>
      <c r="S24" s="98">
        <v>0.01</v>
      </c>
      <c r="T24" s="98">
        <f t="shared" si="4"/>
        <v>0.26240724612727279</v>
      </c>
      <c r="U24" s="98"/>
      <c r="V24" s="98">
        <f t="shared" si="5"/>
        <v>0</v>
      </c>
      <c r="W24" s="98"/>
      <c r="X24" s="98">
        <f t="shared" si="6"/>
        <v>0</v>
      </c>
      <c r="Y24" s="99">
        <f t="shared" si="7"/>
        <v>0.04</v>
      </c>
      <c r="Z24" s="275">
        <f t="shared" si="7"/>
        <v>1.0496289845090911</v>
      </c>
      <c r="AA24" s="97"/>
      <c r="AB24" s="98">
        <f t="shared" si="8"/>
        <v>0</v>
      </c>
      <c r="AC24" s="98"/>
      <c r="AD24" s="98">
        <f t="shared" si="9"/>
        <v>0</v>
      </c>
      <c r="AE24" s="98"/>
      <c r="AF24" s="98">
        <f t="shared" si="10"/>
        <v>0</v>
      </c>
      <c r="AG24" s="98"/>
      <c r="AH24" s="98">
        <f t="shared" si="11"/>
        <v>0</v>
      </c>
      <c r="AI24" s="98"/>
      <c r="AJ24" s="98">
        <f t="shared" si="12"/>
        <v>0</v>
      </c>
      <c r="AK24" s="99">
        <f t="shared" si="13"/>
        <v>0</v>
      </c>
      <c r="AL24" s="100">
        <f>AB24+AD24+AF24+AH24+AJ24</f>
        <v>0</v>
      </c>
      <c r="AM24" s="277">
        <v>0.5</v>
      </c>
      <c r="AN24" s="112">
        <f t="shared" si="14"/>
        <v>13.98</v>
      </c>
      <c r="AO24" s="99">
        <f t="shared" si="18"/>
        <v>0.5</v>
      </c>
      <c r="AP24" s="276">
        <f t="shared" si="15"/>
        <v>13.98</v>
      </c>
      <c r="AQ24" s="103">
        <f t="shared" si="0"/>
        <v>0.54</v>
      </c>
      <c r="AR24" s="104">
        <f t="shared" si="0"/>
        <v>15.029628984509092</v>
      </c>
      <c r="AS24" s="56" t="s">
        <v>155</v>
      </c>
      <c r="AT24" s="56">
        <f t="shared" si="19"/>
        <v>0</v>
      </c>
    </row>
    <row r="25" spans="1:46" ht="15" customHeight="1" thickBot="1" x14ac:dyDescent="0.5">
      <c r="A25" s="73"/>
      <c r="B25" s="90"/>
      <c r="C25" s="107">
        <v>12</v>
      </c>
      <c r="D25" s="115" t="s">
        <v>181</v>
      </c>
      <c r="E25" s="116" t="s">
        <v>182</v>
      </c>
      <c r="F25" s="117" t="s">
        <v>177</v>
      </c>
      <c r="G25" s="210"/>
      <c r="H25" s="207">
        <f t="shared" si="16"/>
        <v>0</v>
      </c>
      <c r="I25" s="207"/>
      <c r="J25" s="207">
        <f t="shared" si="16"/>
        <v>0</v>
      </c>
      <c r="K25" s="80">
        <f t="shared" si="17"/>
        <v>0</v>
      </c>
      <c r="L25" s="270">
        <f t="shared" si="17"/>
        <v>0</v>
      </c>
      <c r="M25" s="98">
        <v>0.01</v>
      </c>
      <c r="N25" s="98">
        <f t="shared" si="1"/>
        <v>0.26240724612727279</v>
      </c>
      <c r="O25" s="98">
        <v>0.01</v>
      </c>
      <c r="P25" s="98">
        <f t="shared" si="2"/>
        <v>0.26240724612727279</v>
      </c>
      <c r="Q25" s="98">
        <v>0.01</v>
      </c>
      <c r="R25" s="98">
        <f t="shared" si="3"/>
        <v>0.26240724612727279</v>
      </c>
      <c r="S25" s="98">
        <v>0.01</v>
      </c>
      <c r="T25" s="98">
        <f t="shared" si="4"/>
        <v>0.26240724612727279</v>
      </c>
      <c r="U25" s="98"/>
      <c r="V25" s="98">
        <f t="shared" si="5"/>
        <v>0</v>
      </c>
      <c r="W25" s="98"/>
      <c r="X25" s="98">
        <f t="shared" si="6"/>
        <v>0</v>
      </c>
      <c r="Y25" s="99">
        <f t="shared" si="7"/>
        <v>0.04</v>
      </c>
      <c r="Z25" s="275">
        <f t="shared" si="7"/>
        <v>1.0496289845090911</v>
      </c>
      <c r="AA25" s="97"/>
      <c r="AB25" s="98">
        <f t="shared" si="8"/>
        <v>0</v>
      </c>
      <c r="AC25" s="98"/>
      <c r="AD25" s="98">
        <f t="shared" si="9"/>
        <v>0</v>
      </c>
      <c r="AE25" s="98"/>
      <c r="AF25" s="98">
        <f t="shared" si="10"/>
        <v>0</v>
      </c>
      <c r="AG25" s="98"/>
      <c r="AH25" s="98">
        <f t="shared" si="11"/>
        <v>0</v>
      </c>
      <c r="AI25" s="98"/>
      <c r="AJ25" s="98">
        <f t="shared" si="12"/>
        <v>0</v>
      </c>
      <c r="AK25" s="99">
        <f t="shared" si="13"/>
        <v>0</v>
      </c>
      <c r="AL25" s="100">
        <f t="shared" si="13"/>
        <v>0</v>
      </c>
      <c r="AM25" s="277"/>
      <c r="AN25" s="112">
        <f t="shared" si="14"/>
        <v>0</v>
      </c>
      <c r="AO25" s="99">
        <f t="shared" si="18"/>
        <v>0</v>
      </c>
      <c r="AP25" s="276">
        <f t="shared" si="15"/>
        <v>0</v>
      </c>
      <c r="AQ25" s="103">
        <f t="shared" si="0"/>
        <v>0.04</v>
      </c>
      <c r="AR25" s="104">
        <f t="shared" si="0"/>
        <v>1.0496289845090911</v>
      </c>
      <c r="AS25" s="130" t="s">
        <v>155</v>
      </c>
      <c r="AT25" s="56">
        <f t="shared" si="19"/>
        <v>0</v>
      </c>
    </row>
    <row r="26" spans="1:46" ht="15" customHeight="1" thickTop="1" x14ac:dyDescent="0.45">
      <c r="A26" s="131" t="s">
        <v>183</v>
      </c>
      <c r="B26" s="132" t="s">
        <v>184</v>
      </c>
      <c r="C26" s="133">
        <v>13</v>
      </c>
      <c r="D26" s="134" t="s">
        <v>185</v>
      </c>
      <c r="E26" s="135" t="s">
        <v>186</v>
      </c>
      <c r="F26" s="136" t="s">
        <v>187</v>
      </c>
      <c r="G26" s="210"/>
      <c r="H26" s="207">
        <f t="shared" si="16"/>
        <v>0</v>
      </c>
      <c r="I26" s="207">
        <v>0.01</v>
      </c>
      <c r="J26" s="207">
        <f t="shared" si="16"/>
        <v>0.59430000000000005</v>
      </c>
      <c r="K26" s="80">
        <f t="shared" si="17"/>
        <v>0.01</v>
      </c>
      <c r="L26" s="270">
        <f t="shared" si="17"/>
        <v>0.59430000000000005</v>
      </c>
      <c r="M26" s="98">
        <v>0.01</v>
      </c>
      <c r="N26" s="98">
        <f t="shared" si="1"/>
        <v>0.26240724612727279</v>
      </c>
      <c r="O26" s="98"/>
      <c r="P26" s="98">
        <f t="shared" si="2"/>
        <v>0</v>
      </c>
      <c r="Q26" s="98"/>
      <c r="R26" s="98">
        <f t="shared" si="3"/>
        <v>0</v>
      </c>
      <c r="S26" s="98"/>
      <c r="T26" s="98">
        <f t="shared" si="4"/>
        <v>0</v>
      </c>
      <c r="U26" s="98"/>
      <c r="V26" s="98">
        <f t="shared" si="5"/>
        <v>0</v>
      </c>
      <c r="W26" s="98"/>
      <c r="X26" s="98">
        <f t="shared" si="6"/>
        <v>0</v>
      </c>
      <c r="Y26" s="99">
        <f t="shared" si="7"/>
        <v>0.01</v>
      </c>
      <c r="Z26" s="275">
        <f t="shared" si="7"/>
        <v>0.26240724612727279</v>
      </c>
      <c r="AA26" s="97"/>
      <c r="AB26" s="98">
        <f t="shared" si="8"/>
        <v>0</v>
      </c>
      <c r="AC26" s="98"/>
      <c r="AD26" s="98">
        <f t="shared" si="9"/>
        <v>0</v>
      </c>
      <c r="AE26" s="98"/>
      <c r="AF26" s="98">
        <f t="shared" si="10"/>
        <v>0</v>
      </c>
      <c r="AG26" s="98"/>
      <c r="AH26" s="98">
        <f t="shared" si="11"/>
        <v>0</v>
      </c>
      <c r="AI26" s="98"/>
      <c r="AJ26" s="98">
        <f t="shared" si="12"/>
        <v>0</v>
      </c>
      <c r="AK26" s="99">
        <f t="shared" si="13"/>
        <v>0</v>
      </c>
      <c r="AL26" s="100">
        <f t="shared" si="13"/>
        <v>0</v>
      </c>
      <c r="AM26" s="277"/>
      <c r="AN26" s="112">
        <f t="shared" si="14"/>
        <v>0</v>
      </c>
      <c r="AO26" s="99">
        <f t="shared" si="18"/>
        <v>0</v>
      </c>
      <c r="AP26" s="276">
        <f t="shared" si="15"/>
        <v>0</v>
      </c>
      <c r="AQ26" s="103">
        <f t="shared" si="0"/>
        <v>0.02</v>
      </c>
      <c r="AR26" s="104">
        <f t="shared" si="0"/>
        <v>0.85670724612727289</v>
      </c>
      <c r="AS26" s="149" t="s">
        <v>156</v>
      </c>
      <c r="AT26" s="56">
        <f t="shared" si="19"/>
        <v>0.85670724612727289</v>
      </c>
    </row>
    <row r="27" spans="1:46" ht="15" customHeight="1" x14ac:dyDescent="0.45">
      <c r="A27" s="73"/>
      <c r="B27" s="90"/>
      <c r="C27" s="114">
        <v>14</v>
      </c>
      <c r="D27" s="108" t="s">
        <v>188</v>
      </c>
      <c r="E27" s="109" t="s">
        <v>189</v>
      </c>
      <c r="F27" s="110" t="s">
        <v>187</v>
      </c>
      <c r="G27" s="210"/>
      <c r="H27" s="207">
        <f t="shared" si="16"/>
        <v>0</v>
      </c>
      <c r="I27" s="207">
        <v>0.01</v>
      </c>
      <c r="J27" s="207">
        <f t="shared" si="16"/>
        <v>0.59430000000000005</v>
      </c>
      <c r="K27" s="80">
        <f t="shared" si="17"/>
        <v>0.01</v>
      </c>
      <c r="L27" s="270">
        <f t="shared" si="17"/>
        <v>0.59430000000000005</v>
      </c>
      <c r="M27" s="98">
        <v>0.01</v>
      </c>
      <c r="N27" s="98">
        <f t="shared" si="1"/>
        <v>0.26240724612727279</v>
      </c>
      <c r="O27" s="98"/>
      <c r="P27" s="98">
        <f t="shared" si="2"/>
        <v>0</v>
      </c>
      <c r="Q27" s="98"/>
      <c r="R27" s="98">
        <f t="shared" si="3"/>
        <v>0</v>
      </c>
      <c r="S27" s="98"/>
      <c r="T27" s="98">
        <f t="shared" si="4"/>
        <v>0</v>
      </c>
      <c r="U27" s="98"/>
      <c r="V27" s="98">
        <f t="shared" si="5"/>
        <v>0</v>
      </c>
      <c r="W27" s="98"/>
      <c r="X27" s="98">
        <f t="shared" si="6"/>
        <v>0</v>
      </c>
      <c r="Y27" s="99">
        <f t="shared" si="7"/>
        <v>0.01</v>
      </c>
      <c r="Z27" s="275">
        <f t="shared" si="7"/>
        <v>0.26240724612727279</v>
      </c>
      <c r="AA27" s="97"/>
      <c r="AB27" s="98">
        <f t="shared" si="8"/>
        <v>0</v>
      </c>
      <c r="AC27" s="98"/>
      <c r="AD27" s="98">
        <f t="shared" si="9"/>
        <v>0</v>
      </c>
      <c r="AE27" s="98"/>
      <c r="AF27" s="98">
        <f t="shared" si="10"/>
        <v>0</v>
      </c>
      <c r="AG27" s="98"/>
      <c r="AH27" s="98">
        <f t="shared" si="11"/>
        <v>0</v>
      </c>
      <c r="AI27" s="98"/>
      <c r="AJ27" s="98">
        <f t="shared" si="12"/>
        <v>0</v>
      </c>
      <c r="AK27" s="99">
        <f t="shared" si="13"/>
        <v>0</v>
      </c>
      <c r="AL27" s="100">
        <f t="shared" si="13"/>
        <v>0</v>
      </c>
      <c r="AM27" s="277"/>
      <c r="AN27" s="112">
        <f t="shared" si="14"/>
        <v>0</v>
      </c>
      <c r="AO27" s="99">
        <f t="shared" si="18"/>
        <v>0</v>
      </c>
      <c r="AP27" s="276">
        <f t="shared" si="15"/>
        <v>0</v>
      </c>
      <c r="AQ27" s="103">
        <f t="shared" si="0"/>
        <v>0.02</v>
      </c>
      <c r="AR27" s="104">
        <f t="shared" si="0"/>
        <v>0.85670724612727289</v>
      </c>
      <c r="AS27" s="56" t="s">
        <v>190</v>
      </c>
      <c r="AT27" s="56">
        <f t="shared" si="19"/>
        <v>0.85670724612727289</v>
      </c>
    </row>
    <row r="28" spans="1:46" ht="15" customHeight="1" x14ac:dyDescent="0.45">
      <c r="A28" s="73"/>
      <c r="B28" s="90"/>
      <c r="C28" s="107">
        <v>15</v>
      </c>
      <c r="D28" s="108" t="s">
        <v>191</v>
      </c>
      <c r="E28" s="109" t="s">
        <v>192</v>
      </c>
      <c r="F28" s="110" t="s">
        <v>162</v>
      </c>
      <c r="G28" s="210"/>
      <c r="H28" s="207">
        <f t="shared" si="16"/>
        <v>0</v>
      </c>
      <c r="I28" s="207"/>
      <c r="J28" s="207">
        <f t="shared" si="16"/>
        <v>0</v>
      </c>
      <c r="K28" s="80">
        <f t="shared" si="17"/>
        <v>0</v>
      </c>
      <c r="L28" s="270">
        <f t="shared" si="17"/>
        <v>0</v>
      </c>
      <c r="M28" s="98">
        <v>0.01</v>
      </c>
      <c r="N28" s="98">
        <f t="shared" si="1"/>
        <v>0.26240724612727279</v>
      </c>
      <c r="O28" s="98"/>
      <c r="P28" s="98">
        <f t="shared" si="2"/>
        <v>0</v>
      </c>
      <c r="Q28" s="98"/>
      <c r="R28" s="98">
        <f t="shared" si="3"/>
        <v>0</v>
      </c>
      <c r="S28" s="98"/>
      <c r="T28" s="98">
        <f t="shared" si="4"/>
        <v>0</v>
      </c>
      <c r="U28" s="98"/>
      <c r="V28" s="98">
        <f t="shared" si="5"/>
        <v>0</v>
      </c>
      <c r="W28" s="98"/>
      <c r="X28" s="98">
        <f t="shared" si="6"/>
        <v>0</v>
      </c>
      <c r="Y28" s="99">
        <f t="shared" si="7"/>
        <v>0.01</v>
      </c>
      <c r="Z28" s="275">
        <f t="shared" si="7"/>
        <v>0.26240724612727279</v>
      </c>
      <c r="AA28" s="97"/>
      <c r="AB28" s="98">
        <f t="shared" si="8"/>
        <v>0</v>
      </c>
      <c r="AC28" s="98"/>
      <c r="AD28" s="98">
        <f t="shared" si="9"/>
        <v>0</v>
      </c>
      <c r="AE28" s="98"/>
      <c r="AF28" s="98">
        <f t="shared" si="10"/>
        <v>0</v>
      </c>
      <c r="AG28" s="98"/>
      <c r="AH28" s="98">
        <f t="shared" si="11"/>
        <v>0</v>
      </c>
      <c r="AI28" s="98"/>
      <c r="AJ28" s="98">
        <f t="shared" si="12"/>
        <v>0</v>
      </c>
      <c r="AK28" s="99">
        <f t="shared" si="13"/>
        <v>0</v>
      </c>
      <c r="AL28" s="100">
        <f t="shared" si="13"/>
        <v>0</v>
      </c>
      <c r="AM28" s="277"/>
      <c r="AN28" s="112">
        <f t="shared" si="14"/>
        <v>0</v>
      </c>
      <c r="AO28" s="99">
        <f t="shared" si="18"/>
        <v>0</v>
      </c>
      <c r="AP28" s="276">
        <f t="shared" si="15"/>
        <v>0</v>
      </c>
      <c r="AQ28" s="103">
        <f t="shared" si="0"/>
        <v>0.01</v>
      </c>
      <c r="AR28" s="104">
        <f t="shared" si="0"/>
        <v>0.26240724612727279</v>
      </c>
      <c r="AS28" s="56" t="s">
        <v>190</v>
      </c>
      <c r="AT28" s="56">
        <f t="shared" si="19"/>
        <v>0.26240724612727279</v>
      </c>
    </row>
    <row r="29" spans="1:46" ht="15" customHeight="1" x14ac:dyDescent="0.45">
      <c r="A29" s="73"/>
      <c r="B29" s="90"/>
      <c r="C29" s="114">
        <v>16</v>
      </c>
      <c r="D29" s="108" t="s">
        <v>193</v>
      </c>
      <c r="E29" s="109" t="s">
        <v>194</v>
      </c>
      <c r="F29" s="110" t="s">
        <v>187</v>
      </c>
      <c r="G29" s="93"/>
      <c r="H29" s="94">
        <f t="shared" si="16"/>
        <v>0</v>
      </c>
      <c r="I29" s="94">
        <v>0.09</v>
      </c>
      <c r="J29" s="94">
        <f t="shared" si="16"/>
        <v>5.3487</v>
      </c>
      <c r="K29" s="80">
        <f t="shared" si="17"/>
        <v>0.09</v>
      </c>
      <c r="L29" s="270">
        <f t="shared" si="17"/>
        <v>5.3487</v>
      </c>
      <c r="M29" s="112">
        <v>0.01</v>
      </c>
      <c r="N29" s="112">
        <f t="shared" si="1"/>
        <v>0.26240724612727279</v>
      </c>
      <c r="O29" s="112"/>
      <c r="P29" s="112">
        <f t="shared" si="2"/>
        <v>0</v>
      </c>
      <c r="Q29" s="112"/>
      <c r="R29" s="112">
        <f t="shared" si="3"/>
        <v>0</v>
      </c>
      <c r="S29" s="112"/>
      <c r="T29" s="112">
        <f t="shared" si="4"/>
        <v>0</v>
      </c>
      <c r="U29" s="112"/>
      <c r="V29" s="112">
        <f t="shared" si="5"/>
        <v>0</v>
      </c>
      <c r="W29" s="112"/>
      <c r="X29" s="112">
        <f t="shared" si="6"/>
        <v>0</v>
      </c>
      <c r="Y29" s="99">
        <f t="shared" si="7"/>
        <v>0.01</v>
      </c>
      <c r="Z29" s="275">
        <f t="shared" si="7"/>
        <v>0.26240724612727279</v>
      </c>
      <c r="AA29" s="97"/>
      <c r="AB29" s="98">
        <f t="shared" si="8"/>
        <v>0</v>
      </c>
      <c r="AC29" s="98"/>
      <c r="AD29" s="98">
        <f t="shared" si="9"/>
        <v>0</v>
      </c>
      <c r="AE29" s="98"/>
      <c r="AF29" s="98">
        <f t="shared" si="10"/>
        <v>0</v>
      </c>
      <c r="AG29" s="98"/>
      <c r="AH29" s="98">
        <f t="shared" si="11"/>
        <v>0</v>
      </c>
      <c r="AI29" s="98"/>
      <c r="AJ29" s="98">
        <f t="shared" si="12"/>
        <v>0</v>
      </c>
      <c r="AK29" s="99">
        <f t="shared" si="13"/>
        <v>0</v>
      </c>
      <c r="AL29" s="100">
        <f t="shared" si="13"/>
        <v>0</v>
      </c>
      <c r="AM29" s="277"/>
      <c r="AN29" s="112">
        <f t="shared" si="14"/>
        <v>0</v>
      </c>
      <c r="AO29" s="99">
        <f t="shared" si="18"/>
        <v>0</v>
      </c>
      <c r="AP29" s="276">
        <f t="shared" si="15"/>
        <v>0</v>
      </c>
      <c r="AQ29" s="103">
        <f t="shared" si="0"/>
        <v>9.9999999999999992E-2</v>
      </c>
      <c r="AR29" s="104">
        <f t="shared" si="0"/>
        <v>5.6111072461272729</v>
      </c>
      <c r="AS29" s="56" t="s">
        <v>155</v>
      </c>
      <c r="AT29" s="56">
        <f t="shared" si="19"/>
        <v>0</v>
      </c>
    </row>
    <row r="30" spans="1:46" ht="15" customHeight="1" thickBot="1" x14ac:dyDescent="0.5">
      <c r="A30" s="150"/>
      <c r="B30" s="151"/>
      <c r="C30" s="152">
        <v>17</v>
      </c>
      <c r="D30" s="153" t="s">
        <v>195</v>
      </c>
      <c r="E30" s="154" t="s">
        <v>196</v>
      </c>
      <c r="F30" s="155" t="s">
        <v>187</v>
      </c>
      <c r="G30" s="210"/>
      <c r="H30" s="207">
        <f t="shared" si="16"/>
        <v>0</v>
      </c>
      <c r="I30" s="207">
        <v>0.01</v>
      </c>
      <c r="J30" s="207">
        <f t="shared" si="16"/>
        <v>0.59430000000000005</v>
      </c>
      <c r="K30" s="80">
        <f t="shared" si="17"/>
        <v>0.01</v>
      </c>
      <c r="L30" s="270">
        <f t="shared" si="17"/>
        <v>0.59430000000000005</v>
      </c>
      <c r="M30" s="98">
        <v>0.01</v>
      </c>
      <c r="N30" s="98">
        <f t="shared" si="1"/>
        <v>0.26240724612727279</v>
      </c>
      <c r="O30" s="98"/>
      <c r="P30" s="98">
        <f t="shared" si="2"/>
        <v>0</v>
      </c>
      <c r="Q30" s="98"/>
      <c r="R30" s="98">
        <f t="shared" si="3"/>
        <v>0</v>
      </c>
      <c r="S30" s="98"/>
      <c r="T30" s="98">
        <f t="shared" si="4"/>
        <v>0</v>
      </c>
      <c r="U30" s="98"/>
      <c r="V30" s="98">
        <f t="shared" si="5"/>
        <v>0</v>
      </c>
      <c r="W30" s="98"/>
      <c r="X30" s="98">
        <f t="shared" si="6"/>
        <v>0</v>
      </c>
      <c r="Y30" s="99">
        <f t="shared" si="7"/>
        <v>0.01</v>
      </c>
      <c r="Z30" s="275">
        <f t="shared" si="7"/>
        <v>0.26240724612727279</v>
      </c>
      <c r="AA30" s="97"/>
      <c r="AB30" s="98">
        <f t="shared" si="8"/>
        <v>0</v>
      </c>
      <c r="AC30" s="98"/>
      <c r="AD30" s="98">
        <f t="shared" si="9"/>
        <v>0</v>
      </c>
      <c r="AE30" s="98"/>
      <c r="AF30" s="98">
        <f t="shared" si="10"/>
        <v>0</v>
      </c>
      <c r="AG30" s="98"/>
      <c r="AH30" s="98">
        <f t="shared" si="11"/>
        <v>0</v>
      </c>
      <c r="AI30" s="98"/>
      <c r="AJ30" s="98">
        <f t="shared" si="12"/>
        <v>0</v>
      </c>
      <c r="AK30" s="99">
        <f t="shared" si="13"/>
        <v>0</v>
      </c>
      <c r="AL30" s="100">
        <f t="shared" si="13"/>
        <v>0</v>
      </c>
      <c r="AM30" s="277"/>
      <c r="AN30" s="112">
        <f t="shared" si="14"/>
        <v>0</v>
      </c>
      <c r="AO30" s="99">
        <f t="shared" si="18"/>
        <v>0</v>
      </c>
      <c r="AP30" s="276">
        <f t="shared" si="15"/>
        <v>0</v>
      </c>
      <c r="AQ30" s="103">
        <f t="shared" si="0"/>
        <v>0.02</v>
      </c>
      <c r="AR30" s="104">
        <f t="shared" si="0"/>
        <v>0.85670724612727289</v>
      </c>
      <c r="AS30" s="168" t="s">
        <v>190</v>
      </c>
      <c r="AT30" s="56">
        <f t="shared" si="19"/>
        <v>0.85670724612727289</v>
      </c>
    </row>
    <row r="31" spans="1:46" ht="15" customHeight="1" thickTop="1" x14ac:dyDescent="0.45">
      <c r="A31" s="73" t="s">
        <v>197</v>
      </c>
      <c r="B31" s="90" t="s">
        <v>198</v>
      </c>
      <c r="C31" s="114">
        <v>18</v>
      </c>
      <c r="D31" s="108" t="s">
        <v>199</v>
      </c>
      <c r="E31" s="109" t="s">
        <v>200</v>
      </c>
      <c r="F31" s="110" t="s">
        <v>165</v>
      </c>
      <c r="G31" s="210">
        <v>0.05</v>
      </c>
      <c r="H31" s="207">
        <f t="shared" si="16"/>
        <v>2.9715000000000003</v>
      </c>
      <c r="I31" s="207"/>
      <c r="J31" s="207">
        <f t="shared" si="16"/>
        <v>0</v>
      </c>
      <c r="K31" s="80">
        <f t="shared" si="17"/>
        <v>0.05</v>
      </c>
      <c r="L31" s="270">
        <f t="shared" si="17"/>
        <v>2.9715000000000003</v>
      </c>
      <c r="M31" s="98"/>
      <c r="N31" s="98">
        <f t="shared" si="1"/>
        <v>0</v>
      </c>
      <c r="O31" s="98"/>
      <c r="P31" s="98">
        <f t="shared" si="2"/>
        <v>0</v>
      </c>
      <c r="Q31" s="98"/>
      <c r="R31" s="98">
        <f t="shared" si="3"/>
        <v>0</v>
      </c>
      <c r="S31" s="98"/>
      <c r="T31" s="98">
        <f t="shared" si="4"/>
        <v>0</v>
      </c>
      <c r="U31" s="98"/>
      <c r="V31" s="98">
        <f t="shared" si="5"/>
        <v>0</v>
      </c>
      <c r="W31" s="98"/>
      <c r="X31" s="98">
        <f t="shared" si="6"/>
        <v>0</v>
      </c>
      <c r="Y31" s="99">
        <f t="shared" si="7"/>
        <v>0</v>
      </c>
      <c r="Z31" s="275">
        <f t="shared" si="7"/>
        <v>0</v>
      </c>
      <c r="AA31" s="97"/>
      <c r="AB31" s="98">
        <f t="shared" si="8"/>
        <v>0</v>
      </c>
      <c r="AC31" s="98"/>
      <c r="AD31" s="98">
        <f t="shared" si="9"/>
        <v>0</v>
      </c>
      <c r="AE31" s="98"/>
      <c r="AF31" s="98">
        <f t="shared" si="10"/>
        <v>0</v>
      </c>
      <c r="AG31" s="98"/>
      <c r="AH31" s="98">
        <f t="shared" si="11"/>
        <v>0</v>
      </c>
      <c r="AI31" s="98"/>
      <c r="AJ31" s="98">
        <f t="shared" si="12"/>
        <v>0</v>
      </c>
      <c r="AK31" s="99">
        <f t="shared" si="13"/>
        <v>0</v>
      </c>
      <c r="AL31" s="100">
        <f t="shared" si="13"/>
        <v>0</v>
      </c>
      <c r="AM31" s="277"/>
      <c r="AN31" s="112">
        <f t="shared" si="14"/>
        <v>0</v>
      </c>
      <c r="AO31" s="99">
        <f t="shared" si="18"/>
        <v>0</v>
      </c>
      <c r="AP31" s="276">
        <f t="shared" si="15"/>
        <v>0</v>
      </c>
      <c r="AQ31" s="103">
        <f t="shared" si="0"/>
        <v>0.05</v>
      </c>
      <c r="AR31" s="104">
        <f t="shared" si="0"/>
        <v>2.9715000000000003</v>
      </c>
      <c r="AS31" s="171" t="s">
        <v>155</v>
      </c>
      <c r="AT31" s="56">
        <f t="shared" si="19"/>
        <v>0</v>
      </c>
    </row>
    <row r="32" spans="1:46" ht="15" customHeight="1" x14ac:dyDescent="0.45">
      <c r="A32" s="73"/>
      <c r="B32" s="90"/>
      <c r="C32" s="114">
        <v>19</v>
      </c>
      <c r="D32" s="172" t="s">
        <v>201</v>
      </c>
      <c r="E32" s="173" t="s">
        <v>202</v>
      </c>
      <c r="F32" s="174" t="s">
        <v>203</v>
      </c>
      <c r="G32" s="210"/>
      <c r="H32" s="207">
        <f t="shared" si="16"/>
        <v>0</v>
      </c>
      <c r="I32" s="207"/>
      <c r="J32" s="207">
        <f t="shared" si="16"/>
        <v>0</v>
      </c>
      <c r="K32" s="80">
        <f t="shared" si="17"/>
        <v>0</v>
      </c>
      <c r="L32" s="270">
        <f t="shared" si="17"/>
        <v>0</v>
      </c>
      <c r="M32" s="98">
        <v>0.01</v>
      </c>
      <c r="N32" s="98">
        <f t="shared" si="1"/>
        <v>0.26240724612727279</v>
      </c>
      <c r="O32" s="98">
        <v>0.01</v>
      </c>
      <c r="P32" s="98">
        <f t="shared" si="2"/>
        <v>0.26240724612727279</v>
      </c>
      <c r="Q32" s="98">
        <v>0.01</v>
      </c>
      <c r="R32" s="98">
        <f t="shared" si="3"/>
        <v>0.26240724612727279</v>
      </c>
      <c r="S32" s="98">
        <v>0.01</v>
      </c>
      <c r="T32" s="98">
        <f t="shared" si="4"/>
        <v>0.26240724612727279</v>
      </c>
      <c r="U32" s="98">
        <v>0.01</v>
      </c>
      <c r="V32" s="98">
        <f t="shared" si="5"/>
        <v>0.26240724612727279</v>
      </c>
      <c r="W32" s="98">
        <v>0.01</v>
      </c>
      <c r="X32" s="98">
        <f t="shared" si="6"/>
        <v>0.26240724612727279</v>
      </c>
      <c r="Y32" s="99">
        <f t="shared" si="7"/>
        <v>6.0000000000000005E-2</v>
      </c>
      <c r="Z32" s="275">
        <f t="shared" si="7"/>
        <v>1.5744434767636368</v>
      </c>
      <c r="AA32" s="97"/>
      <c r="AB32" s="98">
        <f t="shared" si="8"/>
        <v>0</v>
      </c>
      <c r="AC32" s="98"/>
      <c r="AD32" s="98">
        <f t="shared" si="9"/>
        <v>0</v>
      </c>
      <c r="AE32" s="98"/>
      <c r="AF32" s="98">
        <f t="shared" si="10"/>
        <v>0</v>
      </c>
      <c r="AG32" s="98"/>
      <c r="AH32" s="98">
        <f t="shared" si="11"/>
        <v>0</v>
      </c>
      <c r="AI32" s="98"/>
      <c r="AJ32" s="98">
        <f t="shared" si="12"/>
        <v>0</v>
      </c>
      <c r="AK32" s="99">
        <f t="shared" si="13"/>
        <v>0</v>
      </c>
      <c r="AL32" s="100">
        <f t="shared" si="13"/>
        <v>0</v>
      </c>
      <c r="AM32" s="277"/>
      <c r="AN32" s="112">
        <f t="shared" si="14"/>
        <v>0</v>
      </c>
      <c r="AO32" s="99">
        <f t="shared" si="18"/>
        <v>0</v>
      </c>
      <c r="AP32" s="276">
        <f t="shared" si="15"/>
        <v>0</v>
      </c>
      <c r="AQ32" s="103">
        <f t="shared" si="0"/>
        <v>6.0000000000000005E-2</v>
      </c>
      <c r="AR32" s="104">
        <f t="shared" si="0"/>
        <v>1.5744434767636368</v>
      </c>
      <c r="AS32" s="56" t="s">
        <v>155</v>
      </c>
      <c r="AT32" s="56">
        <f t="shared" si="19"/>
        <v>0</v>
      </c>
    </row>
    <row r="33" spans="1:46" ht="15" customHeight="1" x14ac:dyDescent="0.45">
      <c r="A33" s="73"/>
      <c r="B33" s="90"/>
      <c r="C33" s="114">
        <v>20</v>
      </c>
      <c r="D33" s="172" t="s">
        <v>204</v>
      </c>
      <c r="E33" s="173" t="s">
        <v>205</v>
      </c>
      <c r="F33" s="174" t="s">
        <v>165</v>
      </c>
      <c r="G33" s="210">
        <v>0.05</v>
      </c>
      <c r="H33" s="207">
        <f t="shared" si="16"/>
        <v>2.9715000000000003</v>
      </c>
      <c r="I33" s="207"/>
      <c r="J33" s="207">
        <f t="shared" si="16"/>
        <v>0</v>
      </c>
      <c r="K33" s="80">
        <f t="shared" si="17"/>
        <v>0.05</v>
      </c>
      <c r="L33" s="270">
        <f t="shared" si="17"/>
        <v>2.9715000000000003</v>
      </c>
      <c r="M33" s="98"/>
      <c r="N33" s="98">
        <f t="shared" si="1"/>
        <v>0</v>
      </c>
      <c r="O33" s="98"/>
      <c r="P33" s="98">
        <f t="shared" si="2"/>
        <v>0</v>
      </c>
      <c r="Q33" s="98"/>
      <c r="R33" s="98">
        <f t="shared" si="3"/>
        <v>0</v>
      </c>
      <c r="S33" s="98"/>
      <c r="T33" s="98">
        <f t="shared" si="4"/>
        <v>0</v>
      </c>
      <c r="U33" s="98"/>
      <c r="V33" s="98">
        <f t="shared" si="5"/>
        <v>0</v>
      </c>
      <c r="W33" s="98"/>
      <c r="X33" s="98">
        <f t="shared" si="6"/>
        <v>0</v>
      </c>
      <c r="Y33" s="99">
        <f t="shared" si="7"/>
        <v>0</v>
      </c>
      <c r="Z33" s="275">
        <f t="shared" si="7"/>
        <v>0</v>
      </c>
      <c r="AA33" s="97"/>
      <c r="AB33" s="98">
        <f t="shared" si="8"/>
        <v>0</v>
      </c>
      <c r="AC33" s="98"/>
      <c r="AD33" s="98">
        <f t="shared" si="9"/>
        <v>0</v>
      </c>
      <c r="AE33" s="98"/>
      <c r="AF33" s="98">
        <f t="shared" si="10"/>
        <v>0</v>
      </c>
      <c r="AG33" s="98"/>
      <c r="AH33" s="98">
        <f t="shared" si="11"/>
        <v>0</v>
      </c>
      <c r="AI33" s="98"/>
      <c r="AJ33" s="98">
        <f t="shared" si="12"/>
        <v>0</v>
      </c>
      <c r="AK33" s="99">
        <f t="shared" si="13"/>
        <v>0</v>
      </c>
      <c r="AL33" s="100">
        <f t="shared" si="13"/>
        <v>0</v>
      </c>
      <c r="AM33" s="277"/>
      <c r="AN33" s="112">
        <f t="shared" si="14"/>
        <v>0</v>
      </c>
      <c r="AO33" s="99">
        <f t="shared" si="18"/>
        <v>0</v>
      </c>
      <c r="AP33" s="276">
        <f t="shared" si="15"/>
        <v>0</v>
      </c>
      <c r="AQ33" s="103">
        <f t="shared" si="0"/>
        <v>0.05</v>
      </c>
      <c r="AR33" s="104">
        <f t="shared" si="0"/>
        <v>2.9715000000000003</v>
      </c>
      <c r="AS33" s="56" t="s">
        <v>155</v>
      </c>
      <c r="AT33" s="56">
        <f t="shared" si="19"/>
        <v>0</v>
      </c>
    </row>
    <row r="34" spans="1:46" ht="15" customHeight="1" x14ac:dyDescent="0.45">
      <c r="A34" s="73"/>
      <c r="B34" s="90"/>
      <c r="C34" s="107">
        <v>21</v>
      </c>
      <c r="D34" s="172" t="s">
        <v>206</v>
      </c>
      <c r="E34" s="173" t="s">
        <v>207</v>
      </c>
      <c r="F34" s="174" t="s">
        <v>203</v>
      </c>
      <c r="G34" s="210"/>
      <c r="H34" s="207">
        <f t="shared" si="16"/>
        <v>0</v>
      </c>
      <c r="I34" s="207"/>
      <c r="J34" s="207">
        <f t="shared" si="16"/>
        <v>0</v>
      </c>
      <c r="K34" s="80">
        <f t="shared" si="17"/>
        <v>0</v>
      </c>
      <c r="L34" s="270">
        <f t="shared" si="17"/>
        <v>0</v>
      </c>
      <c r="M34" s="98">
        <v>0.01</v>
      </c>
      <c r="N34" s="98">
        <f t="shared" si="1"/>
        <v>0.26240724612727279</v>
      </c>
      <c r="O34" s="98">
        <v>0.01</v>
      </c>
      <c r="P34" s="98">
        <f t="shared" si="2"/>
        <v>0.26240724612727279</v>
      </c>
      <c r="Q34" s="98">
        <v>0.01</v>
      </c>
      <c r="R34" s="98">
        <f t="shared" si="3"/>
        <v>0.26240724612727279</v>
      </c>
      <c r="S34" s="98">
        <v>0.01</v>
      </c>
      <c r="T34" s="98">
        <f t="shared" si="4"/>
        <v>0.26240724612727279</v>
      </c>
      <c r="U34" s="98">
        <v>0.01</v>
      </c>
      <c r="V34" s="98">
        <f t="shared" si="5"/>
        <v>0.26240724612727279</v>
      </c>
      <c r="W34" s="98">
        <v>0.01</v>
      </c>
      <c r="X34" s="98">
        <f t="shared" si="6"/>
        <v>0.26240724612727279</v>
      </c>
      <c r="Y34" s="99">
        <f t="shared" si="7"/>
        <v>6.0000000000000005E-2</v>
      </c>
      <c r="Z34" s="275">
        <f t="shared" si="7"/>
        <v>1.5744434767636368</v>
      </c>
      <c r="AA34" s="97"/>
      <c r="AB34" s="98">
        <f t="shared" si="8"/>
        <v>0</v>
      </c>
      <c r="AC34" s="98"/>
      <c r="AD34" s="98">
        <f t="shared" si="9"/>
        <v>0</v>
      </c>
      <c r="AE34" s="98"/>
      <c r="AF34" s="98">
        <f t="shared" si="10"/>
        <v>0</v>
      </c>
      <c r="AG34" s="98"/>
      <c r="AH34" s="98">
        <f t="shared" si="11"/>
        <v>0</v>
      </c>
      <c r="AI34" s="98"/>
      <c r="AJ34" s="98">
        <f t="shared" si="12"/>
        <v>0</v>
      </c>
      <c r="AK34" s="99">
        <f t="shared" si="13"/>
        <v>0</v>
      </c>
      <c r="AL34" s="100">
        <f t="shared" si="13"/>
        <v>0</v>
      </c>
      <c r="AM34" s="277"/>
      <c r="AN34" s="112">
        <f t="shared" si="14"/>
        <v>0</v>
      </c>
      <c r="AO34" s="99">
        <f t="shared" si="18"/>
        <v>0</v>
      </c>
      <c r="AP34" s="276">
        <f t="shared" si="15"/>
        <v>0</v>
      </c>
      <c r="AQ34" s="103">
        <f t="shared" si="0"/>
        <v>6.0000000000000005E-2</v>
      </c>
      <c r="AR34" s="104">
        <f t="shared" si="0"/>
        <v>1.5744434767636368</v>
      </c>
      <c r="AS34" s="56" t="s">
        <v>155</v>
      </c>
      <c r="AT34" s="56">
        <f t="shared" si="19"/>
        <v>0</v>
      </c>
    </row>
    <row r="35" spans="1:46" ht="15" customHeight="1" x14ac:dyDescent="0.45">
      <c r="A35" s="73"/>
      <c r="B35" s="90"/>
      <c r="C35" s="175">
        <v>22</v>
      </c>
      <c r="D35" s="172" t="s">
        <v>208</v>
      </c>
      <c r="E35" s="173" t="s">
        <v>209</v>
      </c>
      <c r="F35" s="174" t="s">
        <v>165</v>
      </c>
      <c r="G35" s="210"/>
      <c r="H35" s="207">
        <f t="shared" si="16"/>
        <v>0</v>
      </c>
      <c r="I35" s="207"/>
      <c r="J35" s="207">
        <f t="shared" si="16"/>
        <v>0</v>
      </c>
      <c r="K35" s="80">
        <f t="shared" si="17"/>
        <v>0</v>
      </c>
      <c r="L35" s="270">
        <f t="shared" si="17"/>
        <v>0</v>
      </c>
      <c r="M35" s="98">
        <v>0.01</v>
      </c>
      <c r="N35" s="98">
        <f t="shared" si="1"/>
        <v>0.26240724612727279</v>
      </c>
      <c r="O35" s="98">
        <v>0.01</v>
      </c>
      <c r="P35" s="98">
        <f t="shared" si="2"/>
        <v>0.26240724612727279</v>
      </c>
      <c r="Q35" s="98">
        <v>0.01</v>
      </c>
      <c r="R35" s="98">
        <f t="shared" si="3"/>
        <v>0.26240724612727279</v>
      </c>
      <c r="S35" s="98">
        <v>0.01</v>
      </c>
      <c r="T35" s="98">
        <f t="shared" si="4"/>
        <v>0.26240724612727279</v>
      </c>
      <c r="U35" s="98">
        <v>0.01</v>
      </c>
      <c r="V35" s="98">
        <f t="shared" si="5"/>
        <v>0.26240724612727279</v>
      </c>
      <c r="W35" s="98">
        <v>0.01</v>
      </c>
      <c r="X35" s="98">
        <f t="shared" si="6"/>
        <v>0.26240724612727279</v>
      </c>
      <c r="Y35" s="99">
        <f t="shared" si="7"/>
        <v>6.0000000000000005E-2</v>
      </c>
      <c r="Z35" s="275">
        <f t="shared" si="7"/>
        <v>1.5744434767636368</v>
      </c>
      <c r="AA35" s="97"/>
      <c r="AB35" s="98">
        <f t="shared" si="8"/>
        <v>0</v>
      </c>
      <c r="AC35" s="98"/>
      <c r="AD35" s="98">
        <f t="shared" si="9"/>
        <v>0</v>
      </c>
      <c r="AE35" s="98"/>
      <c r="AF35" s="98">
        <f t="shared" si="10"/>
        <v>0</v>
      </c>
      <c r="AG35" s="98"/>
      <c r="AH35" s="98">
        <f t="shared" si="11"/>
        <v>0</v>
      </c>
      <c r="AI35" s="98"/>
      <c r="AJ35" s="98">
        <f t="shared" si="12"/>
        <v>0</v>
      </c>
      <c r="AK35" s="99">
        <f t="shared" si="13"/>
        <v>0</v>
      </c>
      <c r="AL35" s="100">
        <f t="shared" si="13"/>
        <v>0</v>
      </c>
      <c r="AM35" s="277"/>
      <c r="AN35" s="112">
        <f t="shared" si="14"/>
        <v>0</v>
      </c>
      <c r="AO35" s="99">
        <f t="shared" si="18"/>
        <v>0</v>
      </c>
      <c r="AP35" s="276">
        <f t="shared" si="15"/>
        <v>0</v>
      </c>
      <c r="AQ35" s="103">
        <f t="shared" si="0"/>
        <v>6.0000000000000005E-2</v>
      </c>
      <c r="AR35" s="104">
        <f t="shared" si="0"/>
        <v>1.5744434767636368</v>
      </c>
      <c r="AS35" s="56" t="s">
        <v>155</v>
      </c>
      <c r="AT35" s="56">
        <f t="shared" si="19"/>
        <v>0</v>
      </c>
    </row>
    <row r="36" spans="1:46" ht="15" customHeight="1" x14ac:dyDescent="0.45">
      <c r="A36" s="176"/>
      <c r="B36" s="113" t="s">
        <v>210</v>
      </c>
      <c r="C36" s="107">
        <v>23</v>
      </c>
      <c r="D36" s="177" t="s">
        <v>211</v>
      </c>
      <c r="E36" s="178" t="s">
        <v>212</v>
      </c>
      <c r="F36" s="174" t="s">
        <v>203</v>
      </c>
      <c r="G36" s="210"/>
      <c r="H36" s="207">
        <f t="shared" si="16"/>
        <v>0</v>
      </c>
      <c r="I36" s="207"/>
      <c r="J36" s="207">
        <f t="shared" si="16"/>
        <v>0</v>
      </c>
      <c r="K36" s="80">
        <f t="shared" si="17"/>
        <v>0</v>
      </c>
      <c r="L36" s="270">
        <f t="shared" si="17"/>
        <v>0</v>
      </c>
      <c r="M36" s="98">
        <v>0.01</v>
      </c>
      <c r="N36" s="98">
        <f t="shared" si="1"/>
        <v>0.26240724612727279</v>
      </c>
      <c r="O36" s="98">
        <v>0.01</v>
      </c>
      <c r="P36" s="98">
        <f t="shared" si="2"/>
        <v>0.26240724612727279</v>
      </c>
      <c r="Q36" s="98">
        <v>0.01</v>
      </c>
      <c r="R36" s="98">
        <f t="shared" si="3"/>
        <v>0.26240724612727279</v>
      </c>
      <c r="S36" s="98">
        <v>0.01</v>
      </c>
      <c r="T36" s="98">
        <f t="shared" si="4"/>
        <v>0.26240724612727279</v>
      </c>
      <c r="U36" s="98">
        <v>0.01</v>
      </c>
      <c r="V36" s="98">
        <f t="shared" si="5"/>
        <v>0.26240724612727279</v>
      </c>
      <c r="W36" s="98">
        <v>0.01</v>
      </c>
      <c r="X36" s="98">
        <f t="shared" si="6"/>
        <v>0.26240724612727279</v>
      </c>
      <c r="Y36" s="99">
        <f t="shared" si="7"/>
        <v>6.0000000000000005E-2</v>
      </c>
      <c r="Z36" s="275">
        <f t="shared" si="7"/>
        <v>1.5744434767636368</v>
      </c>
      <c r="AA36" s="97"/>
      <c r="AB36" s="98">
        <f t="shared" si="8"/>
        <v>0</v>
      </c>
      <c r="AC36" s="278"/>
      <c r="AD36" s="278">
        <f t="shared" si="9"/>
        <v>0</v>
      </c>
      <c r="AE36" s="278"/>
      <c r="AF36" s="278">
        <f t="shared" si="10"/>
        <v>0</v>
      </c>
      <c r="AG36" s="278"/>
      <c r="AH36" s="278">
        <f t="shared" si="11"/>
        <v>0</v>
      </c>
      <c r="AI36" s="278"/>
      <c r="AJ36" s="278">
        <f t="shared" si="12"/>
        <v>0</v>
      </c>
      <c r="AK36" s="99">
        <f t="shared" si="13"/>
        <v>0</v>
      </c>
      <c r="AL36" s="100">
        <f t="shared" si="13"/>
        <v>0</v>
      </c>
      <c r="AM36" s="279"/>
      <c r="AN36" s="180">
        <f t="shared" si="14"/>
        <v>0</v>
      </c>
      <c r="AO36" s="99">
        <f t="shared" si="18"/>
        <v>0</v>
      </c>
      <c r="AP36" s="276">
        <f t="shared" si="15"/>
        <v>0</v>
      </c>
      <c r="AQ36" s="103">
        <f t="shared" si="0"/>
        <v>6.0000000000000005E-2</v>
      </c>
      <c r="AR36" s="104">
        <f t="shared" si="0"/>
        <v>1.5744434767636368</v>
      </c>
      <c r="AS36" s="56" t="s">
        <v>155</v>
      </c>
      <c r="AT36" s="56">
        <f t="shared" si="19"/>
        <v>0</v>
      </c>
    </row>
    <row r="37" spans="1:46" ht="15" customHeight="1" x14ac:dyDescent="0.45">
      <c r="A37" s="176"/>
      <c r="B37" s="90"/>
      <c r="C37" s="107">
        <v>24</v>
      </c>
      <c r="D37" s="177" t="s">
        <v>213</v>
      </c>
      <c r="E37" s="178" t="s">
        <v>214</v>
      </c>
      <c r="F37" s="174" t="s">
        <v>203</v>
      </c>
      <c r="G37" s="93"/>
      <c r="H37" s="94">
        <f t="shared" si="16"/>
        <v>0</v>
      </c>
      <c r="I37" s="94"/>
      <c r="J37" s="94">
        <f t="shared" si="16"/>
        <v>0</v>
      </c>
      <c r="K37" s="80">
        <f t="shared" si="17"/>
        <v>0</v>
      </c>
      <c r="L37" s="270">
        <f t="shared" si="17"/>
        <v>0</v>
      </c>
      <c r="M37" s="112">
        <v>0.01</v>
      </c>
      <c r="N37" s="112">
        <f t="shared" si="1"/>
        <v>0.26240724612727279</v>
      </c>
      <c r="O37" s="112">
        <v>0.01</v>
      </c>
      <c r="P37" s="112">
        <f t="shared" si="2"/>
        <v>0.26240724612727279</v>
      </c>
      <c r="Q37" s="112">
        <v>0.01</v>
      </c>
      <c r="R37" s="112">
        <f t="shared" si="3"/>
        <v>0.26240724612727279</v>
      </c>
      <c r="S37" s="112">
        <v>0.01</v>
      </c>
      <c r="T37" s="112">
        <f t="shared" si="4"/>
        <v>0.26240724612727279</v>
      </c>
      <c r="U37" s="112">
        <v>0.01</v>
      </c>
      <c r="V37" s="112">
        <f t="shared" si="5"/>
        <v>0.26240724612727279</v>
      </c>
      <c r="W37" s="112">
        <v>0.01</v>
      </c>
      <c r="X37" s="112">
        <f t="shared" si="6"/>
        <v>0.26240724612727279</v>
      </c>
      <c r="Y37" s="99">
        <f t="shared" si="7"/>
        <v>6.0000000000000005E-2</v>
      </c>
      <c r="Z37" s="275">
        <f t="shared" si="7"/>
        <v>1.5744434767636368</v>
      </c>
      <c r="AA37" s="179"/>
      <c r="AB37" s="180">
        <f t="shared" si="8"/>
        <v>0</v>
      </c>
      <c r="AC37" s="180"/>
      <c r="AD37" s="180">
        <f t="shared" si="9"/>
        <v>0</v>
      </c>
      <c r="AE37" s="180"/>
      <c r="AF37" s="180">
        <f t="shared" si="10"/>
        <v>0</v>
      </c>
      <c r="AG37" s="180"/>
      <c r="AH37" s="180">
        <f t="shared" si="11"/>
        <v>0</v>
      </c>
      <c r="AI37" s="180"/>
      <c r="AJ37" s="180">
        <f t="shared" si="12"/>
        <v>0</v>
      </c>
      <c r="AK37" s="99">
        <f t="shared" si="13"/>
        <v>0</v>
      </c>
      <c r="AL37" s="100">
        <f t="shared" si="13"/>
        <v>0</v>
      </c>
      <c r="AM37" s="279"/>
      <c r="AN37" s="180">
        <f t="shared" si="14"/>
        <v>0</v>
      </c>
      <c r="AO37" s="99">
        <f t="shared" si="18"/>
        <v>0</v>
      </c>
      <c r="AP37" s="276">
        <f t="shared" si="15"/>
        <v>0</v>
      </c>
      <c r="AQ37" s="103">
        <f t="shared" si="0"/>
        <v>6.0000000000000005E-2</v>
      </c>
      <c r="AR37" s="104">
        <f t="shared" si="0"/>
        <v>1.5744434767636368</v>
      </c>
      <c r="AS37" s="56" t="s">
        <v>155</v>
      </c>
      <c r="AT37" s="56">
        <f t="shared" si="19"/>
        <v>0</v>
      </c>
    </row>
    <row r="38" spans="1:46" ht="15" customHeight="1" x14ac:dyDescent="0.45">
      <c r="A38" s="176"/>
      <c r="B38" s="90"/>
      <c r="C38" s="114">
        <v>25</v>
      </c>
      <c r="D38" s="177" t="s">
        <v>215</v>
      </c>
      <c r="E38" s="178" t="s">
        <v>216</v>
      </c>
      <c r="F38" s="174" t="s">
        <v>203</v>
      </c>
      <c r="G38" s="93"/>
      <c r="H38" s="94">
        <f t="shared" si="16"/>
        <v>0</v>
      </c>
      <c r="I38" s="94"/>
      <c r="J38" s="94">
        <f t="shared" si="16"/>
        <v>0</v>
      </c>
      <c r="K38" s="80">
        <f t="shared" si="17"/>
        <v>0</v>
      </c>
      <c r="L38" s="270">
        <f t="shared" si="17"/>
        <v>0</v>
      </c>
      <c r="M38" s="112">
        <v>0.01</v>
      </c>
      <c r="N38" s="112">
        <f t="shared" si="1"/>
        <v>0.26240724612727279</v>
      </c>
      <c r="O38" s="112">
        <v>0.01</v>
      </c>
      <c r="P38" s="112">
        <f t="shared" si="2"/>
        <v>0.26240724612727279</v>
      </c>
      <c r="Q38" s="112">
        <v>0.01</v>
      </c>
      <c r="R38" s="112">
        <f t="shared" si="3"/>
        <v>0.26240724612727279</v>
      </c>
      <c r="S38" s="112">
        <v>0.01</v>
      </c>
      <c r="T38" s="112">
        <f t="shared" si="4"/>
        <v>0.26240724612727279</v>
      </c>
      <c r="U38" s="180">
        <v>0.01</v>
      </c>
      <c r="V38" s="180">
        <f t="shared" si="5"/>
        <v>0.26240724612727279</v>
      </c>
      <c r="W38" s="180">
        <v>0.01</v>
      </c>
      <c r="X38" s="180">
        <f t="shared" si="6"/>
        <v>0.26240724612727279</v>
      </c>
      <c r="Y38" s="99">
        <f t="shared" si="7"/>
        <v>6.0000000000000005E-2</v>
      </c>
      <c r="Z38" s="275">
        <f t="shared" si="7"/>
        <v>1.5744434767636368</v>
      </c>
      <c r="AA38" s="111"/>
      <c r="AB38" s="112">
        <f t="shared" si="8"/>
        <v>0</v>
      </c>
      <c r="AC38" s="180"/>
      <c r="AD38" s="180">
        <f t="shared" si="9"/>
        <v>0</v>
      </c>
      <c r="AE38" s="180"/>
      <c r="AF38" s="180">
        <f t="shared" si="10"/>
        <v>0</v>
      </c>
      <c r="AG38" s="180"/>
      <c r="AH38" s="180">
        <f t="shared" si="11"/>
        <v>0</v>
      </c>
      <c r="AI38" s="180"/>
      <c r="AJ38" s="180">
        <f t="shared" si="12"/>
        <v>0</v>
      </c>
      <c r="AK38" s="99">
        <f t="shared" si="13"/>
        <v>0</v>
      </c>
      <c r="AL38" s="100">
        <f t="shared" si="13"/>
        <v>0</v>
      </c>
      <c r="AM38" s="279"/>
      <c r="AN38" s="180">
        <f t="shared" si="14"/>
        <v>0</v>
      </c>
      <c r="AO38" s="99">
        <f t="shared" si="18"/>
        <v>0</v>
      </c>
      <c r="AP38" s="276">
        <f t="shared" si="15"/>
        <v>0</v>
      </c>
      <c r="AQ38" s="103">
        <f t="shared" si="0"/>
        <v>6.0000000000000005E-2</v>
      </c>
      <c r="AR38" s="104">
        <f t="shared" si="0"/>
        <v>1.5744434767636368</v>
      </c>
      <c r="AS38" s="56" t="s">
        <v>155</v>
      </c>
      <c r="AT38" s="56">
        <f t="shared" si="19"/>
        <v>0</v>
      </c>
    </row>
    <row r="39" spans="1:46" ht="15" customHeight="1" x14ac:dyDescent="0.45">
      <c r="A39" s="176"/>
      <c r="B39" s="90"/>
      <c r="C39" s="107">
        <v>26</v>
      </c>
      <c r="D39" s="177" t="s">
        <v>217</v>
      </c>
      <c r="E39" s="178" t="s">
        <v>218</v>
      </c>
      <c r="F39" s="174" t="s">
        <v>203</v>
      </c>
      <c r="G39" s="93"/>
      <c r="H39" s="94">
        <f t="shared" si="16"/>
        <v>0</v>
      </c>
      <c r="I39" s="94"/>
      <c r="J39" s="94">
        <f t="shared" si="16"/>
        <v>0</v>
      </c>
      <c r="K39" s="80">
        <f t="shared" si="17"/>
        <v>0</v>
      </c>
      <c r="L39" s="270">
        <f t="shared" si="17"/>
        <v>0</v>
      </c>
      <c r="M39" s="112">
        <v>0.2</v>
      </c>
      <c r="N39" s="112">
        <f t="shared" si="1"/>
        <v>5.2481449225454559</v>
      </c>
      <c r="O39" s="112">
        <v>0.3</v>
      </c>
      <c r="P39" s="112">
        <f t="shared" si="2"/>
        <v>7.8722173838181826</v>
      </c>
      <c r="Q39" s="112">
        <v>0.25</v>
      </c>
      <c r="R39" s="112">
        <f t="shared" si="3"/>
        <v>6.5601811531818193</v>
      </c>
      <c r="S39" s="112">
        <v>0.2</v>
      </c>
      <c r="T39" s="112">
        <f t="shared" si="4"/>
        <v>5.2481449225454559</v>
      </c>
      <c r="U39" s="112">
        <v>0.3</v>
      </c>
      <c r="V39" s="112">
        <f t="shared" si="5"/>
        <v>7.8722173838181826</v>
      </c>
      <c r="W39" s="112">
        <v>0.3</v>
      </c>
      <c r="X39" s="112">
        <f t="shared" si="6"/>
        <v>7.8722173838181826</v>
      </c>
      <c r="Y39" s="99">
        <f t="shared" si="7"/>
        <v>1.55</v>
      </c>
      <c r="Z39" s="275">
        <f t="shared" si="7"/>
        <v>40.673123149727282</v>
      </c>
      <c r="AA39" s="179"/>
      <c r="AB39" s="180">
        <f t="shared" si="8"/>
        <v>0</v>
      </c>
      <c r="AC39" s="180"/>
      <c r="AD39" s="180">
        <f t="shared" si="9"/>
        <v>0</v>
      </c>
      <c r="AE39" s="180"/>
      <c r="AF39" s="180">
        <f t="shared" si="10"/>
        <v>0</v>
      </c>
      <c r="AG39" s="180"/>
      <c r="AH39" s="180">
        <f t="shared" si="11"/>
        <v>0</v>
      </c>
      <c r="AI39" s="180"/>
      <c r="AJ39" s="180">
        <f t="shared" si="12"/>
        <v>0</v>
      </c>
      <c r="AK39" s="99">
        <f t="shared" si="13"/>
        <v>0</v>
      </c>
      <c r="AL39" s="100">
        <f t="shared" si="13"/>
        <v>0</v>
      </c>
      <c r="AM39" s="279"/>
      <c r="AN39" s="180">
        <f t="shared" si="14"/>
        <v>0</v>
      </c>
      <c r="AO39" s="99">
        <f t="shared" si="18"/>
        <v>0</v>
      </c>
      <c r="AP39" s="276">
        <f t="shared" si="15"/>
        <v>0</v>
      </c>
      <c r="AQ39" s="103">
        <f t="shared" si="0"/>
        <v>1.55</v>
      </c>
      <c r="AR39" s="104">
        <f t="shared" si="0"/>
        <v>40.673123149727282</v>
      </c>
      <c r="AS39" s="56" t="s">
        <v>155</v>
      </c>
      <c r="AT39" s="56">
        <f t="shared" si="19"/>
        <v>0</v>
      </c>
    </row>
    <row r="40" spans="1:46" ht="15" customHeight="1" x14ac:dyDescent="0.45">
      <c r="A40" s="176"/>
      <c r="B40" s="90"/>
      <c r="C40" s="107">
        <v>27</v>
      </c>
      <c r="D40" s="177" t="s">
        <v>219</v>
      </c>
      <c r="E40" s="178" t="s">
        <v>220</v>
      </c>
      <c r="F40" s="174" t="s">
        <v>203</v>
      </c>
      <c r="G40" s="93"/>
      <c r="H40" s="94">
        <f t="shared" si="16"/>
        <v>0</v>
      </c>
      <c r="I40" s="94">
        <v>0.03</v>
      </c>
      <c r="J40" s="94">
        <f t="shared" si="16"/>
        <v>1.7828999999999999</v>
      </c>
      <c r="K40" s="80">
        <f t="shared" si="17"/>
        <v>0.03</v>
      </c>
      <c r="L40" s="270">
        <f t="shared" si="17"/>
        <v>1.7828999999999999</v>
      </c>
      <c r="M40" s="112"/>
      <c r="N40" s="112">
        <f t="shared" si="1"/>
        <v>0</v>
      </c>
      <c r="O40" s="112"/>
      <c r="P40" s="112">
        <f t="shared" si="2"/>
        <v>0</v>
      </c>
      <c r="Q40" s="112"/>
      <c r="R40" s="112">
        <f t="shared" si="3"/>
        <v>0</v>
      </c>
      <c r="S40" s="112"/>
      <c r="T40" s="112">
        <f t="shared" si="4"/>
        <v>0</v>
      </c>
      <c r="U40" s="112"/>
      <c r="V40" s="112">
        <f t="shared" si="5"/>
        <v>0</v>
      </c>
      <c r="W40" s="112"/>
      <c r="X40" s="112">
        <f t="shared" si="6"/>
        <v>0</v>
      </c>
      <c r="Y40" s="99">
        <f t="shared" si="7"/>
        <v>0</v>
      </c>
      <c r="Z40" s="275">
        <f t="shared" si="7"/>
        <v>0</v>
      </c>
      <c r="AA40" s="111">
        <v>0.01</v>
      </c>
      <c r="AB40" s="112">
        <f t="shared" si="8"/>
        <v>0.26240724612727273</v>
      </c>
      <c r="AC40" s="180">
        <v>0.01</v>
      </c>
      <c r="AD40" s="180">
        <f t="shared" si="9"/>
        <v>0.26240724612727273</v>
      </c>
      <c r="AE40" s="180">
        <v>0.01</v>
      </c>
      <c r="AF40" s="180">
        <f t="shared" si="10"/>
        <v>0.26240724612727273</v>
      </c>
      <c r="AG40" s="112">
        <v>0.01</v>
      </c>
      <c r="AH40" s="112">
        <f t="shared" si="11"/>
        <v>0.26240724612727273</v>
      </c>
      <c r="AI40" s="112">
        <v>0.01</v>
      </c>
      <c r="AJ40" s="112">
        <f t="shared" si="12"/>
        <v>0.26240724612727273</v>
      </c>
      <c r="AK40" s="99">
        <f t="shared" si="13"/>
        <v>0.05</v>
      </c>
      <c r="AL40" s="100">
        <f t="shared" si="13"/>
        <v>1.3120362306363638</v>
      </c>
      <c r="AM40" s="277"/>
      <c r="AN40" s="112">
        <f t="shared" si="14"/>
        <v>0</v>
      </c>
      <c r="AO40" s="99">
        <f t="shared" si="18"/>
        <v>0</v>
      </c>
      <c r="AP40" s="276">
        <f t="shared" si="15"/>
        <v>0</v>
      </c>
      <c r="AQ40" s="103">
        <f t="shared" si="0"/>
        <v>0.08</v>
      </c>
      <c r="AR40" s="104">
        <f t="shared" si="0"/>
        <v>3.0949362306363639</v>
      </c>
      <c r="AS40" s="56" t="s">
        <v>155</v>
      </c>
      <c r="AT40" s="56">
        <f t="shared" si="19"/>
        <v>0</v>
      </c>
    </row>
    <row r="41" spans="1:46" ht="15" customHeight="1" x14ac:dyDescent="0.45">
      <c r="A41" s="73"/>
      <c r="B41" s="90"/>
      <c r="C41" s="114">
        <v>28</v>
      </c>
      <c r="D41" s="172" t="s">
        <v>221</v>
      </c>
      <c r="E41" s="173" t="s">
        <v>222</v>
      </c>
      <c r="F41" s="174" t="s">
        <v>203</v>
      </c>
      <c r="G41" s="93"/>
      <c r="H41" s="94">
        <f t="shared" si="16"/>
        <v>0</v>
      </c>
      <c r="I41" s="94">
        <v>0.01</v>
      </c>
      <c r="J41" s="94">
        <f t="shared" si="16"/>
        <v>0.59430000000000005</v>
      </c>
      <c r="K41" s="80">
        <f t="shared" si="17"/>
        <v>0.01</v>
      </c>
      <c r="L41" s="270">
        <f t="shared" si="17"/>
        <v>0.59430000000000005</v>
      </c>
      <c r="M41" s="112"/>
      <c r="N41" s="112">
        <f t="shared" si="1"/>
        <v>0</v>
      </c>
      <c r="O41" s="112"/>
      <c r="P41" s="112">
        <f t="shared" si="2"/>
        <v>0</v>
      </c>
      <c r="Q41" s="112"/>
      <c r="R41" s="112">
        <f t="shared" si="3"/>
        <v>0</v>
      </c>
      <c r="S41" s="112"/>
      <c r="T41" s="112">
        <f t="shared" si="4"/>
        <v>0</v>
      </c>
      <c r="U41" s="112"/>
      <c r="V41" s="112">
        <f t="shared" si="5"/>
        <v>0</v>
      </c>
      <c r="W41" s="112"/>
      <c r="X41" s="112">
        <f t="shared" si="6"/>
        <v>0</v>
      </c>
      <c r="Y41" s="99">
        <f t="shared" si="7"/>
        <v>0</v>
      </c>
      <c r="Z41" s="275">
        <f t="shared" si="7"/>
        <v>0</v>
      </c>
      <c r="AA41" s="111">
        <v>0.01</v>
      </c>
      <c r="AB41" s="112">
        <f t="shared" si="8"/>
        <v>0.26240724612727273</v>
      </c>
      <c r="AC41" s="180">
        <v>0.01</v>
      </c>
      <c r="AD41" s="180">
        <f t="shared" si="9"/>
        <v>0.26240724612727273</v>
      </c>
      <c r="AE41" s="180">
        <v>0.01</v>
      </c>
      <c r="AF41" s="180">
        <f t="shared" si="10"/>
        <v>0.26240724612727273</v>
      </c>
      <c r="AG41" s="112">
        <v>0.01</v>
      </c>
      <c r="AH41" s="112">
        <f t="shared" si="11"/>
        <v>0.26240724612727273</v>
      </c>
      <c r="AI41" s="112">
        <v>0.01</v>
      </c>
      <c r="AJ41" s="112">
        <f t="shared" si="12"/>
        <v>0.26240724612727273</v>
      </c>
      <c r="AK41" s="99">
        <f t="shared" si="13"/>
        <v>0.05</v>
      </c>
      <c r="AL41" s="100">
        <f t="shared" si="13"/>
        <v>1.3120362306363638</v>
      </c>
      <c r="AM41" s="277"/>
      <c r="AN41" s="112">
        <f t="shared" si="14"/>
        <v>0</v>
      </c>
      <c r="AO41" s="99">
        <f t="shared" si="18"/>
        <v>0</v>
      </c>
      <c r="AP41" s="276">
        <f t="shared" si="15"/>
        <v>0</v>
      </c>
      <c r="AQ41" s="103">
        <f t="shared" si="0"/>
        <v>6.0000000000000005E-2</v>
      </c>
      <c r="AR41" s="104">
        <f t="shared" si="0"/>
        <v>1.9063362306363638</v>
      </c>
      <c r="AS41" s="56" t="s">
        <v>155</v>
      </c>
      <c r="AT41" s="56">
        <f t="shared" si="19"/>
        <v>0</v>
      </c>
    </row>
    <row r="42" spans="1:46" ht="15" customHeight="1" x14ac:dyDescent="0.45">
      <c r="A42" s="73"/>
      <c r="B42" s="90"/>
      <c r="C42" s="114">
        <v>29</v>
      </c>
      <c r="D42" s="172" t="s">
        <v>223</v>
      </c>
      <c r="E42" s="173" t="s">
        <v>224</v>
      </c>
      <c r="F42" s="174" t="s">
        <v>203</v>
      </c>
      <c r="G42" s="93"/>
      <c r="H42" s="94">
        <f t="shared" si="16"/>
        <v>0</v>
      </c>
      <c r="I42" s="94"/>
      <c r="J42" s="94">
        <f t="shared" si="16"/>
        <v>0</v>
      </c>
      <c r="K42" s="80">
        <f t="shared" si="17"/>
        <v>0</v>
      </c>
      <c r="L42" s="270">
        <f t="shared" si="17"/>
        <v>0</v>
      </c>
      <c r="M42" s="112">
        <v>0.01</v>
      </c>
      <c r="N42" s="112">
        <f t="shared" si="1"/>
        <v>0.26240724612727279</v>
      </c>
      <c r="O42" s="112">
        <v>0.01</v>
      </c>
      <c r="P42" s="112">
        <f t="shared" si="2"/>
        <v>0.26240724612727279</v>
      </c>
      <c r="Q42" s="112">
        <v>0.01</v>
      </c>
      <c r="R42" s="112">
        <f t="shared" si="3"/>
        <v>0.26240724612727279</v>
      </c>
      <c r="S42" s="112">
        <v>0.1</v>
      </c>
      <c r="T42" s="112">
        <f t="shared" si="4"/>
        <v>2.624072461272728</v>
      </c>
      <c r="U42" s="112">
        <v>0.01</v>
      </c>
      <c r="V42" s="112">
        <f t="shared" si="5"/>
        <v>0.26240724612727279</v>
      </c>
      <c r="W42" s="112">
        <v>0.01</v>
      </c>
      <c r="X42" s="112">
        <f t="shared" si="6"/>
        <v>0.26240724612727279</v>
      </c>
      <c r="Y42" s="99">
        <f t="shared" si="7"/>
        <v>0.15000000000000002</v>
      </c>
      <c r="Z42" s="275">
        <f t="shared" si="7"/>
        <v>3.9361086919090917</v>
      </c>
      <c r="AA42" s="111"/>
      <c r="AB42" s="112">
        <f t="shared" si="8"/>
        <v>0</v>
      </c>
      <c r="AC42" s="112"/>
      <c r="AD42" s="112">
        <f t="shared" si="9"/>
        <v>0</v>
      </c>
      <c r="AE42" s="112"/>
      <c r="AF42" s="112">
        <f t="shared" si="10"/>
        <v>0</v>
      </c>
      <c r="AG42" s="112"/>
      <c r="AH42" s="112">
        <f t="shared" si="11"/>
        <v>0</v>
      </c>
      <c r="AI42" s="112"/>
      <c r="AJ42" s="112">
        <f t="shared" si="12"/>
        <v>0</v>
      </c>
      <c r="AK42" s="99">
        <f t="shared" si="13"/>
        <v>0</v>
      </c>
      <c r="AL42" s="100">
        <f t="shared" si="13"/>
        <v>0</v>
      </c>
      <c r="AM42" s="277"/>
      <c r="AN42" s="112">
        <f t="shared" si="14"/>
        <v>0</v>
      </c>
      <c r="AO42" s="99">
        <f t="shared" si="18"/>
        <v>0</v>
      </c>
      <c r="AP42" s="276">
        <f t="shared" si="15"/>
        <v>0</v>
      </c>
      <c r="AQ42" s="103">
        <f t="shared" si="0"/>
        <v>0.15000000000000002</v>
      </c>
      <c r="AR42" s="104">
        <f t="shared" si="0"/>
        <v>3.9361086919090917</v>
      </c>
      <c r="AS42" s="56" t="s">
        <v>155</v>
      </c>
      <c r="AT42" s="56">
        <f t="shared" si="19"/>
        <v>0</v>
      </c>
    </row>
    <row r="43" spans="1:46" ht="15" customHeight="1" x14ac:dyDescent="0.45">
      <c r="A43" s="73"/>
      <c r="B43" s="90"/>
      <c r="C43" s="107">
        <v>30</v>
      </c>
      <c r="D43" s="172" t="s">
        <v>225</v>
      </c>
      <c r="E43" s="173" t="s">
        <v>226</v>
      </c>
      <c r="F43" s="174" t="s">
        <v>227</v>
      </c>
      <c r="G43" s="93"/>
      <c r="H43" s="94">
        <f t="shared" si="16"/>
        <v>0</v>
      </c>
      <c r="I43" s="94"/>
      <c r="J43" s="94">
        <f t="shared" si="16"/>
        <v>0</v>
      </c>
      <c r="K43" s="80">
        <f t="shared" si="17"/>
        <v>0</v>
      </c>
      <c r="L43" s="270">
        <f t="shared" si="17"/>
        <v>0</v>
      </c>
      <c r="M43" s="112">
        <v>0.03</v>
      </c>
      <c r="N43" s="112">
        <f t="shared" si="1"/>
        <v>0.7872217383818183</v>
      </c>
      <c r="O43" s="112">
        <v>0.01</v>
      </c>
      <c r="P43" s="112">
        <f t="shared" si="2"/>
        <v>0.26240724612727279</v>
      </c>
      <c r="Q43" s="112">
        <v>0.03</v>
      </c>
      <c r="R43" s="112">
        <f t="shared" si="3"/>
        <v>0.7872217383818183</v>
      </c>
      <c r="S43" s="112">
        <v>0.02</v>
      </c>
      <c r="T43" s="112">
        <f t="shared" si="4"/>
        <v>0.52481449225454557</v>
      </c>
      <c r="U43" s="112">
        <v>0.02</v>
      </c>
      <c r="V43" s="112">
        <f t="shared" si="5"/>
        <v>0.52481449225454557</v>
      </c>
      <c r="W43" s="112">
        <v>0.02</v>
      </c>
      <c r="X43" s="112">
        <f t="shared" si="6"/>
        <v>0.52481449225454557</v>
      </c>
      <c r="Y43" s="99">
        <f t="shared" si="7"/>
        <v>0.13</v>
      </c>
      <c r="Z43" s="275">
        <f t="shared" si="7"/>
        <v>3.4112941996545465</v>
      </c>
      <c r="AA43" s="111"/>
      <c r="AB43" s="112">
        <f t="shared" si="8"/>
        <v>0</v>
      </c>
      <c r="AC43" s="112"/>
      <c r="AD43" s="112">
        <f t="shared" si="9"/>
        <v>0</v>
      </c>
      <c r="AE43" s="112"/>
      <c r="AF43" s="112">
        <f t="shared" si="10"/>
        <v>0</v>
      </c>
      <c r="AG43" s="112"/>
      <c r="AH43" s="112">
        <f t="shared" si="11"/>
        <v>0</v>
      </c>
      <c r="AI43" s="112"/>
      <c r="AJ43" s="112">
        <f t="shared" si="12"/>
        <v>0</v>
      </c>
      <c r="AK43" s="99">
        <f t="shared" si="13"/>
        <v>0</v>
      </c>
      <c r="AL43" s="100">
        <f t="shared" si="13"/>
        <v>0</v>
      </c>
      <c r="AM43" s="277"/>
      <c r="AN43" s="112">
        <f t="shared" si="14"/>
        <v>0</v>
      </c>
      <c r="AO43" s="99">
        <f t="shared" si="18"/>
        <v>0</v>
      </c>
      <c r="AP43" s="276">
        <f t="shared" si="15"/>
        <v>0</v>
      </c>
      <c r="AQ43" s="103">
        <f t="shared" si="0"/>
        <v>0.13</v>
      </c>
      <c r="AR43" s="104">
        <f t="shared" si="0"/>
        <v>3.4112941996545465</v>
      </c>
      <c r="AS43" s="56" t="s">
        <v>155</v>
      </c>
      <c r="AT43" s="56">
        <f t="shared" si="19"/>
        <v>0</v>
      </c>
    </row>
    <row r="44" spans="1:46" ht="15" customHeight="1" x14ac:dyDescent="0.45">
      <c r="A44" s="73"/>
      <c r="B44" s="90"/>
      <c r="C44" s="114">
        <v>31</v>
      </c>
      <c r="D44" s="172" t="s">
        <v>228</v>
      </c>
      <c r="E44" s="173" t="s">
        <v>229</v>
      </c>
      <c r="F44" s="174" t="s">
        <v>227</v>
      </c>
      <c r="G44" s="93"/>
      <c r="H44" s="94">
        <f t="shared" si="16"/>
        <v>0</v>
      </c>
      <c r="I44" s="94">
        <v>0.04</v>
      </c>
      <c r="J44" s="94">
        <f t="shared" si="16"/>
        <v>2.3772000000000002</v>
      </c>
      <c r="K44" s="80">
        <f t="shared" si="17"/>
        <v>0.04</v>
      </c>
      <c r="L44" s="270">
        <f t="shared" si="17"/>
        <v>2.3772000000000002</v>
      </c>
      <c r="M44" s="112">
        <v>0.01</v>
      </c>
      <c r="N44" s="112">
        <f t="shared" si="1"/>
        <v>0.26240724612727279</v>
      </c>
      <c r="O44" s="112">
        <v>0.01</v>
      </c>
      <c r="P44" s="112">
        <f t="shared" si="2"/>
        <v>0.26240724612727279</v>
      </c>
      <c r="Q44" s="112">
        <v>0.01</v>
      </c>
      <c r="R44" s="112">
        <f t="shared" si="3"/>
        <v>0.26240724612727279</v>
      </c>
      <c r="S44" s="112">
        <v>0.01</v>
      </c>
      <c r="T44" s="112">
        <f t="shared" si="4"/>
        <v>0.26240724612727279</v>
      </c>
      <c r="U44" s="112">
        <v>0.01</v>
      </c>
      <c r="V44" s="112">
        <f t="shared" si="5"/>
        <v>0.26240724612727279</v>
      </c>
      <c r="W44" s="112">
        <v>0.01</v>
      </c>
      <c r="X44" s="112">
        <f t="shared" si="6"/>
        <v>0.26240724612727279</v>
      </c>
      <c r="Y44" s="99">
        <f t="shared" si="7"/>
        <v>6.0000000000000005E-2</v>
      </c>
      <c r="Z44" s="275">
        <f t="shared" si="7"/>
        <v>1.5744434767636368</v>
      </c>
      <c r="AA44" s="111"/>
      <c r="AB44" s="112">
        <f t="shared" si="8"/>
        <v>0</v>
      </c>
      <c r="AC44" s="112"/>
      <c r="AD44" s="112">
        <f t="shared" si="9"/>
        <v>0</v>
      </c>
      <c r="AE44" s="112"/>
      <c r="AF44" s="112">
        <f t="shared" si="10"/>
        <v>0</v>
      </c>
      <c r="AG44" s="112"/>
      <c r="AH44" s="112">
        <f t="shared" si="11"/>
        <v>0</v>
      </c>
      <c r="AI44" s="112"/>
      <c r="AJ44" s="112">
        <f t="shared" si="12"/>
        <v>0</v>
      </c>
      <c r="AK44" s="99">
        <f t="shared" si="13"/>
        <v>0</v>
      </c>
      <c r="AL44" s="100">
        <f t="shared" si="13"/>
        <v>0</v>
      </c>
      <c r="AM44" s="277"/>
      <c r="AN44" s="112">
        <f t="shared" si="14"/>
        <v>0</v>
      </c>
      <c r="AO44" s="99">
        <f t="shared" si="18"/>
        <v>0</v>
      </c>
      <c r="AP44" s="276">
        <f t="shared" si="15"/>
        <v>0</v>
      </c>
      <c r="AQ44" s="103">
        <f t="shared" si="0"/>
        <v>0.1</v>
      </c>
      <c r="AR44" s="104">
        <f t="shared" si="0"/>
        <v>3.9516434767636373</v>
      </c>
      <c r="AS44" s="56" t="s">
        <v>155</v>
      </c>
      <c r="AT44" s="56">
        <f t="shared" si="19"/>
        <v>0</v>
      </c>
    </row>
    <row r="45" spans="1:46" ht="15" customHeight="1" x14ac:dyDescent="0.45">
      <c r="A45" s="73"/>
      <c r="B45" s="90"/>
      <c r="C45" s="107">
        <v>32</v>
      </c>
      <c r="D45" s="172" t="s">
        <v>230</v>
      </c>
      <c r="E45" s="173" t="s">
        <v>231</v>
      </c>
      <c r="F45" s="110" t="s">
        <v>187</v>
      </c>
      <c r="G45" s="93"/>
      <c r="H45" s="94">
        <f t="shared" si="16"/>
        <v>0</v>
      </c>
      <c r="I45" s="94">
        <v>0.04</v>
      </c>
      <c r="J45" s="94">
        <f t="shared" si="16"/>
        <v>2.3772000000000002</v>
      </c>
      <c r="K45" s="80">
        <f t="shared" si="17"/>
        <v>0.04</v>
      </c>
      <c r="L45" s="270">
        <f t="shared" si="17"/>
        <v>2.3772000000000002</v>
      </c>
      <c r="M45" s="112">
        <v>0.01</v>
      </c>
      <c r="N45" s="112">
        <f t="shared" si="1"/>
        <v>0.26240724612727279</v>
      </c>
      <c r="O45" s="112">
        <v>0.01</v>
      </c>
      <c r="P45" s="112">
        <f t="shared" si="2"/>
        <v>0.26240724612727279</v>
      </c>
      <c r="Q45" s="112">
        <v>0.01</v>
      </c>
      <c r="R45" s="112">
        <f t="shared" si="3"/>
        <v>0.26240724612727279</v>
      </c>
      <c r="S45" s="112">
        <v>0.01</v>
      </c>
      <c r="T45" s="112">
        <f t="shared" si="4"/>
        <v>0.26240724612727279</v>
      </c>
      <c r="U45" s="112">
        <v>0.01</v>
      </c>
      <c r="V45" s="112">
        <f t="shared" si="5"/>
        <v>0.26240724612727279</v>
      </c>
      <c r="W45" s="112">
        <v>0.01</v>
      </c>
      <c r="X45" s="112">
        <f t="shared" si="6"/>
        <v>0.26240724612727279</v>
      </c>
      <c r="Y45" s="99">
        <f t="shared" si="7"/>
        <v>6.0000000000000005E-2</v>
      </c>
      <c r="Z45" s="275">
        <f t="shared" si="7"/>
        <v>1.5744434767636368</v>
      </c>
      <c r="AA45" s="111">
        <v>0.1</v>
      </c>
      <c r="AB45" s="112">
        <f t="shared" si="8"/>
        <v>2.6240724612727275</v>
      </c>
      <c r="AC45" s="180">
        <v>0.1</v>
      </c>
      <c r="AD45" s="180">
        <f t="shared" si="9"/>
        <v>2.6240724612727275</v>
      </c>
      <c r="AE45" s="180">
        <v>0.1</v>
      </c>
      <c r="AF45" s="180">
        <f t="shared" si="10"/>
        <v>2.6240724612727275</v>
      </c>
      <c r="AG45" s="112">
        <v>0.1</v>
      </c>
      <c r="AH45" s="112">
        <f t="shared" si="11"/>
        <v>2.6240724612727275</v>
      </c>
      <c r="AI45" s="112">
        <v>0.1</v>
      </c>
      <c r="AJ45" s="112">
        <f t="shared" si="12"/>
        <v>2.6240724612727275</v>
      </c>
      <c r="AK45" s="99">
        <f t="shared" si="13"/>
        <v>0.5</v>
      </c>
      <c r="AL45" s="100">
        <f t="shared" si="13"/>
        <v>13.120362306363639</v>
      </c>
      <c r="AM45" s="277"/>
      <c r="AN45" s="112">
        <f t="shared" si="14"/>
        <v>0</v>
      </c>
      <c r="AO45" s="99">
        <f t="shared" si="18"/>
        <v>0</v>
      </c>
      <c r="AP45" s="276">
        <f t="shared" si="15"/>
        <v>0</v>
      </c>
      <c r="AQ45" s="103">
        <f t="shared" ref="AQ45:AR76" si="20">K45+Y45+AK45+AO45</f>
        <v>0.6</v>
      </c>
      <c r="AR45" s="104">
        <f t="shared" si="20"/>
        <v>17.072005783127274</v>
      </c>
      <c r="AS45" s="56" t="s">
        <v>155</v>
      </c>
      <c r="AT45" s="56">
        <f t="shared" si="19"/>
        <v>0</v>
      </c>
    </row>
    <row r="46" spans="1:46" ht="15" customHeight="1" x14ac:dyDescent="0.45">
      <c r="A46" s="73"/>
      <c r="B46" s="90"/>
      <c r="C46" s="107">
        <v>33</v>
      </c>
      <c r="D46" s="172" t="s">
        <v>232</v>
      </c>
      <c r="E46" s="173" t="s">
        <v>233</v>
      </c>
      <c r="F46" s="174" t="s">
        <v>203</v>
      </c>
      <c r="G46" s="93"/>
      <c r="H46" s="94">
        <f t="shared" si="16"/>
        <v>0</v>
      </c>
      <c r="I46" s="94">
        <v>0.03</v>
      </c>
      <c r="J46" s="94">
        <f t="shared" si="16"/>
        <v>1.7828999999999999</v>
      </c>
      <c r="K46" s="80">
        <f t="shared" si="17"/>
        <v>0.03</v>
      </c>
      <c r="L46" s="270">
        <f t="shared" si="17"/>
        <v>1.7828999999999999</v>
      </c>
      <c r="M46" s="112">
        <v>0.01</v>
      </c>
      <c r="N46" s="112">
        <f t="shared" si="1"/>
        <v>0.26240724612727279</v>
      </c>
      <c r="O46" s="112">
        <v>0.01</v>
      </c>
      <c r="P46" s="112">
        <f t="shared" si="2"/>
        <v>0.26240724612727279</v>
      </c>
      <c r="Q46" s="112">
        <v>0.01</v>
      </c>
      <c r="R46" s="112">
        <f t="shared" si="3"/>
        <v>0.26240724612727279</v>
      </c>
      <c r="S46" s="112">
        <v>0.01</v>
      </c>
      <c r="T46" s="112">
        <f t="shared" si="4"/>
        <v>0.26240724612727279</v>
      </c>
      <c r="U46" s="112">
        <v>0.01</v>
      </c>
      <c r="V46" s="112">
        <f t="shared" si="5"/>
        <v>0.26240724612727279</v>
      </c>
      <c r="W46" s="112">
        <v>0.01</v>
      </c>
      <c r="X46" s="112">
        <f t="shared" si="6"/>
        <v>0.26240724612727279</v>
      </c>
      <c r="Y46" s="99">
        <f t="shared" si="7"/>
        <v>6.0000000000000005E-2</v>
      </c>
      <c r="Z46" s="275">
        <f t="shared" si="7"/>
        <v>1.5744434767636368</v>
      </c>
      <c r="AA46" s="111">
        <v>0.2</v>
      </c>
      <c r="AB46" s="112">
        <f t="shared" si="8"/>
        <v>5.2481449225454551</v>
      </c>
      <c r="AC46" s="180">
        <v>0.2</v>
      </c>
      <c r="AD46" s="180">
        <f t="shared" si="9"/>
        <v>5.2481449225454551</v>
      </c>
      <c r="AE46" s="180">
        <v>0.2</v>
      </c>
      <c r="AF46" s="180">
        <f t="shared" si="10"/>
        <v>5.2481449225454551</v>
      </c>
      <c r="AG46" s="112">
        <v>0.2</v>
      </c>
      <c r="AH46" s="112">
        <f t="shared" si="11"/>
        <v>5.2481449225454551</v>
      </c>
      <c r="AI46" s="112">
        <v>0.2</v>
      </c>
      <c r="AJ46" s="112">
        <f t="shared" si="12"/>
        <v>5.2481449225454551</v>
      </c>
      <c r="AK46" s="99">
        <f t="shared" si="13"/>
        <v>1</v>
      </c>
      <c r="AL46" s="100">
        <f t="shared" si="13"/>
        <v>26.240724612727277</v>
      </c>
      <c r="AM46" s="277"/>
      <c r="AN46" s="112">
        <f t="shared" si="14"/>
        <v>0</v>
      </c>
      <c r="AO46" s="99">
        <f t="shared" si="18"/>
        <v>0</v>
      </c>
      <c r="AP46" s="276">
        <f t="shared" si="15"/>
        <v>0</v>
      </c>
      <c r="AQ46" s="103">
        <f t="shared" si="20"/>
        <v>1.0900000000000001</v>
      </c>
      <c r="AR46" s="104">
        <f t="shared" si="20"/>
        <v>29.598068089490916</v>
      </c>
      <c r="AS46" s="56" t="s">
        <v>155</v>
      </c>
      <c r="AT46" s="56">
        <f t="shared" si="19"/>
        <v>0</v>
      </c>
    </row>
    <row r="47" spans="1:46" ht="15" customHeight="1" x14ac:dyDescent="0.45">
      <c r="A47" s="73"/>
      <c r="B47" s="90"/>
      <c r="C47" s="114">
        <v>34</v>
      </c>
      <c r="D47" s="172" t="s">
        <v>234</v>
      </c>
      <c r="E47" s="173" t="s">
        <v>235</v>
      </c>
      <c r="F47" s="110" t="s">
        <v>162</v>
      </c>
      <c r="G47" s="93"/>
      <c r="H47" s="94">
        <f t="shared" si="16"/>
        <v>0</v>
      </c>
      <c r="I47" s="94"/>
      <c r="J47" s="94">
        <f t="shared" si="16"/>
        <v>0</v>
      </c>
      <c r="K47" s="80">
        <f t="shared" si="17"/>
        <v>0</v>
      </c>
      <c r="L47" s="270">
        <f t="shared" si="17"/>
        <v>0</v>
      </c>
      <c r="M47" s="112">
        <v>0.01</v>
      </c>
      <c r="N47" s="112">
        <f t="shared" si="1"/>
        <v>0.26240724612727279</v>
      </c>
      <c r="O47" s="112">
        <v>0.01</v>
      </c>
      <c r="P47" s="112">
        <f t="shared" si="2"/>
        <v>0.26240724612727279</v>
      </c>
      <c r="Q47" s="112">
        <v>0.01</v>
      </c>
      <c r="R47" s="112">
        <f t="shared" si="3"/>
        <v>0.26240724612727279</v>
      </c>
      <c r="S47" s="112">
        <v>0.01</v>
      </c>
      <c r="T47" s="112">
        <f t="shared" si="4"/>
        <v>0.26240724612727279</v>
      </c>
      <c r="U47" s="112">
        <v>0.01</v>
      </c>
      <c r="V47" s="112">
        <f t="shared" si="5"/>
        <v>0.26240724612727279</v>
      </c>
      <c r="W47" s="112">
        <v>0.01</v>
      </c>
      <c r="X47" s="112">
        <f t="shared" si="6"/>
        <v>0.26240724612727279</v>
      </c>
      <c r="Y47" s="99">
        <f t="shared" si="7"/>
        <v>6.0000000000000005E-2</v>
      </c>
      <c r="Z47" s="275">
        <f t="shared" si="7"/>
        <v>1.5744434767636368</v>
      </c>
      <c r="AA47" s="111"/>
      <c r="AB47" s="112">
        <f t="shared" si="8"/>
        <v>0</v>
      </c>
      <c r="AC47" s="112"/>
      <c r="AD47" s="112">
        <f t="shared" si="9"/>
        <v>0</v>
      </c>
      <c r="AE47" s="112"/>
      <c r="AF47" s="112">
        <f t="shared" si="10"/>
        <v>0</v>
      </c>
      <c r="AG47" s="112"/>
      <c r="AH47" s="112">
        <f t="shared" si="11"/>
        <v>0</v>
      </c>
      <c r="AI47" s="112"/>
      <c r="AJ47" s="112">
        <f t="shared" si="12"/>
        <v>0</v>
      </c>
      <c r="AK47" s="99">
        <f t="shared" si="13"/>
        <v>0</v>
      </c>
      <c r="AL47" s="100">
        <f t="shared" si="13"/>
        <v>0</v>
      </c>
      <c r="AM47" s="277"/>
      <c r="AN47" s="112">
        <f t="shared" si="14"/>
        <v>0</v>
      </c>
      <c r="AO47" s="99">
        <f t="shared" si="18"/>
        <v>0</v>
      </c>
      <c r="AP47" s="276">
        <f t="shared" si="15"/>
        <v>0</v>
      </c>
      <c r="AQ47" s="103">
        <f t="shared" si="20"/>
        <v>6.0000000000000005E-2</v>
      </c>
      <c r="AR47" s="104">
        <f t="shared" si="20"/>
        <v>1.5744434767636368</v>
      </c>
      <c r="AS47" s="56" t="s">
        <v>155</v>
      </c>
      <c r="AT47" s="56">
        <f t="shared" si="19"/>
        <v>0</v>
      </c>
    </row>
    <row r="48" spans="1:46" ht="15" customHeight="1" x14ac:dyDescent="0.45">
      <c r="A48" s="73"/>
      <c r="B48" s="90"/>
      <c r="C48" s="114">
        <v>35</v>
      </c>
      <c r="D48" s="172" t="s">
        <v>236</v>
      </c>
      <c r="E48" s="173" t="s">
        <v>237</v>
      </c>
      <c r="F48" s="174" t="s">
        <v>203</v>
      </c>
      <c r="G48" s="93"/>
      <c r="H48" s="94">
        <f t="shared" si="16"/>
        <v>0</v>
      </c>
      <c r="I48" s="94"/>
      <c r="J48" s="94">
        <f t="shared" si="16"/>
        <v>0</v>
      </c>
      <c r="K48" s="80">
        <f t="shared" si="17"/>
        <v>0</v>
      </c>
      <c r="L48" s="270">
        <f t="shared" si="17"/>
        <v>0</v>
      </c>
      <c r="M48" s="112">
        <v>0.01</v>
      </c>
      <c r="N48" s="112">
        <f t="shared" si="1"/>
        <v>0.26240724612727279</v>
      </c>
      <c r="O48" s="112">
        <v>0.01</v>
      </c>
      <c r="P48" s="112">
        <f t="shared" si="2"/>
        <v>0.26240724612727279</v>
      </c>
      <c r="Q48" s="112">
        <v>0.01</v>
      </c>
      <c r="R48" s="112">
        <f t="shared" si="3"/>
        <v>0.26240724612727279</v>
      </c>
      <c r="S48" s="112">
        <v>0.01</v>
      </c>
      <c r="T48" s="112">
        <f t="shared" si="4"/>
        <v>0.26240724612727279</v>
      </c>
      <c r="U48" s="112">
        <v>0.01</v>
      </c>
      <c r="V48" s="112">
        <f t="shared" si="5"/>
        <v>0.26240724612727279</v>
      </c>
      <c r="W48" s="112">
        <v>0.01</v>
      </c>
      <c r="X48" s="112">
        <f t="shared" si="6"/>
        <v>0.26240724612727279</v>
      </c>
      <c r="Y48" s="99">
        <f t="shared" si="7"/>
        <v>6.0000000000000005E-2</v>
      </c>
      <c r="Z48" s="275">
        <f t="shared" si="7"/>
        <v>1.5744434767636368</v>
      </c>
      <c r="AA48" s="111"/>
      <c r="AB48" s="112">
        <f t="shared" si="8"/>
        <v>0</v>
      </c>
      <c r="AC48" s="112"/>
      <c r="AD48" s="112">
        <f t="shared" si="9"/>
        <v>0</v>
      </c>
      <c r="AE48" s="112"/>
      <c r="AF48" s="112">
        <f t="shared" si="10"/>
        <v>0</v>
      </c>
      <c r="AG48" s="112"/>
      <c r="AH48" s="112">
        <f t="shared" si="11"/>
        <v>0</v>
      </c>
      <c r="AI48" s="112"/>
      <c r="AJ48" s="112">
        <f t="shared" si="12"/>
        <v>0</v>
      </c>
      <c r="AK48" s="99">
        <f t="shared" si="13"/>
        <v>0</v>
      </c>
      <c r="AL48" s="100">
        <f t="shared" si="13"/>
        <v>0</v>
      </c>
      <c r="AM48" s="277"/>
      <c r="AN48" s="112">
        <f t="shared" si="14"/>
        <v>0</v>
      </c>
      <c r="AO48" s="99">
        <f t="shared" si="18"/>
        <v>0</v>
      </c>
      <c r="AP48" s="276">
        <f t="shared" si="15"/>
        <v>0</v>
      </c>
      <c r="AQ48" s="103">
        <f t="shared" si="20"/>
        <v>6.0000000000000005E-2</v>
      </c>
      <c r="AR48" s="104">
        <f t="shared" si="20"/>
        <v>1.5744434767636368</v>
      </c>
      <c r="AS48" s="56" t="s">
        <v>155</v>
      </c>
      <c r="AT48" s="56">
        <f t="shared" si="19"/>
        <v>0</v>
      </c>
    </row>
    <row r="49" spans="1:46" ht="15" customHeight="1" x14ac:dyDescent="0.45">
      <c r="A49" s="73"/>
      <c r="B49" s="90"/>
      <c r="C49" s="107">
        <v>36</v>
      </c>
      <c r="D49" s="172" t="s">
        <v>238</v>
      </c>
      <c r="E49" s="173" t="s">
        <v>239</v>
      </c>
      <c r="F49" s="174" t="s">
        <v>203</v>
      </c>
      <c r="G49" s="93"/>
      <c r="H49" s="94">
        <f t="shared" si="16"/>
        <v>0</v>
      </c>
      <c r="I49" s="94"/>
      <c r="J49" s="94">
        <f t="shared" si="16"/>
        <v>0</v>
      </c>
      <c r="K49" s="80">
        <f t="shared" si="17"/>
        <v>0</v>
      </c>
      <c r="L49" s="270">
        <f t="shared" si="17"/>
        <v>0</v>
      </c>
      <c r="M49" s="112">
        <v>0.01</v>
      </c>
      <c r="N49" s="112">
        <f t="shared" si="1"/>
        <v>0.26240724612727279</v>
      </c>
      <c r="O49" s="112">
        <v>0.01</v>
      </c>
      <c r="P49" s="112">
        <f t="shared" si="2"/>
        <v>0.26240724612727279</v>
      </c>
      <c r="Q49" s="112">
        <v>0.01</v>
      </c>
      <c r="R49" s="112">
        <f t="shared" si="3"/>
        <v>0.26240724612727279</v>
      </c>
      <c r="S49" s="112">
        <v>0.01</v>
      </c>
      <c r="T49" s="112">
        <f t="shared" si="4"/>
        <v>0.26240724612727279</v>
      </c>
      <c r="U49" s="112">
        <v>0.01</v>
      </c>
      <c r="V49" s="112">
        <f t="shared" si="5"/>
        <v>0.26240724612727279</v>
      </c>
      <c r="W49" s="112">
        <v>0.01</v>
      </c>
      <c r="X49" s="112">
        <f t="shared" si="6"/>
        <v>0.26240724612727279</v>
      </c>
      <c r="Y49" s="99">
        <f t="shared" si="7"/>
        <v>6.0000000000000005E-2</v>
      </c>
      <c r="Z49" s="275">
        <f t="shared" si="7"/>
        <v>1.5744434767636368</v>
      </c>
      <c r="AA49" s="111"/>
      <c r="AB49" s="112">
        <f t="shared" si="8"/>
        <v>0</v>
      </c>
      <c r="AC49" s="112"/>
      <c r="AD49" s="112">
        <f t="shared" si="9"/>
        <v>0</v>
      </c>
      <c r="AE49" s="112"/>
      <c r="AF49" s="112">
        <f t="shared" si="10"/>
        <v>0</v>
      </c>
      <c r="AG49" s="112"/>
      <c r="AH49" s="112">
        <f t="shared" si="11"/>
        <v>0</v>
      </c>
      <c r="AI49" s="112"/>
      <c r="AJ49" s="112">
        <f t="shared" si="12"/>
        <v>0</v>
      </c>
      <c r="AK49" s="99">
        <f t="shared" si="13"/>
        <v>0</v>
      </c>
      <c r="AL49" s="100">
        <f t="shared" si="13"/>
        <v>0</v>
      </c>
      <c r="AM49" s="277"/>
      <c r="AN49" s="112">
        <f t="shared" si="14"/>
        <v>0</v>
      </c>
      <c r="AO49" s="99">
        <f t="shared" si="18"/>
        <v>0</v>
      </c>
      <c r="AP49" s="276">
        <f t="shared" si="15"/>
        <v>0</v>
      </c>
      <c r="AQ49" s="103">
        <f t="shared" si="20"/>
        <v>6.0000000000000005E-2</v>
      </c>
      <c r="AR49" s="104">
        <f t="shared" si="20"/>
        <v>1.5744434767636368</v>
      </c>
      <c r="AS49" s="56" t="s">
        <v>156</v>
      </c>
      <c r="AT49" s="56">
        <f t="shared" si="19"/>
        <v>1.5744434767636368</v>
      </c>
    </row>
    <row r="50" spans="1:46" ht="15" customHeight="1" x14ac:dyDescent="0.45">
      <c r="A50" s="73"/>
      <c r="B50" s="90"/>
      <c r="C50" s="114">
        <v>37</v>
      </c>
      <c r="D50" s="172" t="s">
        <v>240</v>
      </c>
      <c r="E50" s="173" t="s">
        <v>241</v>
      </c>
      <c r="F50" s="174" t="s">
        <v>203</v>
      </c>
      <c r="G50" s="93"/>
      <c r="H50" s="94">
        <f t="shared" si="16"/>
        <v>0</v>
      </c>
      <c r="I50" s="94"/>
      <c r="J50" s="94">
        <f t="shared" si="16"/>
        <v>0</v>
      </c>
      <c r="K50" s="80">
        <f t="shared" si="17"/>
        <v>0</v>
      </c>
      <c r="L50" s="270">
        <f t="shared" si="17"/>
        <v>0</v>
      </c>
      <c r="M50" s="112">
        <v>0.01</v>
      </c>
      <c r="N50" s="112">
        <f t="shared" si="1"/>
        <v>0.26240724612727279</v>
      </c>
      <c r="O50" s="112">
        <v>0.01</v>
      </c>
      <c r="P50" s="112">
        <f t="shared" si="2"/>
        <v>0.26240724612727279</v>
      </c>
      <c r="Q50" s="112">
        <v>0.01</v>
      </c>
      <c r="R50" s="112">
        <f t="shared" si="3"/>
        <v>0.26240724612727279</v>
      </c>
      <c r="S50" s="112">
        <v>0.01</v>
      </c>
      <c r="T50" s="112">
        <f t="shared" si="4"/>
        <v>0.26240724612727279</v>
      </c>
      <c r="U50" s="112"/>
      <c r="V50" s="112">
        <f t="shared" si="5"/>
        <v>0</v>
      </c>
      <c r="W50" s="112"/>
      <c r="X50" s="112">
        <f t="shared" si="6"/>
        <v>0</v>
      </c>
      <c r="Y50" s="99">
        <f t="shared" si="7"/>
        <v>0.04</v>
      </c>
      <c r="Z50" s="275">
        <f t="shared" si="7"/>
        <v>1.0496289845090911</v>
      </c>
      <c r="AA50" s="111"/>
      <c r="AB50" s="112">
        <f t="shared" si="8"/>
        <v>0</v>
      </c>
      <c r="AC50" s="112"/>
      <c r="AD50" s="112">
        <f t="shared" si="9"/>
        <v>0</v>
      </c>
      <c r="AE50" s="112"/>
      <c r="AF50" s="112">
        <f t="shared" si="10"/>
        <v>0</v>
      </c>
      <c r="AG50" s="112"/>
      <c r="AH50" s="112">
        <f t="shared" si="11"/>
        <v>0</v>
      </c>
      <c r="AI50" s="112"/>
      <c r="AJ50" s="112">
        <f t="shared" si="12"/>
        <v>0</v>
      </c>
      <c r="AK50" s="99">
        <f t="shared" si="13"/>
        <v>0</v>
      </c>
      <c r="AL50" s="100">
        <f t="shared" si="13"/>
        <v>0</v>
      </c>
      <c r="AM50" s="277"/>
      <c r="AN50" s="112">
        <f t="shared" si="14"/>
        <v>0</v>
      </c>
      <c r="AO50" s="99">
        <f t="shared" si="18"/>
        <v>0</v>
      </c>
      <c r="AP50" s="276">
        <f t="shared" si="15"/>
        <v>0</v>
      </c>
      <c r="AQ50" s="103">
        <f t="shared" si="20"/>
        <v>0.04</v>
      </c>
      <c r="AR50" s="104">
        <f t="shared" si="20"/>
        <v>1.0496289845090911</v>
      </c>
      <c r="AS50" s="56" t="s">
        <v>155</v>
      </c>
      <c r="AT50" s="56">
        <f t="shared" si="19"/>
        <v>0</v>
      </c>
    </row>
    <row r="51" spans="1:46" ht="15" customHeight="1" x14ac:dyDescent="0.45">
      <c r="A51" s="73"/>
      <c r="B51" s="90"/>
      <c r="C51" s="114">
        <v>38</v>
      </c>
      <c r="D51" s="172" t="s">
        <v>242</v>
      </c>
      <c r="E51" s="173" t="s">
        <v>243</v>
      </c>
      <c r="F51" s="110" t="s">
        <v>162</v>
      </c>
      <c r="G51" s="93"/>
      <c r="H51" s="94">
        <f t="shared" si="16"/>
        <v>0</v>
      </c>
      <c r="I51" s="94">
        <v>0.02</v>
      </c>
      <c r="J51" s="94">
        <f t="shared" si="16"/>
        <v>1.1886000000000001</v>
      </c>
      <c r="K51" s="80">
        <f t="shared" si="17"/>
        <v>0.02</v>
      </c>
      <c r="L51" s="270">
        <f t="shared" si="17"/>
        <v>1.1886000000000001</v>
      </c>
      <c r="M51" s="112"/>
      <c r="N51" s="112">
        <f t="shared" si="1"/>
        <v>0</v>
      </c>
      <c r="O51" s="112"/>
      <c r="P51" s="112">
        <f t="shared" si="2"/>
        <v>0</v>
      </c>
      <c r="Q51" s="112"/>
      <c r="R51" s="112">
        <f t="shared" si="3"/>
        <v>0</v>
      </c>
      <c r="S51" s="112"/>
      <c r="T51" s="112">
        <f t="shared" si="4"/>
        <v>0</v>
      </c>
      <c r="U51" s="112"/>
      <c r="V51" s="112">
        <f t="shared" si="5"/>
        <v>0</v>
      </c>
      <c r="W51" s="112"/>
      <c r="X51" s="112">
        <f t="shared" si="6"/>
        <v>0</v>
      </c>
      <c r="Y51" s="99">
        <f t="shared" si="7"/>
        <v>0</v>
      </c>
      <c r="Z51" s="275">
        <f t="shared" si="7"/>
        <v>0</v>
      </c>
      <c r="AA51" s="111"/>
      <c r="AB51" s="112">
        <f t="shared" si="8"/>
        <v>0</v>
      </c>
      <c r="AC51" s="112"/>
      <c r="AD51" s="112">
        <f t="shared" si="9"/>
        <v>0</v>
      </c>
      <c r="AE51" s="112"/>
      <c r="AF51" s="112">
        <f t="shared" si="10"/>
        <v>0</v>
      </c>
      <c r="AG51" s="112"/>
      <c r="AH51" s="112">
        <f t="shared" si="11"/>
        <v>0</v>
      </c>
      <c r="AI51" s="112"/>
      <c r="AJ51" s="112">
        <f t="shared" si="12"/>
        <v>0</v>
      </c>
      <c r="AK51" s="99">
        <f t="shared" si="13"/>
        <v>0</v>
      </c>
      <c r="AL51" s="100">
        <f t="shared" si="13"/>
        <v>0</v>
      </c>
      <c r="AM51" s="277"/>
      <c r="AN51" s="112">
        <f t="shared" si="14"/>
        <v>0</v>
      </c>
      <c r="AO51" s="99">
        <f t="shared" si="18"/>
        <v>0</v>
      </c>
      <c r="AP51" s="276">
        <f t="shared" si="15"/>
        <v>0</v>
      </c>
      <c r="AQ51" s="103">
        <f t="shared" si="20"/>
        <v>0.02</v>
      </c>
      <c r="AR51" s="104">
        <f t="shared" si="20"/>
        <v>1.1886000000000001</v>
      </c>
      <c r="AS51" s="56" t="s">
        <v>155</v>
      </c>
      <c r="AT51" s="56">
        <f t="shared" si="19"/>
        <v>0</v>
      </c>
    </row>
    <row r="52" spans="1:46" ht="15" customHeight="1" x14ac:dyDescent="0.45">
      <c r="A52" s="73"/>
      <c r="B52" s="90"/>
      <c r="C52" s="175">
        <v>39</v>
      </c>
      <c r="D52" s="172" t="s">
        <v>244</v>
      </c>
      <c r="E52" s="173" t="s">
        <v>245</v>
      </c>
      <c r="F52" s="110" t="s">
        <v>187</v>
      </c>
      <c r="G52" s="93"/>
      <c r="H52" s="94">
        <f t="shared" si="16"/>
        <v>0</v>
      </c>
      <c r="I52" s="94"/>
      <c r="J52" s="94">
        <f t="shared" si="16"/>
        <v>0</v>
      </c>
      <c r="K52" s="80">
        <f t="shared" si="17"/>
        <v>0</v>
      </c>
      <c r="L52" s="270">
        <f t="shared" si="17"/>
        <v>0</v>
      </c>
      <c r="M52" s="112">
        <v>0.01</v>
      </c>
      <c r="N52" s="112">
        <f t="shared" si="1"/>
        <v>0.26240724612727279</v>
      </c>
      <c r="O52" s="112">
        <v>0.01</v>
      </c>
      <c r="P52" s="112">
        <f t="shared" si="2"/>
        <v>0.26240724612727279</v>
      </c>
      <c r="Q52" s="112">
        <v>0.01</v>
      </c>
      <c r="R52" s="112">
        <f t="shared" si="3"/>
        <v>0.26240724612727279</v>
      </c>
      <c r="S52" s="112">
        <v>0.01</v>
      </c>
      <c r="T52" s="112">
        <f t="shared" si="4"/>
        <v>0.26240724612727279</v>
      </c>
      <c r="U52" s="112">
        <v>0.01</v>
      </c>
      <c r="V52" s="112">
        <f t="shared" si="5"/>
        <v>0.26240724612727279</v>
      </c>
      <c r="W52" s="112">
        <v>0.01</v>
      </c>
      <c r="X52" s="112">
        <f t="shared" si="6"/>
        <v>0.26240724612727279</v>
      </c>
      <c r="Y52" s="99">
        <f t="shared" si="7"/>
        <v>6.0000000000000005E-2</v>
      </c>
      <c r="Z52" s="275">
        <f t="shared" si="7"/>
        <v>1.5744434767636368</v>
      </c>
      <c r="AA52" s="111">
        <v>0.01</v>
      </c>
      <c r="AB52" s="112">
        <f t="shared" si="8"/>
        <v>0.26240724612727273</v>
      </c>
      <c r="AC52" s="180">
        <v>0.01</v>
      </c>
      <c r="AD52" s="180">
        <f t="shared" si="9"/>
        <v>0.26240724612727273</v>
      </c>
      <c r="AE52" s="180">
        <v>0.01</v>
      </c>
      <c r="AF52" s="180">
        <f t="shared" si="10"/>
        <v>0.26240724612727273</v>
      </c>
      <c r="AG52" s="112">
        <v>0.01</v>
      </c>
      <c r="AH52" s="112">
        <f t="shared" si="11"/>
        <v>0.26240724612727273</v>
      </c>
      <c r="AI52" s="112">
        <v>0.01</v>
      </c>
      <c r="AJ52" s="112">
        <f t="shared" si="12"/>
        <v>0.26240724612727273</v>
      </c>
      <c r="AK52" s="99">
        <f t="shared" si="13"/>
        <v>0.05</v>
      </c>
      <c r="AL52" s="100">
        <f t="shared" si="13"/>
        <v>1.3120362306363638</v>
      </c>
      <c r="AM52" s="277"/>
      <c r="AN52" s="112">
        <f t="shared" si="14"/>
        <v>0</v>
      </c>
      <c r="AO52" s="99">
        <f t="shared" si="18"/>
        <v>0</v>
      </c>
      <c r="AP52" s="276">
        <f t="shared" si="15"/>
        <v>0</v>
      </c>
      <c r="AQ52" s="103">
        <f t="shared" si="20"/>
        <v>0.11000000000000001</v>
      </c>
      <c r="AR52" s="104">
        <f t="shared" si="20"/>
        <v>2.8864797074000004</v>
      </c>
      <c r="AS52" s="56" t="s">
        <v>155</v>
      </c>
      <c r="AT52" s="56">
        <f t="shared" si="19"/>
        <v>0</v>
      </c>
    </row>
    <row r="53" spans="1:46" ht="15" customHeight="1" x14ac:dyDescent="0.45">
      <c r="A53" s="73"/>
      <c r="B53" s="106" t="s">
        <v>246</v>
      </c>
      <c r="C53" s="114">
        <v>40</v>
      </c>
      <c r="D53" s="172" t="s">
        <v>247</v>
      </c>
      <c r="E53" s="173" t="s">
        <v>248</v>
      </c>
      <c r="F53" s="110" t="s">
        <v>187</v>
      </c>
      <c r="G53" s="93"/>
      <c r="H53" s="94">
        <f t="shared" si="16"/>
        <v>0</v>
      </c>
      <c r="I53" s="94"/>
      <c r="J53" s="94">
        <f t="shared" si="16"/>
        <v>0</v>
      </c>
      <c r="K53" s="80">
        <f t="shared" si="17"/>
        <v>0</v>
      </c>
      <c r="L53" s="270">
        <f t="shared" si="17"/>
        <v>0</v>
      </c>
      <c r="M53" s="112"/>
      <c r="N53" s="112">
        <f t="shared" si="1"/>
        <v>0</v>
      </c>
      <c r="O53" s="112"/>
      <c r="P53" s="112">
        <f t="shared" si="2"/>
        <v>0</v>
      </c>
      <c r="Q53" s="112"/>
      <c r="R53" s="112">
        <f t="shared" si="3"/>
        <v>0</v>
      </c>
      <c r="S53" s="112"/>
      <c r="T53" s="112">
        <f t="shared" si="4"/>
        <v>0</v>
      </c>
      <c r="U53" s="112"/>
      <c r="V53" s="112">
        <f t="shared" si="5"/>
        <v>0</v>
      </c>
      <c r="W53" s="112"/>
      <c r="X53" s="112">
        <f t="shared" si="6"/>
        <v>0</v>
      </c>
      <c r="Y53" s="99">
        <f t="shared" si="7"/>
        <v>0</v>
      </c>
      <c r="Z53" s="275">
        <f t="shared" si="7"/>
        <v>0</v>
      </c>
      <c r="AA53" s="111">
        <v>0.01</v>
      </c>
      <c r="AB53" s="112">
        <f t="shared" si="8"/>
        <v>0.26240724612727273</v>
      </c>
      <c r="AC53" s="180">
        <v>0.01</v>
      </c>
      <c r="AD53" s="180">
        <f t="shared" si="9"/>
        <v>0.26240724612727273</v>
      </c>
      <c r="AE53" s="180">
        <v>0.01</v>
      </c>
      <c r="AF53" s="180">
        <f t="shared" si="10"/>
        <v>0.26240724612727273</v>
      </c>
      <c r="AG53" s="112">
        <v>0.01</v>
      </c>
      <c r="AH53" s="112">
        <f t="shared" si="11"/>
        <v>0.26240724612727273</v>
      </c>
      <c r="AI53" s="112">
        <v>0.01</v>
      </c>
      <c r="AJ53" s="112">
        <f t="shared" si="12"/>
        <v>0.26240724612727273</v>
      </c>
      <c r="AK53" s="99">
        <f t="shared" si="13"/>
        <v>0.05</v>
      </c>
      <c r="AL53" s="100">
        <f t="shared" si="13"/>
        <v>1.3120362306363638</v>
      </c>
      <c r="AM53" s="277"/>
      <c r="AN53" s="112">
        <f t="shared" si="14"/>
        <v>0</v>
      </c>
      <c r="AO53" s="99">
        <f t="shared" si="18"/>
        <v>0</v>
      </c>
      <c r="AP53" s="276">
        <f t="shared" si="15"/>
        <v>0</v>
      </c>
      <c r="AQ53" s="103">
        <f t="shared" si="20"/>
        <v>0.05</v>
      </c>
      <c r="AR53" s="104">
        <f t="shared" si="20"/>
        <v>1.3120362306363638</v>
      </c>
      <c r="AS53" s="56" t="s">
        <v>155</v>
      </c>
      <c r="AT53" s="56">
        <f t="shared" si="19"/>
        <v>0</v>
      </c>
    </row>
    <row r="54" spans="1:46" ht="15" customHeight="1" x14ac:dyDescent="0.45">
      <c r="A54" s="73"/>
      <c r="B54" s="90"/>
      <c r="C54" s="114">
        <v>41</v>
      </c>
      <c r="D54" s="172" t="s">
        <v>249</v>
      </c>
      <c r="E54" s="173" t="s">
        <v>250</v>
      </c>
      <c r="F54" s="174" t="s">
        <v>203</v>
      </c>
      <c r="G54" s="93"/>
      <c r="H54" s="94">
        <f t="shared" si="16"/>
        <v>0</v>
      </c>
      <c r="I54" s="94"/>
      <c r="J54" s="94">
        <f t="shared" si="16"/>
        <v>0</v>
      </c>
      <c r="K54" s="80">
        <f t="shared" si="17"/>
        <v>0</v>
      </c>
      <c r="L54" s="270">
        <f t="shared" si="17"/>
        <v>0</v>
      </c>
      <c r="M54" s="112">
        <v>0.01</v>
      </c>
      <c r="N54" s="112">
        <f t="shared" si="1"/>
        <v>0.26240724612727279</v>
      </c>
      <c r="O54" s="112">
        <v>0.05</v>
      </c>
      <c r="P54" s="112">
        <f t="shared" si="2"/>
        <v>1.312036230636364</v>
      </c>
      <c r="Q54" s="112">
        <v>0.06</v>
      </c>
      <c r="R54" s="112">
        <f t="shared" si="3"/>
        <v>1.5744434767636366</v>
      </c>
      <c r="S54" s="112">
        <v>0.05</v>
      </c>
      <c r="T54" s="112">
        <f t="shared" si="4"/>
        <v>1.312036230636364</v>
      </c>
      <c r="U54" s="112">
        <v>0.2</v>
      </c>
      <c r="V54" s="112">
        <f t="shared" si="5"/>
        <v>5.2481449225454559</v>
      </c>
      <c r="W54" s="112">
        <v>0.2</v>
      </c>
      <c r="X54" s="112">
        <f t="shared" si="6"/>
        <v>5.2481449225454559</v>
      </c>
      <c r="Y54" s="99">
        <f t="shared" si="7"/>
        <v>0.57000000000000006</v>
      </c>
      <c r="Z54" s="275">
        <f t="shared" si="7"/>
        <v>14.95721302925455</v>
      </c>
      <c r="AA54" s="111"/>
      <c r="AB54" s="112">
        <f t="shared" si="8"/>
        <v>0</v>
      </c>
      <c r="AC54" s="112"/>
      <c r="AD54" s="112">
        <f t="shared" si="9"/>
        <v>0</v>
      </c>
      <c r="AE54" s="112"/>
      <c r="AF54" s="112">
        <f t="shared" si="10"/>
        <v>0</v>
      </c>
      <c r="AG54" s="112"/>
      <c r="AH54" s="112">
        <f t="shared" si="11"/>
        <v>0</v>
      </c>
      <c r="AI54" s="112"/>
      <c r="AJ54" s="112">
        <f t="shared" si="12"/>
        <v>0</v>
      </c>
      <c r="AK54" s="99">
        <f t="shared" si="13"/>
        <v>0</v>
      </c>
      <c r="AL54" s="100">
        <f t="shared" si="13"/>
        <v>0</v>
      </c>
      <c r="AM54" s="277"/>
      <c r="AN54" s="112">
        <f t="shared" si="14"/>
        <v>0</v>
      </c>
      <c r="AO54" s="99">
        <f t="shared" si="18"/>
        <v>0</v>
      </c>
      <c r="AP54" s="276">
        <f t="shared" si="15"/>
        <v>0</v>
      </c>
      <c r="AQ54" s="103">
        <f t="shared" si="20"/>
        <v>0.57000000000000006</v>
      </c>
      <c r="AR54" s="104">
        <f t="shared" si="20"/>
        <v>14.95721302925455</v>
      </c>
      <c r="AS54" s="56" t="s">
        <v>155</v>
      </c>
      <c r="AT54" s="56">
        <f t="shared" si="19"/>
        <v>0</v>
      </c>
    </row>
    <row r="55" spans="1:46" ht="15" customHeight="1" x14ac:dyDescent="0.45">
      <c r="A55" s="73"/>
      <c r="B55" s="90"/>
      <c r="C55" s="107">
        <v>42</v>
      </c>
      <c r="D55" s="172" t="s">
        <v>251</v>
      </c>
      <c r="E55" s="173" t="s">
        <v>252</v>
      </c>
      <c r="F55" s="174" t="s">
        <v>203</v>
      </c>
      <c r="G55" s="93"/>
      <c r="H55" s="94">
        <f t="shared" si="16"/>
        <v>0</v>
      </c>
      <c r="I55" s="94">
        <v>0.08</v>
      </c>
      <c r="J55" s="94">
        <f t="shared" si="16"/>
        <v>4.7544000000000004</v>
      </c>
      <c r="K55" s="80">
        <f t="shared" si="17"/>
        <v>0.08</v>
      </c>
      <c r="L55" s="270">
        <f t="shared" si="17"/>
        <v>4.7544000000000004</v>
      </c>
      <c r="M55" s="112">
        <v>0.01</v>
      </c>
      <c r="N55" s="112">
        <f t="shared" si="1"/>
        <v>0.26240724612727279</v>
      </c>
      <c r="O55" s="112">
        <v>0.02</v>
      </c>
      <c r="P55" s="112">
        <f t="shared" si="2"/>
        <v>0.52481449225454557</v>
      </c>
      <c r="Q55" s="112">
        <v>0.03</v>
      </c>
      <c r="R55" s="112">
        <f t="shared" si="3"/>
        <v>0.7872217383818183</v>
      </c>
      <c r="S55" s="112">
        <v>0.02</v>
      </c>
      <c r="T55" s="112">
        <f t="shared" si="4"/>
        <v>0.52481449225454557</v>
      </c>
      <c r="U55" s="112">
        <v>0.02</v>
      </c>
      <c r="V55" s="112">
        <f t="shared" si="5"/>
        <v>0.52481449225454557</v>
      </c>
      <c r="W55" s="112">
        <v>0.02</v>
      </c>
      <c r="X55" s="112">
        <f t="shared" si="6"/>
        <v>0.52481449225454557</v>
      </c>
      <c r="Y55" s="99">
        <f t="shared" si="7"/>
        <v>0.12000000000000001</v>
      </c>
      <c r="Z55" s="275">
        <f t="shared" si="7"/>
        <v>3.1488869535272737</v>
      </c>
      <c r="AA55" s="111">
        <v>0.05</v>
      </c>
      <c r="AB55" s="112">
        <f t="shared" si="8"/>
        <v>1.3120362306363638</v>
      </c>
      <c r="AC55" s="112">
        <v>0.05</v>
      </c>
      <c r="AD55" s="112">
        <f t="shared" si="9"/>
        <v>1.3120362306363638</v>
      </c>
      <c r="AE55" s="112">
        <v>0.05</v>
      </c>
      <c r="AF55" s="112">
        <f t="shared" si="10"/>
        <v>1.3120362306363638</v>
      </c>
      <c r="AG55" s="112">
        <v>0.05</v>
      </c>
      <c r="AH55" s="112">
        <f t="shared" si="11"/>
        <v>1.3120362306363638</v>
      </c>
      <c r="AI55" s="112">
        <v>0.05</v>
      </c>
      <c r="AJ55" s="112">
        <f t="shared" si="12"/>
        <v>1.3120362306363638</v>
      </c>
      <c r="AK55" s="99">
        <f t="shared" si="13"/>
        <v>0.25</v>
      </c>
      <c r="AL55" s="100">
        <f t="shared" si="13"/>
        <v>6.5601811531818193</v>
      </c>
      <c r="AM55" s="277"/>
      <c r="AN55" s="112">
        <f t="shared" si="14"/>
        <v>0</v>
      </c>
      <c r="AO55" s="99">
        <f t="shared" si="18"/>
        <v>0</v>
      </c>
      <c r="AP55" s="276">
        <f t="shared" si="15"/>
        <v>0</v>
      </c>
      <c r="AQ55" s="103">
        <f t="shared" si="20"/>
        <v>0.45</v>
      </c>
      <c r="AR55" s="104">
        <f t="shared" si="20"/>
        <v>14.463468106709094</v>
      </c>
      <c r="AS55" s="56" t="s">
        <v>155</v>
      </c>
      <c r="AT55" s="56">
        <f t="shared" si="19"/>
        <v>0</v>
      </c>
    </row>
    <row r="56" spans="1:46" ht="15" customHeight="1" x14ac:dyDescent="0.45">
      <c r="A56" s="73"/>
      <c r="B56" s="90"/>
      <c r="C56" s="175">
        <v>43</v>
      </c>
      <c r="D56" s="172" t="s">
        <v>253</v>
      </c>
      <c r="E56" s="173" t="s">
        <v>254</v>
      </c>
      <c r="F56" s="110" t="s">
        <v>177</v>
      </c>
      <c r="G56" s="93"/>
      <c r="H56" s="94">
        <f t="shared" si="16"/>
        <v>0</v>
      </c>
      <c r="I56" s="94"/>
      <c r="J56" s="94">
        <f t="shared" si="16"/>
        <v>0</v>
      </c>
      <c r="K56" s="80">
        <f t="shared" si="17"/>
        <v>0</v>
      </c>
      <c r="L56" s="270">
        <f t="shared" si="17"/>
        <v>0</v>
      </c>
      <c r="M56" s="112">
        <v>0.01</v>
      </c>
      <c r="N56" s="112">
        <f t="shared" si="1"/>
        <v>0.26240724612727279</v>
      </c>
      <c r="O56" s="112">
        <v>0.01</v>
      </c>
      <c r="P56" s="112">
        <f t="shared" si="2"/>
        <v>0.26240724612727279</v>
      </c>
      <c r="Q56" s="112">
        <v>0.01</v>
      </c>
      <c r="R56" s="112">
        <f t="shared" si="3"/>
        <v>0.26240724612727279</v>
      </c>
      <c r="S56" s="112">
        <v>0.02</v>
      </c>
      <c r="T56" s="112">
        <f t="shared" si="4"/>
        <v>0.52481449225454557</v>
      </c>
      <c r="U56" s="112">
        <v>0.02</v>
      </c>
      <c r="V56" s="112">
        <f t="shared" si="5"/>
        <v>0.52481449225454557</v>
      </c>
      <c r="W56" s="112">
        <v>0.02</v>
      </c>
      <c r="X56" s="112">
        <f t="shared" si="6"/>
        <v>0.52481449225454557</v>
      </c>
      <c r="Y56" s="99">
        <f t="shared" si="7"/>
        <v>9.0000000000000011E-2</v>
      </c>
      <c r="Z56" s="275">
        <f t="shared" si="7"/>
        <v>2.3616652151454551</v>
      </c>
      <c r="AA56" s="111">
        <v>0.01</v>
      </c>
      <c r="AB56" s="112">
        <f t="shared" si="8"/>
        <v>0.26240724612727273</v>
      </c>
      <c r="AC56" s="180">
        <v>0.01</v>
      </c>
      <c r="AD56" s="180">
        <f t="shared" si="9"/>
        <v>0.26240724612727273</v>
      </c>
      <c r="AE56" s="180">
        <v>0.01</v>
      </c>
      <c r="AF56" s="180">
        <f t="shared" si="10"/>
        <v>0.26240724612727273</v>
      </c>
      <c r="AG56" s="112">
        <v>0.01</v>
      </c>
      <c r="AH56" s="112">
        <f t="shared" si="11"/>
        <v>0.26240724612727273</v>
      </c>
      <c r="AI56" s="112">
        <v>0.01</v>
      </c>
      <c r="AJ56" s="112">
        <f t="shared" si="12"/>
        <v>0.26240724612727273</v>
      </c>
      <c r="AK56" s="99">
        <f t="shared" si="13"/>
        <v>0.05</v>
      </c>
      <c r="AL56" s="100">
        <f t="shared" si="13"/>
        <v>1.3120362306363638</v>
      </c>
      <c r="AM56" s="277"/>
      <c r="AN56" s="112">
        <f t="shared" si="14"/>
        <v>0</v>
      </c>
      <c r="AO56" s="99">
        <f t="shared" si="18"/>
        <v>0</v>
      </c>
      <c r="AP56" s="276">
        <f t="shared" si="15"/>
        <v>0</v>
      </c>
      <c r="AQ56" s="103">
        <f t="shared" si="20"/>
        <v>0.14000000000000001</v>
      </c>
      <c r="AR56" s="104">
        <f t="shared" si="20"/>
        <v>3.6737014457818189</v>
      </c>
      <c r="AS56" s="56" t="s">
        <v>155</v>
      </c>
      <c r="AT56" s="56">
        <f t="shared" si="19"/>
        <v>0</v>
      </c>
    </row>
    <row r="57" spans="1:46" ht="15" customHeight="1" x14ac:dyDescent="0.45">
      <c r="A57" s="73"/>
      <c r="B57" s="106" t="s">
        <v>255</v>
      </c>
      <c r="C57" s="107">
        <v>44</v>
      </c>
      <c r="D57" s="172" t="s">
        <v>256</v>
      </c>
      <c r="E57" s="173" t="s">
        <v>257</v>
      </c>
      <c r="F57" s="110" t="s">
        <v>177</v>
      </c>
      <c r="G57" s="93"/>
      <c r="H57" s="94">
        <f t="shared" si="16"/>
        <v>0</v>
      </c>
      <c r="I57" s="94"/>
      <c r="J57" s="94">
        <f t="shared" si="16"/>
        <v>0</v>
      </c>
      <c r="K57" s="80">
        <f t="shared" si="17"/>
        <v>0</v>
      </c>
      <c r="L57" s="270">
        <f t="shared" si="17"/>
        <v>0</v>
      </c>
      <c r="M57" s="112">
        <v>0.01</v>
      </c>
      <c r="N57" s="112">
        <f t="shared" si="1"/>
        <v>0.26240724612727279</v>
      </c>
      <c r="O57" s="112">
        <v>0.01</v>
      </c>
      <c r="P57" s="112">
        <f t="shared" si="2"/>
        <v>0.26240724612727279</v>
      </c>
      <c r="Q57" s="112">
        <v>0.01</v>
      </c>
      <c r="R57" s="112">
        <f t="shared" si="3"/>
        <v>0.26240724612727279</v>
      </c>
      <c r="S57" s="112">
        <v>0.01</v>
      </c>
      <c r="T57" s="112">
        <f t="shared" si="4"/>
        <v>0.26240724612727279</v>
      </c>
      <c r="U57" s="112">
        <v>0.01</v>
      </c>
      <c r="V57" s="112">
        <f t="shared" si="5"/>
        <v>0.26240724612727279</v>
      </c>
      <c r="W57" s="112">
        <v>0.01</v>
      </c>
      <c r="X57" s="112">
        <f t="shared" si="6"/>
        <v>0.26240724612727279</v>
      </c>
      <c r="Y57" s="99">
        <f t="shared" si="7"/>
        <v>6.0000000000000005E-2</v>
      </c>
      <c r="Z57" s="275">
        <f t="shared" si="7"/>
        <v>1.5744434767636368</v>
      </c>
      <c r="AA57" s="111"/>
      <c r="AB57" s="112">
        <f t="shared" si="8"/>
        <v>0</v>
      </c>
      <c r="AC57" s="112"/>
      <c r="AD57" s="112">
        <f t="shared" si="9"/>
        <v>0</v>
      </c>
      <c r="AE57" s="112"/>
      <c r="AF57" s="112">
        <f t="shared" si="10"/>
        <v>0</v>
      </c>
      <c r="AG57" s="112"/>
      <c r="AH57" s="112">
        <f t="shared" si="11"/>
        <v>0</v>
      </c>
      <c r="AI57" s="112"/>
      <c r="AJ57" s="112">
        <f t="shared" si="12"/>
        <v>0</v>
      </c>
      <c r="AK57" s="99">
        <f t="shared" si="13"/>
        <v>0</v>
      </c>
      <c r="AL57" s="100">
        <f t="shared" si="13"/>
        <v>0</v>
      </c>
      <c r="AM57" s="277"/>
      <c r="AN57" s="112">
        <f t="shared" si="14"/>
        <v>0</v>
      </c>
      <c r="AO57" s="99">
        <f t="shared" si="18"/>
        <v>0</v>
      </c>
      <c r="AP57" s="276">
        <f t="shared" si="15"/>
        <v>0</v>
      </c>
      <c r="AQ57" s="103">
        <f t="shared" si="20"/>
        <v>6.0000000000000005E-2</v>
      </c>
      <c r="AR57" s="104">
        <f t="shared" si="20"/>
        <v>1.5744434767636368</v>
      </c>
      <c r="AS57" s="56" t="s">
        <v>155</v>
      </c>
      <c r="AT57" s="56">
        <f t="shared" si="19"/>
        <v>0</v>
      </c>
    </row>
    <row r="58" spans="1:46" ht="15" customHeight="1" x14ac:dyDescent="0.45">
      <c r="A58" s="73"/>
      <c r="B58" s="90"/>
      <c r="C58" s="107">
        <v>45</v>
      </c>
      <c r="D58" s="172" t="s">
        <v>258</v>
      </c>
      <c r="E58" s="173" t="s">
        <v>259</v>
      </c>
      <c r="F58" s="110" t="s">
        <v>187</v>
      </c>
      <c r="G58" s="93"/>
      <c r="H58" s="94">
        <f t="shared" si="16"/>
        <v>0</v>
      </c>
      <c r="I58" s="94">
        <v>0.08</v>
      </c>
      <c r="J58" s="94">
        <f t="shared" si="16"/>
        <v>4.7544000000000004</v>
      </c>
      <c r="K58" s="80">
        <f t="shared" si="17"/>
        <v>0.08</v>
      </c>
      <c r="L58" s="270">
        <f t="shared" si="17"/>
        <v>4.7544000000000004</v>
      </c>
      <c r="M58" s="112">
        <v>0.01</v>
      </c>
      <c r="N58" s="112">
        <f t="shared" si="1"/>
        <v>0.26240724612727279</v>
      </c>
      <c r="O58" s="112">
        <v>0.01</v>
      </c>
      <c r="P58" s="112">
        <f t="shared" si="2"/>
        <v>0.26240724612727279</v>
      </c>
      <c r="Q58" s="112">
        <v>0.03</v>
      </c>
      <c r="R58" s="112">
        <f t="shared" si="3"/>
        <v>0.7872217383818183</v>
      </c>
      <c r="S58" s="112">
        <v>0.01</v>
      </c>
      <c r="T58" s="112">
        <f t="shared" si="4"/>
        <v>0.26240724612727279</v>
      </c>
      <c r="U58" s="112">
        <v>0.01</v>
      </c>
      <c r="V58" s="112">
        <f t="shared" si="5"/>
        <v>0.26240724612727279</v>
      </c>
      <c r="W58" s="112">
        <v>0.01</v>
      </c>
      <c r="X58" s="112">
        <f t="shared" si="6"/>
        <v>0.26240724612727279</v>
      </c>
      <c r="Y58" s="99">
        <f t="shared" si="7"/>
        <v>0.08</v>
      </c>
      <c r="Z58" s="275">
        <f t="shared" si="7"/>
        <v>2.0992579690181823</v>
      </c>
      <c r="AA58" s="111">
        <v>0.05</v>
      </c>
      <c r="AB58" s="112">
        <f t="shared" si="8"/>
        <v>1.3120362306363638</v>
      </c>
      <c r="AC58" s="180">
        <v>0.05</v>
      </c>
      <c r="AD58" s="180">
        <f t="shared" si="9"/>
        <v>1.3120362306363638</v>
      </c>
      <c r="AE58" s="180">
        <v>0.05</v>
      </c>
      <c r="AF58" s="180">
        <f t="shared" si="10"/>
        <v>1.3120362306363638</v>
      </c>
      <c r="AG58" s="112">
        <v>0.05</v>
      </c>
      <c r="AH58" s="112">
        <f t="shared" si="11"/>
        <v>1.3120362306363638</v>
      </c>
      <c r="AI58" s="112">
        <v>0.05</v>
      </c>
      <c r="AJ58" s="112">
        <f t="shared" si="12"/>
        <v>1.3120362306363638</v>
      </c>
      <c r="AK58" s="99">
        <f t="shared" si="13"/>
        <v>0.25</v>
      </c>
      <c r="AL58" s="100">
        <f t="shared" si="13"/>
        <v>6.5601811531818193</v>
      </c>
      <c r="AM58" s="277"/>
      <c r="AN58" s="112">
        <f t="shared" si="14"/>
        <v>0</v>
      </c>
      <c r="AO58" s="99">
        <f t="shared" si="18"/>
        <v>0</v>
      </c>
      <c r="AP58" s="276">
        <f t="shared" si="15"/>
        <v>0</v>
      </c>
      <c r="AQ58" s="103">
        <f t="shared" si="20"/>
        <v>0.41000000000000003</v>
      </c>
      <c r="AR58" s="104">
        <f t="shared" si="20"/>
        <v>13.413839122200002</v>
      </c>
      <c r="AS58" s="56" t="s">
        <v>155</v>
      </c>
      <c r="AT58" s="56">
        <f t="shared" si="19"/>
        <v>0</v>
      </c>
    </row>
    <row r="59" spans="1:46" ht="15" customHeight="1" x14ac:dyDescent="0.45">
      <c r="A59" s="73"/>
      <c r="B59" s="90"/>
      <c r="C59" s="175">
        <v>46</v>
      </c>
      <c r="D59" s="172" t="s">
        <v>260</v>
      </c>
      <c r="E59" s="173" t="s">
        <v>261</v>
      </c>
      <c r="F59" s="110" t="s">
        <v>187</v>
      </c>
      <c r="G59" s="93"/>
      <c r="H59" s="94">
        <f t="shared" si="16"/>
        <v>0</v>
      </c>
      <c r="I59" s="94">
        <v>0.05</v>
      </c>
      <c r="J59" s="94">
        <f t="shared" si="16"/>
        <v>2.9715000000000003</v>
      </c>
      <c r="K59" s="80">
        <f t="shared" si="17"/>
        <v>0.05</v>
      </c>
      <c r="L59" s="270">
        <f t="shared" si="17"/>
        <v>2.9715000000000003</v>
      </c>
      <c r="M59" s="112"/>
      <c r="N59" s="112">
        <f t="shared" si="1"/>
        <v>0</v>
      </c>
      <c r="O59" s="112"/>
      <c r="P59" s="112">
        <f t="shared" si="2"/>
        <v>0</v>
      </c>
      <c r="Q59" s="112"/>
      <c r="R59" s="112">
        <f t="shared" si="3"/>
        <v>0</v>
      </c>
      <c r="S59" s="112"/>
      <c r="T59" s="112">
        <f t="shared" si="4"/>
        <v>0</v>
      </c>
      <c r="U59" s="112"/>
      <c r="V59" s="112">
        <f t="shared" si="5"/>
        <v>0</v>
      </c>
      <c r="W59" s="112"/>
      <c r="X59" s="112">
        <f t="shared" si="6"/>
        <v>0</v>
      </c>
      <c r="Y59" s="99">
        <f t="shared" si="7"/>
        <v>0</v>
      </c>
      <c r="Z59" s="275">
        <f t="shared" si="7"/>
        <v>0</v>
      </c>
      <c r="AA59" s="111">
        <v>0.01</v>
      </c>
      <c r="AB59" s="112">
        <f t="shared" si="8"/>
        <v>0.26240724612727273</v>
      </c>
      <c r="AC59" s="180">
        <v>0.01</v>
      </c>
      <c r="AD59" s="180">
        <f t="shared" si="9"/>
        <v>0.26240724612727273</v>
      </c>
      <c r="AE59" s="180">
        <v>0.01</v>
      </c>
      <c r="AF59" s="180">
        <f t="shared" si="10"/>
        <v>0.26240724612727273</v>
      </c>
      <c r="AG59" s="112">
        <v>0.01</v>
      </c>
      <c r="AH59" s="112">
        <f t="shared" si="11"/>
        <v>0.26240724612727273</v>
      </c>
      <c r="AI59" s="112">
        <v>0.01</v>
      </c>
      <c r="AJ59" s="112">
        <f t="shared" si="12"/>
        <v>0.26240724612727273</v>
      </c>
      <c r="AK59" s="99">
        <f t="shared" si="13"/>
        <v>0.05</v>
      </c>
      <c r="AL59" s="100">
        <f t="shared" si="13"/>
        <v>1.3120362306363638</v>
      </c>
      <c r="AM59" s="277"/>
      <c r="AN59" s="112">
        <f t="shared" si="14"/>
        <v>0</v>
      </c>
      <c r="AO59" s="99">
        <f t="shared" si="18"/>
        <v>0</v>
      </c>
      <c r="AP59" s="276">
        <f t="shared" si="15"/>
        <v>0</v>
      </c>
      <c r="AQ59" s="103">
        <f t="shared" si="20"/>
        <v>0.1</v>
      </c>
      <c r="AR59" s="104">
        <f t="shared" si="20"/>
        <v>4.283536230636364</v>
      </c>
      <c r="AS59" s="56" t="s">
        <v>155</v>
      </c>
      <c r="AT59" s="56">
        <f t="shared" si="19"/>
        <v>0</v>
      </c>
    </row>
    <row r="60" spans="1:46" ht="15" customHeight="1" x14ac:dyDescent="0.45">
      <c r="A60" s="73"/>
      <c r="B60" s="106" t="s">
        <v>262</v>
      </c>
      <c r="C60" s="107">
        <v>47</v>
      </c>
      <c r="D60" s="172" t="s">
        <v>263</v>
      </c>
      <c r="E60" s="173" t="s">
        <v>264</v>
      </c>
      <c r="F60" s="174" t="s">
        <v>203</v>
      </c>
      <c r="G60" s="93"/>
      <c r="H60" s="94">
        <f t="shared" si="16"/>
        <v>0</v>
      </c>
      <c r="I60" s="94"/>
      <c r="J60" s="94">
        <f t="shared" si="16"/>
        <v>0</v>
      </c>
      <c r="K60" s="80">
        <f t="shared" si="17"/>
        <v>0</v>
      </c>
      <c r="L60" s="270">
        <f t="shared" si="17"/>
        <v>0</v>
      </c>
      <c r="M60" s="112">
        <v>0.01</v>
      </c>
      <c r="N60" s="112">
        <f t="shared" si="1"/>
        <v>0.26240724612727279</v>
      </c>
      <c r="O60" s="112">
        <v>0.01</v>
      </c>
      <c r="P60" s="112">
        <f t="shared" si="2"/>
        <v>0.26240724612727279</v>
      </c>
      <c r="Q60" s="112">
        <v>0.01</v>
      </c>
      <c r="R60" s="112">
        <f t="shared" si="3"/>
        <v>0.26240724612727279</v>
      </c>
      <c r="S60" s="112">
        <v>0.01</v>
      </c>
      <c r="T60" s="112">
        <f t="shared" si="4"/>
        <v>0.26240724612727279</v>
      </c>
      <c r="U60" s="112">
        <v>0.01</v>
      </c>
      <c r="V60" s="112">
        <f t="shared" si="5"/>
        <v>0.26240724612727279</v>
      </c>
      <c r="W60" s="112">
        <v>0.01</v>
      </c>
      <c r="X60" s="112">
        <f t="shared" si="6"/>
        <v>0.26240724612727279</v>
      </c>
      <c r="Y60" s="99">
        <f t="shared" si="7"/>
        <v>6.0000000000000005E-2</v>
      </c>
      <c r="Z60" s="275">
        <f t="shared" si="7"/>
        <v>1.5744434767636368</v>
      </c>
      <c r="AA60" s="111"/>
      <c r="AB60" s="112">
        <f t="shared" si="8"/>
        <v>0</v>
      </c>
      <c r="AC60" s="112"/>
      <c r="AD60" s="112">
        <f t="shared" si="9"/>
        <v>0</v>
      </c>
      <c r="AE60" s="112"/>
      <c r="AF60" s="112">
        <f t="shared" si="10"/>
        <v>0</v>
      </c>
      <c r="AG60" s="112"/>
      <c r="AH60" s="112">
        <f t="shared" si="11"/>
        <v>0</v>
      </c>
      <c r="AI60" s="112"/>
      <c r="AJ60" s="112">
        <f t="shared" si="12"/>
        <v>0</v>
      </c>
      <c r="AK60" s="99">
        <f t="shared" si="13"/>
        <v>0</v>
      </c>
      <c r="AL60" s="100">
        <f t="shared" si="13"/>
        <v>0</v>
      </c>
      <c r="AM60" s="277"/>
      <c r="AN60" s="112">
        <f t="shared" si="14"/>
        <v>0</v>
      </c>
      <c r="AO60" s="99">
        <f t="shared" si="18"/>
        <v>0</v>
      </c>
      <c r="AP60" s="276">
        <f t="shared" si="15"/>
        <v>0</v>
      </c>
      <c r="AQ60" s="103">
        <f t="shared" si="20"/>
        <v>6.0000000000000005E-2</v>
      </c>
      <c r="AR60" s="104">
        <f t="shared" si="20"/>
        <v>1.5744434767636368</v>
      </c>
      <c r="AS60" s="56" t="s">
        <v>155</v>
      </c>
      <c r="AT60" s="56">
        <f t="shared" si="19"/>
        <v>0</v>
      </c>
    </row>
    <row r="61" spans="1:46" ht="15" customHeight="1" x14ac:dyDescent="0.45">
      <c r="A61" s="73"/>
      <c r="B61" s="90"/>
      <c r="C61" s="107">
        <v>48</v>
      </c>
      <c r="D61" s="172" t="s">
        <v>223</v>
      </c>
      <c r="E61" s="173" t="s">
        <v>265</v>
      </c>
      <c r="F61" s="174" t="s">
        <v>203</v>
      </c>
      <c r="G61" s="93"/>
      <c r="H61" s="94">
        <f t="shared" si="16"/>
        <v>0</v>
      </c>
      <c r="I61" s="94"/>
      <c r="J61" s="94">
        <f t="shared" si="16"/>
        <v>0</v>
      </c>
      <c r="K61" s="80">
        <f t="shared" si="17"/>
        <v>0</v>
      </c>
      <c r="L61" s="270">
        <f t="shared" si="17"/>
        <v>0</v>
      </c>
      <c r="M61" s="112">
        <v>0.01</v>
      </c>
      <c r="N61" s="112">
        <f t="shared" si="1"/>
        <v>0.26240724612727279</v>
      </c>
      <c r="O61" s="112">
        <v>0.03</v>
      </c>
      <c r="P61" s="112">
        <f t="shared" si="2"/>
        <v>0.7872217383818183</v>
      </c>
      <c r="Q61" s="112">
        <v>0.02</v>
      </c>
      <c r="R61" s="112">
        <f t="shared" si="3"/>
        <v>0.52481449225454557</v>
      </c>
      <c r="S61" s="112">
        <v>0.02</v>
      </c>
      <c r="T61" s="112">
        <f t="shared" si="4"/>
        <v>0.52481449225454557</v>
      </c>
      <c r="U61" s="112">
        <v>0.02</v>
      </c>
      <c r="V61" s="112">
        <f t="shared" si="5"/>
        <v>0.52481449225454557</v>
      </c>
      <c r="W61" s="112">
        <v>0.02</v>
      </c>
      <c r="X61" s="112">
        <f t="shared" si="6"/>
        <v>0.52481449225454557</v>
      </c>
      <c r="Y61" s="99">
        <f t="shared" si="7"/>
        <v>0.12000000000000001</v>
      </c>
      <c r="Z61" s="275">
        <f t="shared" si="7"/>
        <v>3.1488869535272737</v>
      </c>
      <c r="AA61" s="111"/>
      <c r="AB61" s="112">
        <f t="shared" si="8"/>
        <v>0</v>
      </c>
      <c r="AC61" s="112"/>
      <c r="AD61" s="112">
        <f t="shared" si="9"/>
        <v>0</v>
      </c>
      <c r="AE61" s="112"/>
      <c r="AF61" s="112">
        <f t="shared" si="10"/>
        <v>0</v>
      </c>
      <c r="AG61" s="112"/>
      <c r="AH61" s="112">
        <f t="shared" si="11"/>
        <v>0</v>
      </c>
      <c r="AI61" s="112"/>
      <c r="AJ61" s="112">
        <f t="shared" si="12"/>
        <v>0</v>
      </c>
      <c r="AK61" s="99">
        <f t="shared" si="13"/>
        <v>0</v>
      </c>
      <c r="AL61" s="100">
        <f t="shared" si="13"/>
        <v>0</v>
      </c>
      <c r="AM61" s="277"/>
      <c r="AN61" s="112">
        <f t="shared" si="14"/>
        <v>0</v>
      </c>
      <c r="AO61" s="99">
        <f t="shared" si="18"/>
        <v>0</v>
      </c>
      <c r="AP61" s="276">
        <f t="shared" si="15"/>
        <v>0</v>
      </c>
      <c r="AQ61" s="103">
        <f t="shared" si="20"/>
        <v>0.12000000000000001</v>
      </c>
      <c r="AR61" s="104">
        <f t="shared" si="20"/>
        <v>3.1488869535272737</v>
      </c>
      <c r="AS61" s="56" t="s">
        <v>155</v>
      </c>
      <c r="AT61" s="56">
        <f t="shared" si="19"/>
        <v>0</v>
      </c>
    </row>
    <row r="62" spans="1:46" ht="15" customHeight="1" thickBot="1" x14ac:dyDescent="0.5">
      <c r="A62" s="73"/>
      <c r="B62" s="90"/>
      <c r="C62" s="114">
        <v>49</v>
      </c>
      <c r="D62" s="181" t="s">
        <v>266</v>
      </c>
      <c r="E62" s="182" t="s">
        <v>267</v>
      </c>
      <c r="F62" s="183" t="s">
        <v>203</v>
      </c>
      <c r="G62" s="93"/>
      <c r="H62" s="94">
        <f t="shared" si="16"/>
        <v>0</v>
      </c>
      <c r="I62" s="94">
        <v>0.05</v>
      </c>
      <c r="J62" s="94">
        <f t="shared" si="16"/>
        <v>2.9715000000000003</v>
      </c>
      <c r="K62" s="80">
        <f t="shared" si="17"/>
        <v>0.05</v>
      </c>
      <c r="L62" s="270">
        <f t="shared" si="17"/>
        <v>2.9715000000000003</v>
      </c>
      <c r="M62" s="112">
        <v>0.01</v>
      </c>
      <c r="N62" s="112">
        <f t="shared" si="1"/>
        <v>0.26240724612727279</v>
      </c>
      <c r="O62" s="112">
        <v>0.03</v>
      </c>
      <c r="P62" s="112">
        <f t="shared" si="2"/>
        <v>0.7872217383818183</v>
      </c>
      <c r="Q62" s="112">
        <v>0.03</v>
      </c>
      <c r="R62" s="112">
        <f t="shared" si="3"/>
        <v>0.7872217383818183</v>
      </c>
      <c r="S62" s="112">
        <v>0.01</v>
      </c>
      <c r="T62" s="112">
        <f t="shared" si="4"/>
        <v>0.26240724612727279</v>
      </c>
      <c r="U62" s="112">
        <v>0.01</v>
      </c>
      <c r="V62" s="112">
        <f t="shared" si="5"/>
        <v>0.26240724612727279</v>
      </c>
      <c r="W62" s="112">
        <v>0.01</v>
      </c>
      <c r="X62" s="112">
        <f t="shared" si="6"/>
        <v>0.26240724612727279</v>
      </c>
      <c r="Y62" s="99">
        <f t="shared" si="7"/>
        <v>9.9999999999999992E-2</v>
      </c>
      <c r="Z62" s="275">
        <f t="shared" si="7"/>
        <v>2.624072461272728</v>
      </c>
      <c r="AA62" s="111">
        <v>0.01</v>
      </c>
      <c r="AB62" s="112">
        <f t="shared" si="8"/>
        <v>0.26240724612727273</v>
      </c>
      <c r="AC62" s="180">
        <v>0.01</v>
      </c>
      <c r="AD62" s="180">
        <f t="shared" si="9"/>
        <v>0.26240724612727273</v>
      </c>
      <c r="AE62" s="180">
        <v>0.01</v>
      </c>
      <c r="AF62" s="180">
        <f t="shared" si="10"/>
        <v>0.26240724612727273</v>
      </c>
      <c r="AG62" s="112">
        <v>0.01</v>
      </c>
      <c r="AH62" s="112">
        <f t="shared" si="11"/>
        <v>0.26240724612727273</v>
      </c>
      <c r="AI62" s="112">
        <v>0.01</v>
      </c>
      <c r="AJ62" s="112">
        <f t="shared" si="12"/>
        <v>0.26240724612727273</v>
      </c>
      <c r="AK62" s="99">
        <f t="shared" si="13"/>
        <v>0.05</v>
      </c>
      <c r="AL62" s="100">
        <f t="shared" si="13"/>
        <v>1.3120362306363638</v>
      </c>
      <c r="AM62" s="277"/>
      <c r="AN62" s="112">
        <f t="shared" si="14"/>
        <v>0</v>
      </c>
      <c r="AO62" s="99">
        <f t="shared" si="18"/>
        <v>0</v>
      </c>
      <c r="AP62" s="276">
        <f t="shared" si="15"/>
        <v>0</v>
      </c>
      <c r="AQ62" s="103">
        <f t="shared" si="20"/>
        <v>0.2</v>
      </c>
      <c r="AR62" s="104">
        <f t="shared" si="20"/>
        <v>6.9076086919090915</v>
      </c>
      <c r="AS62" s="56" t="s">
        <v>155</v>
      </c>
      <c r="AT62" s="56">
        <f t="shared" si="19"/>
        <v>0</v>
      </c>
    </row>
    <row r="63" spans="1:46" ht="15" customHeight="1" thickTop="1" x14ac:dyDescent="0.45">
      <c r="A63" s="131" t="s">
        <v>268</v>
      </c>
      <c r="B63" s="132" t="s">
        <v>269</v>
      </c>
      <c r="C63" s="184">
        <v>50</v>
      </c>
      <c r="D63" s="134" t="s">
        <v>270</v>
      </c>
      <c r="E63" s="135" t="s">
        <v>271</v>
      </c>
      <c r="F63" s="136" t="s">
        <v>203</v>
      </c>
      <c r="G63" s="93"/>
      <c r="H63" s="94">
        <f t="shared" si="16"/>
        <v>0</v>
      </c>
      <c r="I63" s="94"/>
      <c r="J63" s="94">
        <f t="shared" si="16"/>
        <v>0</v>
      </c>
      <c r="K63" s="80">
        <f t="shared" si="17"/>
        <v>0</v>
      </c>
      <c r="L63" s="270">
        <f t="shared" si="17"/>
        <v>0</v>
      </c>
      <c r="M63" s="112">
        <v>0.01</v>
      </c>
      <c r="N63" s="112">
        <f t="shared" si="1"/>
        <v>0.26240724612727279</v>
      </c>
      <c r="O63" s="112">
        <v>0.01</v>
      </c>
      <c r="P63" s="112">
        <f t="shared" si="2"/>
        <v>0.26240724612727279</v>
      </c>
      <c r="Q63" s="112">
        <v>0.01</v>
      </c>
      <c r="R63" s="112">
        <f t="shared" si="3"/>
        <v>0.26240724612727279</v>
      </c>
      <c r="S63" s="112">
        <v>0.01</v>
      </c>
      <c r="T63" s="112">
        <f t="shared" si="4"/>
        <v>0.26240724612727279</v>
      </c>
      <c r="U63" s="112">
        <v>0.01</v>
      </c>
      <c r="V63" s="112">
        <f t="shared" si="5"/>
        <v>0.26240724612727279</v>
      </c>
      <c r="W63" s="112">
        <v>0.01</v>
      </c>
      <c r="X63" s="112">
        <f t="shared" si="6"/>
        <v>0.26240724612727279</v>
      </c>
      <c r="Y63" s="99">
        <f t="shared" si="7"/>
        <v>6.0000000000000005E-2</v>
      </c>
      <c r="Z63" s="275">
        <f t="shared" si="7"/>
        <v>1.5744434767636368</v>
      </c>
      <c r="AA63" s="111"/>
      <c r="AB63" s="112">
        <f t="shared" si="8"/>
        <v>0</v>
      </c>
      <c r="AC63" s="112"/>
      <c r="AD63" s="112">
        <f t="shared" si="9"/>
        <v>0</v>
      </c>
      <c r="AE63" s="112"/>
      <c r="AF63" s="112">
        <f t="shared" si="10"/>
        <v>0</v>
      </c>
      <c r="AG63" s="112"/>
      <c r="AH63" s="112">
        <f t="shared" si="11"/>
        <v>0</v>
      </c>
      <c r="AI63" s="112"/>
      <c r="AJ63" s="112">
        <f t="shared" si="12"/>
        <v>0</v>
      </c>
      <c r="AK63" s="99">
        <f t="shared" si="13"/>
        <v>0</v>
      </c>
      <c r="AL63" s="100">
        <f t="shared" si="13"/>
        <v>0</v>
      </c>
      <c r="AM63" s="277"/>
      <c r="AN63" s="112">
        <f t="shared" si="14"/>
        <v>0</v>
      </c>
      <c r="AO63" s="99">
        <f t="shared" si="18"/>
        <v>0</v>
      </c>
      <c r="AP63" s="276">
        <f t="shared" si="15"/>
        <v>0</v>
      </c>
      <c r="AQ63" s="103">
        <f t="shared" si="20"/>
        <v>6.0000000000000005E-2</v>
      </c>
      <c r="AR63" s="104">
        <f t="shared" si="20"/>
        <v>1.5744434767636368</v>
      </c>
      <c r="AS63" s="149" t="s">
        <v>155</v>
      </c>
      <c r="AT63" s="56">
        <f t="shared" si="19"/>
        <v>0</v>
      </c>
    </row>
    <row r="64" spans="1:46" ht="15" customHeight="1" x14ac:dyDescent="0.45">
      <c r="A64" s="73"/>
      <c r="B64" s="90"/>
      <c r="C64" s="107">
        <v>51</v>
      </c>
      <c r="D64" s="172" t="s">
        <v>272</v>
      </c>
      <c r="E64" s="173" t="s">
        <v>273</v>
      </c>
      <c r="F64" s="174" t="s">
        <v>203</v>
      </c>
      <c r="G64" s="93"/>
      <c r="H64" s="94">
        <f t="shared" si="16"/>
        <v>0</v>
      </c>
      <c r="I64" s="94"/>
      <c r="J64" s="94">
        <f t="shared" si="16"/>
        <v>0</v>
      </c>
      <c r="K64" s="80">
        <f t="shared" si="17"/>
        <v>0</v>
      </c>
      <c r="L64" s="270">
        <f t="shared" si="17"/>
        <v>0</v>
      </c>
      <c r="M64" s="112">
        <v>0.01</v>
      </c>
      <c r="N64" s="112">
        <f t="shared" si="1"/>
        <v>0.26240724612727279</v>
      </c>
      <c r="O64" s="112">
        <v>0.01</v>
      </c>
      <c r="P64" s="112">
        <f t="shared" si="2"/>
        <v>0.26240724612727279</v>
      </c>
      <c r="Q64" s="112">
        <v>0.01</v>
      </c>
      <c r="R64" s="112">
        <f t="shared" si="3"/>
        <v>0.26240724612727279</v>
      </c>
      <c r="S64" s="112">
        <v>0.01</v>
      </c>
      <c r="T64" s="112">
        <f t="shared" si="4"/>
        <v>0.26240724612727279</v>
      </c>
      <c r="U64" s="112">
        <v>0.01</v>
      </c>
      <c r="V64" s="112">
        <f t="shared" si="5"/>
        <v>0.26240724612727279</v>
      </c>
      <c r="W64" s="112">
        <v>0.01</v>
      </c>
      <c r="X64" s="112">
        <f t="shared" si="6"/>
        <v>0.26240724612727279</v>
      </c>
      <c r="Y64" s="99">
        <f t="shared" si="7"/>
        <v>6.0000000000000005E-2</v>
      </c>
      <c r="Z64" s="275">
        <f t="shared" si="7"/>
        <v>1.5744434767636368</v>
      </c>
      <c r="AA64" s="111">
        <v>0.01</v>
      </c>
      <c r="AB64" s="112">
        <f t="shared" si="8"/>
        <v>0.26240724612727273</v>
      </c>
      <c r="AC64" s="180">
        <v>0.01</v>
      </c>
      <c r="AD64" s="180">
        <f t="shared" si="9"/>
        <v>0.26240724612727273</v>
      </c>
      <c r="AE64" s="180">
        <v>0.01</v>
      </c>
      <c r="AF64" s="180">
        <f t="shared" si="10"/>
        <v>0.26240724612727273</v>
      </c>
      <c r="AG64" s="112">
        <v>0.01</v>
      </c>
      <c r="AH64" s="112">
        <f t="shared" si="11"/>
        <v>0.26240724612727273</v>
      </c>
      <c r="AI64" s="112">
        <v>0.01</v>
      </c>
      <c r="AJ64" s="112">
        <f t="shared" si="12"/>
        <v>0.26240724612727273</v>
      </c>
      <c r="AK64" s="99">
        <f t="shared" si="13"/>
        <v>0.05</v>
      </c>
      <c r="AL64" s="100">
        <f t="shared" si="13"/>
        <v>1.3120362306363638</v>
      </c>
      <c r="AM64" s="277"/>
      <c r="AN64" s="112">
        <f t="shared" si="14"/>
        <v>0</v>
      </c>
      <c r="AO64" s="99">
        <f t="shared" si="18"/>
        <v>0</v>
      </c>
      <c r="AP64" s="276">
        <f t="shared" si="15"/>
        <v>0</v>
      </c>
      <c r="AQ64" s="103">
        <f t="shared" si="20"/>
        <v>0.11000000000000001</v>
      </c>
      <c r="AR64" s="104">
        <f t="shared" si="20"/>
        <v>2.8864797074000004</v>
      </c>
      <c r="AS64" s="56" t="s">
        <v>155</v>
      </c>
      <c r="AT64" s="56">
        <f t="shared" si="19"/>
        <v>0</v>
      </c>
    </row>
    <row r="65" spans="1:46" ht="15" customHeight="1" x14ac:dyDescent="0.45">
      <c r="A65" s="73"/>
      <c r="B65" s="90"/>
      <c r="C65" s="175">
        <v>52</v>
      </c>
      <c r="D65" s="172" t="s">
        <v>274</v>
      </c>
      <c r="E65" s="173" t="s">
        <v>275</v>
      </c>
      <c r="F65" s="110" t="s">
        <v>177</v>
      </c>
      <c r="G65" s="93"/>
      <c r="H65" s="94">
        <f t="shared" si="16"/>
        <v>0</v>
      </c>
      <c r="I65" s="94">
        <v>0.08</v>
      </c>
      <c r="J65" s="94">
        <f t="shared" si="16"/>
        <v>4.7544000000000004</v>
      </c>
      <c r="K65" s="80">
        <f t="shared" si="17"/>
        <v>0.08</v>
      </c>
      <c r="L65" s="270">
        <f t="shared" si="17"/>
        <v>4.7544000000000004</v>
      </c>
      <c r="M65" s="112">
        <v>0.01</v>
      </c>
      <c r="N65" s="112">
        <f t="shared" si="1"/>
        <v>0.26240724612727279</v>
      </c>
      <c r="O65" s="112">
        <v>0.01</v>
      </c>
      <c r="P65" s="112">
        <f t="shared" si="2"/>
        <v>0.26240724612727279</v>
      </c>
      <c r="Q65" s="112">
        <v>0.02</v>
      </c>
      <c r="R65" s="112">
        <f t="shared" si="3"/>
        <v>0.52481449225454557</v>
      </c>
      <c r="S65" s="112">
        <v>0.02</v>
      </c>
      <c r="T65" s="112">
        <f t="shared" si="4"/>
        <v>0.52481449225454557</v>
      </c>
      <c r="U65" s="112">
        <v>0.01</v>
      </c>
      <c r="V65" s="112">
        <f t="shared" si="5"/>
        <v>0.26240724612727279</v>
      </c>
      <c r="W65" s="112">
        <v>0.01</v>
      </c>
      <c r="X65" s="112">
        <f t="shared" si="6"/>
        <v>0.26240724612727279</v>
      </c>
      <c r="Y65" s="99">
        <f t="shared" si="7"/>
        <v>7.9999999999999988E-2</v>
      </c>
      <c r="Z65" s="275">
        <f t="shared" si="7"/>
        <v>2.0992579690181823</v>
      </c>
      <c r="AA65" s="111">
        <v>0.02</v>
      </c>
      <c r="AB65" s="112">
        <f t="shared" si="8"/>
        <v>0.52481449225454546</v>
      </c>
      <c r="AC65" s="180">
        <v>0.02</v>
      </c>
      <c r="AD65" s="180">
        <f t="shared" si="9"/>
        <v>0.52481449225454546</v>
      </c>
      <c r="AE65" s="180">
        <v>0.02</v>
      </c>
      <c r="AF65" s="180">
        <f t="shared" si="10"/>
        <v>0.52481449225454546</v>
      </c>
      <c r="AG65" s="112">
        <v>0.02</v>
      </c>
      <c r="AH65" s="112">
        <f t="shared" si="11"/>
        <v>0.52481449225454546</v>
      </c>
      <c r="AI65" s="112">
        <v>0.02</v>
      </c>
      <c r="AJ65" s="112">
        <f t="shared" si="12"/>
        <v>0.52481449225454546</v>
      </c>
      <c r="AK65" s="99">
        <f t="shared" si="13"/>
        <v>0.1</v>
      </c>
      <c r="AL65" s="100">
        <f t="shared" si="13"/>
        <v>2.6240724612727275</v>
      </c>
      <c r="AM65" s="277"/>
      <c r="AN65" s="112">
        <f t="shared" si="14"/>
        <v>0</v>
      </c>
      <c r="AO65" s="99">
        <f t="shared" si="18"/>
        <v>0</v>
      </c>
      <c r="AP65" s="276">
        <f t="shared" si="15"/>
        <v>0</v>
      </c>
      <c r="AQ65" s="103">
        <f t="shared" si="20"/>
        <v>0.26</v>
      </c>
      <c r="AR65" s="104">
        <f t="shared" si="20"/>
        <v>9.4777304302909116</v>
      </c>
      <c r="AS65" s="56" t="s">
        <v>155</v>
      </c>
      <c r="AT65" s="56">
        <f t="shared" si="19"/>
        <v>0</v>
      </c>
    </row>
    <row r="66" spans="1:46" ht="15" customHeight="1" x14ac:dyDescent="0.45">
      <c r="A66" s="73"/>
      <c r="B66" s="113" t="s">
        <v>234</v>
      </c>
      <c r="C66" s="107">
        <v>53</v>
      </c>
      <c r="D66" s="172" t="s">
        <v>276</v>
      </c>
      <c r="E66" s="173" t="s">
        <v>277</v>
      </c>
      <c r="F66" s="110" t="s">
        <v>187</v>
      </c>
      <c r="G66" s="93"/>
      <c r="H66" s="94">
        <f t="shared" si="16"/>
        <v>0</v>
      </c>
      <c r="I66" s="94"/>
      <c r="J66" s="94">
        <f t="shared" si="16"/>
        <v>0</v>
      </c>
      <c r="K66" s="80">
        <f t="shared" si="17"/>
        <v>0</v>
      </c>
      <c r="L66" s="270">
        <f t="shared" si="17"/>
        <v>0</v>
      </c>
      <c r="M66" s="112">
        <v>0.01</v>
      </c>
      <c r="N66" s="112">
        <f t="shared" si="1"/>
        <v>0.26240724612727279</v>
      </c>
      <c r="O66" s="112">
        <v>0.01</v>
      </c>
      <c r="P66" s="112">
        <f t="shared" si="2"/>
        <v>0.26240724612727279</v>
      </c>
      <c r="Q66" s="112">
        <v>0.01</v>
      </c>
      <c r="R66" s="112">
        <f t="shared" si="3"/>
        <v>0.26240724612727279</v>
      </c>
      <c r="S66" s="112">
        <v>0.01</v>
      </c>
      <c r="T66" s="112">
        <f t="shared" si="4"/>
        <v>0.26240724612727279</v>
      </c>
      <c r="U66" s="112">
        <v>0.01</v>
      </c>
      <c r="V66" s="112">
        <f t="shared" si="5"/>
        <v>0.26240724612727279</v>
      </c>
      <c r="W66" s="112">
        <v>0.01</v>
      </c>
      <c r="X66" s="112">
        <f t="shared" si="6"/>
        <v>0.26240724612727279</v>
      </c>
      <c r="Y66" s="99">
        <f t="shared" si="7"/>
        <v>6.0000000000000005E-2</v>
      </c>
      <c r="Z66" s="275">
        <f t="shared" si="7"/>
        <v>1.5744434767636368</v>
      </c>
      <c r="AA66" s="111"/>
      <c r="AB66" s="112">
        <f t="shared" si="8"/>
        <v>0</v>
      </c>
      <c r="AC66" s="112"/>
      <c r="AD66" s="112">
        <f t="shared" si="9"/>
        <v>0</v>
      </c>
      <c r="AE66" s="112"/>
      <c r="AF66" s="112">
        <f t="shared" si="10"/>
        <v>0</v>
      </c>
      <c r="AG66" s="112"/>
      <c r="AH66" s="112">
        <f t="shared" si="11"/>
        <v>0</v>
      </c>
      <c r="AI66" s="112"/>
      <c r="AJ66" s="112">
        <f t="shared" si="12"/>
        <v>0</v>
      </c>
      <c r="AK66" s="99">
        <f t="shared" si="13"/>
        <v>0</v>
      </c>
      <c r="AL66" s="100">
        <f t="shared" si="13"/>
        <v>0</v>
      </c>
      <c r="AM66" s="277"/>
      <c r="AN66" s="112">
        <f t="shared" si="14"/>
        <v>0</v>
      </c>
      <c r="AO66" s="99">
        <f t="shared" si="18"/>
        <v>0</v>
      </c>
      <c r="AP66" s="276">
        <f t="shared" si="15"/>
        <v>0</v>
      </c>
      <c r="AQ66" s="103">
        <f t="shared" si="20"/>
        <v>6.0000000000000005E-2</v>
      </c>
      <c r="AR66" s="104">
        <f t="shared" si="20"/>
        <v>1.5744434767636368</v>
      </c>
      <c r="AS66" s="56" t="s">
        <v>155</v>
      </c>
      <c r="AT66" s="56">
        <f t="shared" si="19"/>
        <v>0</v>
      </c>
    </row>
    <row r="67" spans="1:46" ht="15" customHeight="1" x14ac:dyDescent="0.45">
      <c r="A67" s="73"/>
      <c r="B67" s="185" t="s">
        <v>278</v>
      </c>
      <c r="C67" s="107">
        <v>54</v>
      </c>
      <c r="D67" s="172" t="s">
        <v>279</v>
      </c>
      <c r="E67" s="173" t="s">
        <v>280</v>
      </c>
      <c r="F67" s="110" t="s">
        <v>187</v>
      </c>
      <c r="G67" s="93"/>
      <c r="H67" s="94">
        <f t="shared" si="16"/>
        <v>0</v>
      </c>
      <c r="I67" s="94"/>
      <c r="J67" s="94">
        <f t="shared" si="16"/>
        <v>0</v>
      </c>
      <c r="K67" s="80">
        <f t="shared" si="17"/>
        <v>0</v>
      </c>
      <c r="L67" s="270">
        <f t="shared" si="17"/>
        <v>0</v>
      </c>
      <c r="M67" s="112">
        <v>0.01</v>
      </c>
      <c r="N67" s="112">
        <f t="shared" si="1"/>
        <v>0.26240724612727279</v>
      </c>
      <c r="O67" s="112">
        <v>0.01</v>
      </c>
      <c r="P67" s="112">
        <f t="shared" si="2"/>
        <v>0.26240724612727279</v>
      </c>
      <c r="Q67" s="112">
        <v>0.01</v>
      </c>
      <c r="R67" s="112">
        <f t="shared" si="3"/>
        <v>0.26240724612727279</v>
      </c>
      <c r="S67" s="112">
        <v>0.01</v>
      </c>
      <c r="T67" s="112">
        <f t="shared" si="4"/>
        <v>0.26240724612727279</v>
      </c>
      <c r="U67" s="112">
        <v>0.01</v>
      </c>
      <c r="V67" s="112">
        <f t="shared" si="5"/>
        <v>0.26240724612727279</v>
      </c>
      <c r="W67" s="112">
        <v>0.01</v>
      </c>
      <c r="X67" s="112">
        <f t="shared" si="6"/>
        <v>0.26240724612727279</v>
      </c>
      <c r="Y67" s="99">
        <f t="shared" si="7"/>
        <v>6.0000000000000005E-2</v>
      </c>
      <c r="Z67" s="275">
        <f t="shared" si="7"/>
        <v>1.5744434767636368</v>
      </c>
      <c r="AA67" s="111"/>
      <c r="AB67" s="112">
        <f t="shared" si="8"/>
        <v>0</v>
      </c>
      <c r="AC67" s="112"/>
      <c r="AD67" s="112">
        <f t="shared" si="9"/>
        <v>0</v>
      </c>
      <c r="AE67" s="112"/>
      <c r="AF67" s="112">
        <f t="shared" si="10"/>
        <v>0</v>
      </c>
      <c r="AG67" s="112"/>
      <c r="AH67" s="112">
        <f t="shared" si="11"/>
        <v>0</v>
      </c>
      <c r="AI67" s="112"/>
      <c r="AJ67" s="112">
        <f t="shared" si="12"/>
        <v>0</v>
      </c>
      <c r="AK67" s="99">
        <f t="shared" si="13"/>
        <v>0</v>
      </c>
      <c r="AL67" s="100">
        <f t="shared" si="13"/>
        <v>0</v>
      </c>
      <c r="AM67" s="277"/>
      <c r="AN67" s="112">
        <f t="shared" si="14"/>
        <v>0</v>
      </c>
      <c r="AO67" s="99">
        <f t="shared" si="18"/>
        <v>0</v>
      </c>
      <c r="AP67" s="276">
        <f t="shared" si="15"/>
        <v>0</v>
      </c>
      <c r="AQ67" s="103">
        <f t="shared" si="20"/>
        <v>6.0000000000000005E-2</v>
      </c>
      <c r="AR67" s="104">
        <f t="shared" si="20"/>
        <v>1.5744434767636368</v>
      </c>
      <c r="AS67" s="56" t="s">
        <v>155</v>
      </c>
      <c r="AT67" s="56">
        <f t="shared" si="19"/>
        <v>0</v>
      </c>
    </row>
    <row r="68" spans="1:46" ht="15" customHeight="1" x14ac:dyDescent="0.45">
      <c r="A68" s="73"/>
      <c r="B68" s="90"/>
      <c r="C68" s="114">
        <v>55</v>
      </c>
      <c r="D68" s="172" t="s">
        <v>281</v>
      </c>
      <c r="E68" s="173" t="s">
        <v>282</v>
      </c>
      <c r="F68" s="110" t="s">
        <v>162</v>
      </c>
      <c r="G68" s="93"/>
      <c r="H68" s="94">
        <f t="shared" si="16"/>
        <v>0</v>
      </c>
      <c r="I68" s="94">
        <v>0.01</v>
      </c>
      <c r="J68" s="94">
        <f t="shared" si="16"/>
        <v>0.59430000000000005</v>
      </c>
      <c r="K68" s="80">
        <f t="shared" si="17"/>
        <v>0.01</v>
      </c>
      <c r="L68" s="270">
        <f t="shared" si="17"/>
        <v>0.59430000000000005</v>
      </c>
      <c r="M68" s="112">
        <v>0.01</v>
      </c>
      <c r="N68" s="112">
        <f t="shared" si="1"/>
        <v>0.26240724612727279</v>
      </c>
      <c r="O68" s="112">
        <v>0.01</v>
      </c>
      <c r="P68" s="112">
        <f t="shared" si="2"/>
        <v>0.26240724612727279</v>
      </c>
      <c r="Q68" s="112">
        <v>0.01</v>
      </c>
      <c r="R68" s="112">
        <f t="shared" si="3"/>
        <v>0.26240724612727279</v>
      </c>
      <c r="S68" s="112">
        <v>0.01</v>
      </c>
      <c r="T68" s="112">
        <f t="shared" si="4"/>
        <v>0.26240724612727279</v>
      </c>
      <c r="U68" s="112"/>
      <c r="V68" s="112">
        <f t="shared" si="5"/>
        <v>0</v>
      </c>
      <c r="W68" s="112"/>
      <c r="X68" s="112">
        <f t="shared" si="6"/>
        <v>0</v>
      </c>
      <c r="Y68" s="99">
        <f t="shared" si="7"/>
        <v>0.04</v>
      </c>
      <c r="Z68" s="275">
        <f t="shared" si="7"/>
        <v>1.0496289845090911</v>
      </c>
      <c r="AA68" s="111">
        <v>0.01</v>
      </c>
      <c r="AB68" s="112">
        <f t="shared" si="8"/>
        <v>0.26240724612727273</v>
      </c>
      <c r="AC68" s="180">
        <v>0.01</v>
      </c>
      <c r="AD68" s="180">
        <f t="shared" si="9"/>
        <v>0.26240724612727273</v>
      </c>
      <c r="AE68" s="180">
        <v>0.01</v>
      </c>
      <c r="AF68" s="180">
        <f t="shared" si="10"/>
        <v>0.26240724612727273</v>
      </c>
      <c r="AG68" s="112">
        <v>0.01</v>
      </c>
      <c r="AH68" s="112">
        <f t="shared" si="11"/>
        <v>0.26240724612727273</v>
      </c>
      <c r="AI68" s="112">
        <v>0.01</v>
      </c>
      <c r="AJ68" s="112">
        <f t="shared" si="12"/>
        <v>0.26240724612727273</v>
      </c>
      <c r="AK68" s="99">
        <f t="shared" si="13"/>
        <v>0.05</v>
      </c>
      <c r="AL68" s="100">
        <f t="shared" si="13"/>
        <v>1.3120362306363638</v>
      </c>
      <c r="AM68" s="277"/>
      <c r="AN68" s="112">
        <f t="shared" si="14"/>
        <v>0</v>
      </c>
      <c r="AO68" s="99">
        <f t="shared" si="18"/>
        <v>0</v>
      </c>
      <c r="AP68" s="276">
        <f t="shared" si="15"/>
        <v>0</v>
      </c>
      <c r="AQ68" s="103">
        <f t="shared" si="20"/>
        <v>0.1</v>
      </c>
      <c r="AR68" s="104">
        <f t="shared" si="20"/>
        <v>2.9559652151454552</v>
      </c>
      <c r="AS68" s="56" t="s">
        <v>155</v>
      </c>
      <c r="AT68" s="56">
        <f t="shared" si="19"/>
        <v>0</v>
      </c>
    </row>
    <row r="69" spans="1:46" ht="15" customHeight="1" x14ac:dyDescent="0.45">
      <c r="A69" s="73"/>
      <c r="B69" s="90"/>
      <c r="C69" s="175">
        <v>56</v>
      </c>
      <c r="D69" s="172" t="s">
        <v>283</v>
      </c>
      <c r="E69" s="173" t="s">
        <v>284</v>
      </c>
      <c r="F69" s="110" t="s">
        <v>162</v>
      </c>
      <c r="G69" s="93"/>
      <c r="H69" s="94">
        <f t="shared" si="16"/>
        <v>0</v>
      </c>
      <c r="I69" s="94">
        <v>0.01</v>
      </c>
      <c r="J69" s="94">
        <f t="shared" si="16"/>
        <v>0.59430000000000005</v>
      </c>
      <c r="K69" s="80">
        <f t="shared" si="17"/>
        <v>0.01</v>
      </c>
      <c r="L69" s="270">
        <f t="shared" si="17"/>
        <v>0.59430000000000005</v>
      </c>
      <c r="M69" s="112">
        <v>0.01</v>
      </c>
      <c r="N69" s="112">
        <f t="shared" si="1"/>
        <v>0.26240724612727279</v>
      </c>
      <c r="O69" s="112">
        <v>0.01</v>
      </c>
      <c r="P69" s="112">
        <f t="shared" si="2"/>
        <v>0.26240724612727279</v>
      </c>
      <c r="Q69" s="112">
        <v>0.01</v>
      </c>
      <c r="R69" s="112">
        <f t="shared" si="3"/>
        <v>0.26240724612727279</v>
      </c>
      <c r="S69" s="112">
        <v>0.01</v>
      </c>
      <c r="T69" s="112">
        <f t="shared" si="4"/>
        <v>0.26240724612727279</v>
      </c>
      <c r="U69" s="112"/>
      <c r="V69" s="112">
        <f t="shared" si="5"/>
        <v>0</v>
      </c>
      <c r="W69" s="112"/>
      <c r="X69" s="112">
        <f t="shared" si="6"/>
        <v>0</v>
      </c>
      <c r="Y69" s="99">
        <f t="shared" si="7"/>
        <v>0.04</v>
      </c>
      <c r="Z69" s="275">
        <f t="shared" si="7"/>
        <v>1.0496289845090911</v>
      </c>
      <c r="AA69" s="111">
        <v>0.01</v>
      </c>
      <c r="AB69" s="112">
        <f t="shared" si="8"/>
        <v>0.26240724612727273</v>
      </c>
      <c r="AC69" s="180">
        <v>0.01</v>
      </c>
      <c r="AD69" s="180">
        <f t="shared" si="9"/>
        <v>0.26240724612727273</v>
      </c>
      <c r="AE69" s="180">
        <v>0.01</v>
      </c>
      <c r="AF69" s="180">
        <f t="shared" si="10"/>
        <v>0.26240724612727273</v>
      </c>
      <c r="AG69" s="112">
        <v>0.01</v>
      </c>
      <c r="AH69" s="112">
        <f t="shared" si="11"/>
        <v>0.26240724612727273</v>
      </c>
      <c r="AI69" s="112">
        <v>0.01</v>
      </c>
      <c r="AJ69" s="112">
        <f t="shared" si="12"/>
        <v>0.26240724612727273</v>
      </c>
      <c r="AK69" s="99">
        <f t="shared" si="13"/>
        <v>0.05</v>
      </c>
      <c r="AL69" s="100">
        <f t="shared" si="13"/>
        <v>1.3120362306363638</v>
      </c>
      <c r="AM69" s="277"/>
      <c r="AN69" s="112">
        <f t="shared" si="14"/>
        <v>0</v>
      </c>
      <c r="AO69" s="99">
        <f t="shared" si="18"/>
        <v>0</v>
      </c>
      <c r="AP69" s="276">
        <f t="shared" si="15"/>
        <v>0</v>
      </c>
      <c r="AQ69" s="103">
        <f t="shared" si="20"/>
        <v>0.1</v>
      </c>
      <c r="AR69" s="104">
        <f t="shared" si="20"/>
        <v>2.9559652151454552</v>
      </c>
      <c r="AS69" s="56" t="s">
        <v>155</v>
      </c>
      <c r="AT69" s="56">
        <f t="shared" si="19"/>
        <v>0</v>
      </c>
    </row>
    <row r="70" spans="1:46" ht="15" customHeight="1" x14ac:dyDescent="0.45">
      <c r="A70" s="73"/>
      <c r="B70" s="113" t="s">
        <v>285</v>
      </c>
      <c r="C70" s="107">
        <v>57</v>
      </c>
      <c r="D70" s="172" t="s">
        <v>286</v>
      </c>
      <c r="E70" s="173" t="s">
        <v>287</v>
      </c>
      <c r="F70" s="174" t="s">
        <v>203</v>
      </c>
      <c r="G70" s="93"/>
      <c r="H70" s="94">
        <f t="shared" si="16"/>
        <v>0</v>
      </c>
      <c r="I70" s="94">
        <v>0.1</v>
      </c>
      <c r="J70" s="94">
        <f t="shared" si="16"/>
        <v>5.9430000000000005</v>
      </c>
      <c r="K70" s="80">
        <f t="shared" si="17"/>
        <v>0.1</v>
      </c>
      <c r="L70" s="270">
        <f t="shared" si="17"/>
        <v>5.9430000000000005</v>
      </c>
      <c r="M70" s="112">
        <v>0.01</v>
      </c>
      <c r="N70" s="112">
        <f t="shared" si="1"/>
        <v>0.26240724612727279</v>
      </c>
      <c r="O70" s="112">
        <v>0.01</v>
      </c>
      <c r="P70" s="112">
        <f t="shared" si="2"/>
        <v>0.26240724612727279</v>
      </c>
      <c r="Q70" s="112">
        <v>0.01</v>
      </c>
      <c r="R70" s="112">
        <f t="shared" si="3"/>
        <v>0.26240724612727279</v>
      </c>
      <c r="S70" s="112">
        <v>0.02</v>
      </c>
      <c r="T70" s="112">
        <f t="shared" si="4"/>
        <v>0.52481449225454557</v>
      </c>
      <c r="U70" s="112">
        <v>0.01</v>
      </c>
      <c r="V70" s="112">
        <f t="shared" si="5"/>
        <v>0.26240724612727279</v>
      </c>
      <c r="W70" s="112">
        <v>0.01</v>
      </c>
      <c r="X70" s="112">
        <f t="shared" si="6"/>
        <v>0.26240724612727279</v>
      </c>
      <c r="Y70" s="99">
        <f t="shared" si="7"/>
        <v>7.0000000000000007E-2</v>
      </c>
      <c r="Z70" s="275">
        <f t="shared" si="7"/>
        <v>1.8368507228909094</v>
      </c>
      <c r="AA70" s="111">
        <v>0.01</v>
      </c>
      <c r="AB70" s="112">
        <f t="shared" si="8"/>
        <v>0.26240724612727273</v>
      </c>
      <c r="AC70" s="180">
        <v>0.01</v>
      </c>
      <c r="AD70" s="180">
        <f t="shared" si="9"/>
        <v>0.26240724612727273</v>
      </c>
      <c r="AE70" s="180">
        <v>0.01</v>
      </c>
      <c r="AF70" s="180">
        <f t="shared" si="10"/>
        <v>0.26240724612727273</v>
      </c>
      <c r="AG70" s="112">
        <v>0.01</v>
      </c>
      <c r="AH70" s="112">
        <f t="shared" si="11"/>
        <v>0.26240724612727273</v>
      </c>
      <c r="AI70" s="112">
        <v>0.01</v>
      </c>
      <c r="AJ70" s="112">
        <f t="shared" si="12"/>
        <v>0.26240724612727273</v>
      </c>
      <c r="AK70" s="99">
        <f t="shared" si="13"/>
        <v>0.05</v>
      </c>
      <c r="AL70" s="100">
        <f t="shared" si="13"/>
        <v>1.3120362306363638</v>
      </c>
      <c r="AM70" s="277"/>
      <c r="AN70" s="112">
        <f t="shared" si="14"/>
        <v>0</v>
      </c>
      <c r="AO70" s="99">
        <f t="shared" si="18"/>
        <v>0</v>
      </c>
      <c r="AP70" s="276">
        <f t="shared" si="15"/>
        <v>0</v>
      </c>
      <c r="AQ70" s="103">
        <f t="shared" si="20"/>
        <v>0.22000000000000003</v>
      </c>
      <c r="AR70" s="104">
        <f t="shared" si="20"/>
        <v>9.0918869535272737</v>
      </c>
      <c r="AS70" s="56" t="s">
        <v>155</v>
      </c>
      <c r="AT70" s="56">
        <f t="shared" si="19"/>
        <v>0</v>
      </c>
    </row>
    <row r="71" spans="1:46" ht="15" customHeight="1" x14ac:dyDescent="0.45">
      <c r="A71" s="73"/>
      <c r="B71" s="90"/>
      <c r="C71" s="114">
        <v>58</v>
      </c>
      <c r="D71" s="172" t="s">
        <v>223</v>
      </c>
      <c r="E71" s="173" t="s">
        <v>224</v>
      </c>
      <c r="F71" s="174" t="s">
        <v>203</v>
      </c>
      <c r="G71" s="93"/>
      <c r="H71" s="94">
        <f t="shared" si="16"/>
        <v>0</v>
      </c>
      <c r="I71" s="94"/>
      <c r="J71" s="94">
        <f t="shared" si="16"/>
        <v>0</v>
      </c>
      <c r="K71" s="80">
        <f t="shared" si="17"/>
        <v>0</v>
      </c>
      <c r="L71" s="270">
        <f t="shared" si="17"/>
        <v>0</v>
      </c>
      <c r="M71" s="112">
        <v>0.01</v>
      </c>
      <c r="N71" s="112">
        <f t="shared" si="1"/>
        <v>0.26240724612727279</v>
      </c>
      <c r="O71" s="112">
        <v>0.01</v>
      </c>
      <c r="P71" s="112">
        <f t="shared" si="2"/>
        <v>0.26240724612727279</v>
      </c>
      <c r="Q71" s="112">
        <v>0.01</v>
      </c>
      <c r="R71" s="112">
        <f t="shared" si="3"/>
        <v>0.26240724612727279</v>
      </c>
      <c r="S71" s="112">
        <v>0.02</v>
      </c>
      <c r="T71" s="112">
        <f t="shared" si="4"/>
        <v>0.52481449225454557</v>
      </c>
      <c r="U71" s="112">
        <v>0.01</v>
      </c>
      <c r="V71" s="112">
        <f t="shared" si="5"/>
        <v>0.26240724612727279</v>
      </c>
      <c r="W71" s="112">
        <v>0.01</v>
      </c>
      <c r="X71" s="112">
        <f t="shared" si="6"/>
        <v>0.26240724612727279</v>
      </c>
      <c r="Y71" s="99">
        <f t="shared" si="7"/>
        <v>7.0000000000000007E-2</v>
      </c>
      <c r="Z71" s="275">
        <f t="shared" si="7"/>
        <v>1.8368507228909094</v>
      </c>
      <c r="AA71" s="111"/>
      <c r="AB71" s="112">
        <f t="shared" si="8"/>
        <v>0</v>
      </c>
      <c r="AC71" s="112"/>
      <c r="AD71" s="112">
        <f t="shared" si="9"/>
        <v>0</v>
      </c>
      <c r="AE71" s="112"/>
      <c r="AF71" s="112">
        <f t="shared" si="10"/>
        <v>0</v>
      </c>
      <c r="AG71" s="112"/>
      <c r="AH71" s="112">
        <f t="shared" si="11"/>
        <v>0</v>
      </c>
      <c r="AI71" s="112"/>
      <c r="AJ71" s="112">
        <f t="shared" si="12"/>
        <v>0</v>
      </c>
      <c r="AK71" s="99">
        <f t="shared" si="13"/>
        <v>0</v>
      </c>
      <c r="AL71" s="100">
        <f t="shared" si="13"/>
        <v>0</v>
      </c>
      <c r="AM71" s="277"/>
      <c r="AN71" s="112">
        <f t="shared" si="14"/>
        <v>0</v>
      </c>
      <c r="AO71" s="99">
        <f t="shared" si="18"/>
        <v>0</v>
      </c>
      <c r="AP71" s="276">
        <f t="shared" si="15"/>
        <v>0</v>
      </c>
      <c r="AQ71" s="103">
        <f t="shared" si="20"/>
        <v>7.0000000000000007E-2</v>
      </c>
      <c r="AR71" s="104">
        <f t="shared" si="20"/>
        <v>1.8368507228909094</v>
      </c>
      <c r="AS71" s="56" t="s">
        <v>190</v>
      </c>
      <c r="AT71" s="56">
        <f t="shared" si="19"/>
        <v>1.8368507228909094</v>
      </c>
    </row>
    <row r="72" spans="1:46" ht="15" customHeight="1" x14ac:dyDescent="0.45">
      <c r="A72" s="73"/>
      <c r="B72" s="90"/>
      <c r="C72" s="114">
        <v>59</v>
      </c>
      <c r="D72" s="172" t="s">
        <v>288</v>
      </c>
      <c r="E72" s="173" t="s">
        <v>289</v>
      </c>
      <c r="F72" s="174" t="s">
        <v>203</v>
      </c>
      <c r="G72" s="93"/>
      <c r="H72" s="94">
        <f t="shared" si="16"/>
        <v>0</v>
      </c>
      <c r="I72" s="94">
        <v>0.01</v>
      </c>
      <c r="J72" s="94">
        <f t="shared" si="16"/>
        <v>0.59430000000000005</v>
      </c>
      <c r="K72" s="80">
        <f t="shared" si="17"/>
        <v>0.01</v>
      </c>
      <c r="L72" s="270">
        <f t="shared" si="17"/>
        <v>0.59430000000000005</v>
      </c>
      <c r="M72" s="112"/>
      <c r="N72" s="112">
        <f t="shared" si="1"/>
        <v>0</v>
      </c>
      <c r="O72" s="112"/>
      <c r="P72" s="112">
        <f t="shared" si="2"/>
        <v>0</v>
      </c>
      <c r="Q72" s="112"/>
      <c r="R72" s="112">
        <f t="shared" si="3"/>
        <v>0</v>
      </c>
      <c r="S72" s="112"/>
      <c r="T72" s="112">
        <f t="shared" si="4"/>
        <v>0</v>
      </c>
      <c r="U72" s="112"/>
      <c r="V72" s="112">
        <f t="shared" si="5"/>
        <v>0</v>
      </c>
      <c r="W72" s="112"/>
      <c r="X72" s="112">
        <f t="shared" si="6"/>
        <v>0</v>
      </c>
      <c r="Y72" s="99">
        <f t="shared" si="7"/>
        <v>0</v>
      </c>
      <c r="Z72" s="275">
        <f t="shared" si="7"/>
        <v>0</v>
      </c>
      <c r="AA72" s="111">
        <v>0.2</v>
      </c>
      <c r="AB72" s="112">
        <f t="shared" si="8"/>
        <v>5.2481449225454551</v>
      </c>
      <c r="AC72" s="180">
        <v>0.2</v>
      </c>
      <c r="AD72" s="180">
        <f t="shared" si="9"/>
        <v>5.2481449225454551</v>
      </c>
      <c r="AE72" s="180">
        <v>0.2</v>
      </c>
      <c r="AF72" s="180">
        <f t="shared" si="10"/>
        <v>5.2481449225454551</v>
      </c>
      <c r="AG72" s="112">
        <v>0.2</v>
      </c>
      <c r="AH72" s="112">
        <f t="shared" si="11"/>
        <v>5.2481449225454551</v>
      </c>
      <c r="AI72" s="112">
        <v>0.2</v>
      </c>
      <c r="AJ72" s="112">
        <f t="shared" si="12"/>
        <v>5.2481449225454551</v>
      </c>
      <c r="AK72" s="99">
        <f t="shared" si="13"/>
        <v>1</v>
      </c>
      <c r="AL72" s="100">
        <f t="shared" si="13"/>
        <v>26.240724612727277</v>
      </c>
      <c r="AM72" s="277"/>
      <c r="AN72" s="112">
        <f t="shared" si="14"/>
        <v>0</v>
      </c>
      <c r="AO72" s="99">
        <f t="shared" si="18"/>
        <v>0</v>
      </c>
      <c r="AP72" s="276">
        <f t="shared" si="15"/>
        <v>0</v>
      </c>
      <c r="AQ72" s="103">
        <f t="shared" si="20"/>
        <v>1.01</v>
      </c>
      <c r="AR72" s="104">
        <f t="shared" si="20"/>
        <v>26.835024612727278</v>
      </c>
      <c r="AS72" s="56" t="s">
        <v>155</v>
      </c>
      <c r="AT72" s="56">
        <f t="shared" si="19"/>
        <v>0</v>
      </c>
    </row>
    <row r="73" spans="1:46" ht="15" customHeight="1" x14ac:dyDescent="0.45">
      <c r="A73" s="73"/>
      <c r="B73" s="90"/>
      <c r="C73" s="107">
        <v>60</v>
      </c>
      <c r="D73" s="172" t="s">
        <v>290</v>
      </c>
      <c r="E73" s="173" t="s">
        <v>289</v>
      </c>
      <c r="F73" s="174" t="s">
        <v>291</v>
      </c>
      <c r="G73" s="93"/>
      <c r="H73" s="94">
        <f t="shared" si="16"/>
        <v>0</v>
      </c>
      <c r="I73" s="94">
        <v>0.01</v>
      </c>
      <c r="J73" s="94">
        <f t="shared" si="16"/>
        <v>0.59430000000000005</v>
      </c>
      <c r="K73" s="80">
        <f t="shared" si="17"/>
        <v>0.01</v>
      </c>
      <c r="L73" s="270">
        <f t="shared" si="17"/>
        <v>0.59430000000000005</v>
      </c>
      <c r="M73" s="112"/>
      <c r="N73" s="112">
        <f t="shared" si="1"/>
        <v>0</v>
      </c>
      <c r="O73" s="112"/>
      <c r="P73" s="112">
        <f t="shared" si="2"/>
        <v>0</v>
      </c>
      <c r="Q73" s="112"/>
      <c r="R73" s="112">
        <f t="shared" si="3"/>
        <v>0</v>
      </c>
      <c r="S73" s="112"/>
      <c r="T73" s="112">
        <f t="shared" si="4"/>
        <v>0</v>
      </c>
      <c r="U73" s="112"/>
      <c r="V73" s="112">
        <f t="shared" si="5"/>
        <v>0</v>
      </c>
      <c r="W73" s="112"/>
      <c r="X73" s="112">
        <f t="shared" si="6"/>
        <v>0</v>
      </c>
      <c r="Y73" s="99">
        <f t="shared" si="7"/>
        <v>0</v>
      </c>
      <c r="Z73" s="275">
        <f t="shared" si="7"/>
        <v>0</v>
      </c>
      <c r="AA73" s="111">
        <v>0.01</v>
      </c>
      <c r="AB73" s="112">
        <f t="shared" si="8"/>
        <v>0.26240724612727273</v>
      </c>
      <c r="AC73" s="180">
        <v>0.01</v>
      </c>
      <c r="AD73" s="180">
        <f t="shared" si="9"/>
        <v>0.26240724612727273</v>
      </c>
      <c r="AE73" s="180">
        <v>0.01</v>
      </c>
      <c r="AF73" s="180">
        <f t="shared" si="10"/>
        <v>0.26240724612727273</v>
      </c>
      <c r="AG73" s="112">
        <v>0.01</v>
      </c>
      <c r="AH73" s="112">
        <f t="shared" si="11"/>
        <v>0.26240724612727273</v>
      </c>
      <c r="AI73" s="112">
        <v>0.01</v>
      </c>
      <c r="AJ73" s="112">
        <f t="shared" si="12"/>
        <v>0.26240724612727273</v>
      </c>
      <c r="AK73" s="99">
        <f t="shared" si="13"/>
        <v>0.05</v>
      </c>
      <c r="AL73" s="100">
        <f t="shared" si="13"/>
        <v>1.3120362306363638</v>
      </c>
      <c r="AM73" s="277"/>
      <c r="AN73" s="112">
        <f t="shared" si="14"/>
        <v>0</v>
      </c>
      <c r="AO73" s="99">
        <f t="shared" si="18"/>
        <v>0</v>
      </c>
      <c r="AP73" s="276">
        <f t="shared" si="15"/>
        <v>0</v>
      </c>
      <c r="AQ73" s="103">
        <f t="shared" si="20"/>
        <v>6.0000000000000005E-2</v>
      </c>
      <c r="AR73" s="104">
        <f t="shared" si="20"/>
        <v>1.9063362306363638</v>
      </c>
      <c r="AS73" s="56" t="s">
        <v>155</v>
      </c>
      <c r="AT73" s="56">
        <f t="shared" si="19"/>
        <v>0</v>
      </c>
    </row>
    <row r="74" spans="1:46" ht="15" customHeight="1" x14ac:dyDescent="0.45">
      <c r="A74" s="73"/>
      <c r="B74" s="90"/>
      <c r="C74" s="114">
        <v>61</v>
      </c>
      <c r="D74" s="172" t="s">
        <v>292</v>
      </c>
      <c r="E74" s="173" t="s">
        <v>293</v>
      </c>
      <c r="F74" s="174" t="s">
        <v>203</v>
      </c>
      <c r="G74" s="93">
        <v>0.03</v>
      </c>
      <c r="H74" s="94">
        <f t="shared" si="16"/>
        <v>1.7828999999999999</v>
      </c>
      <c r="I74" s="94">
        <v>0.01</v>
      </c>
      <c r="J74" s="94">
        <f t="shared" si="16"/>
        <v>0.59430000000000005</v>
      </c>
      <c r="K74" s="80">
        <f t="shared" si="17"/>
        <v>0.04</v>
      </c>
      <c r="L74" s="270">
        <f t="shared" si="17"/>
        <v>2.3772000000000002</v>
      </c>
      <c r="M74" s="112">
        <v>0.01</v>
      </c>
      <c r="N74" s="112">
        <f t="shared" si="1"/>
        <v>0.26240724612727279</v>
      </c>
      <c r="O74" s="112">
        <v>0.01</v>
      </c>
      <c r="P74" s="112">
        <f t="shared" si="2"/>
        <v>0.26240724612727279</v>
      </c>
      <c r="Q74" s="112">
        <v>0.01</v>
      </c>
      <c r="R74" s="112">
        <f t="shared" si="3"/>
        <v>0.26240724612727279</v>
      </c>
      <c r="S74" s="112">
        <v>0.01</v>
      </c>
      <c r="T74" s="112">
        <f t="shared" si="4"/>
        <v>0.26240724612727279</v>
      </c>
      <c r="U74" s="112">
        <v>0.01</v>
      </c>
      <c r="V74" s="112">
        <f t="shared" si="5"/>
        <v>0.26240724612727279</v>
      </c>
      <c r="W74" s="112">
        <v>0.01</v>
      </c>
      <c r="X74" s="112">
        <f t="shared" si="6"/>
        <v>0.26240724612727279</v>
      </c>
      <c r="Y74" s="99">
        <f t="shared" si="7"/>
        <v>6.0000000000000005E-2</v>
      </c>
      <c r="Z74" s="275">
        <f t="shared" si="7"/>
        <v>1.5744434767636368</v>
      </c>
      <c r="AA74" s="111">
        <v>0.01</v>
      </c>
      <c r="AB74" s="112">
        <f t="shared" si="8"/>
        <v>0.26240724612727273</v>
      </c>
      <c r="AC74" s="180">
        <v>0.01</v>
      </c>
      <c r="AD74" s="180">
        <f t="shared" si="9"/>
        <v>0.26240724612727273</v>
      </c>
      <c r="AE74" s="180">
        <v>0.01</v>
      </c>
      <c r="AF74" s="180">
        <f t="shared" si="10"/>
        <v>0.26240724612727273</v>
      </c>
      <c r="AG74" s="112">
        <v>0.01</v>
      </c>
      <c r="AH74" s="112">
        <f t="shared" si="11"/>
        <v>0.26240724612727273</v>
      </c>
      <c r="AI74" s="112">
        <v>0.01</v>
      </c>
      <c r="AJ74" s="112">
        <f t="shared" si="12"/>
        <v>0.26240724612727273</v>
      </c>
      <c r="AK74" s="99">
        <f t="shared" si="13"/>
        <v>0.05</v>
      </c>
      <c r="AL74" s="100">
        <f t="shared" si="13"/>
        <v>1.3120362306363638</v>
      </c>
      <c r="AM74" s="277"/>
      <c r="AN74" s="112">
        <f t="shared" si="14"/>
        <v>0</v>
      </c>
      <c r="AO74" s="99">
        <f t="shared" si="18"/>
        <v>0</v>
      </c>
      <c r="AP74" s="276">
        <f t="shared" si="15"/>
        <v>0</v>
      </c>
      <c r="AQ74" s="103">
        <f t="shared" si="20"/>
        <v>0.15000000000000002</v>
      </c>
      <c r="AR74" s="104">
        <f t="shared" si="20"/>
        <v>5.2636797074000015</v>
      </c>
      <c r="AS74" s="56" t="s">
        <v>155</v>
      </c>
      <c r="AT74" s="56">
        <f t="shared" si="19"/>
        <v>0</v>
      </c>
    </row>
    <row r="75" spans="1:46" ht="15" customHeight="1" x14ac:dyDescent="0.45">
      <c r="A75" s="73"/>
      <c r="B75" s="90"/>
      <c r="C75" s="114">
        <v>62</v>
      </c>
      <c r="D75" s="172" t="s">
        <v>294</v>
      </c>
      <c r="E75" s="173" t="s">
        <v>295</v>
      </c>
      <c r="F75" s="110" t="s">
        <v>177</v>
      </c>
      <c r="G75" s="93"/>
      <c r="H75" s="94">
        <f t="shared" si="16"/>
        <v>0</v>
      </c>
      <c r="I75" s="94">
        <v>0.05</v>
      </c>
      <c r="J75" s="94">
        <f t="shared" si="16"/>
        <v>2.9715000000000003</v>
      </c>
      <c r="K75" s="80">
        <f t="shared" si="17"/>
        <v>0.05</v>
      </c>
      <c r="L75" s="270">
        <f t="shared" si="17"/>
        <v>2.9715000000000003</v>
      </c>
      <c r="M75" s="112">
        <v>0.01</v>
      </c>
      <c r="N75" s="112">
        <f t="shared" si="1"/>
        <v>0.26240724612727279</v>
      </c>
      <c r="O75" s="112">
        <v>0.01</v>
      </c>
      <c r="P75" s="112">
        <f t="shared" si="2"/>
        <v>0.26240724612727279</v>
      </c>
      <c r="Q75" s="112">
        <v>0.01</v>
      </c>
      <c r="R75" s="112">
        <f t="shared" si="3"/>
        <v>0.26240724612727279</v>
      </c>
      <c r="S75" s="112">
        <v>0.01</v>
      </c>
      <c r="T75" s="112">
        <f t="shared" si="4"/>
        <v>0.26240724612727279</v>
      </c>
      <c r="U75" s="112">
        <v>0.01</v>
      </c>
      <c r="V75" s="112">
        <f t="shared" si="5"/>
        <v>0.26240724612727279</v>
      </c>
      <c r="W75" s="112">
        <v>0.01</v>
      </c>
      <c r="X75" s="112">
        <f t="shared" si="6"/>
        <v>0.26240724612727279</v>
      </c>
      <c r="Y75" s="99">
        <f t="shared" si="7"/>
        <v>6.0000000000000005E-2</v>
      </c>
      <c r="Z75" s="275">
        <f t="shared" si="7"/>
        <v>1.5744434767636368</v>
      </c>
      <c r="AA75" s="111">
        <v>0.06</v>
      </c>
      <c r="AB75" s="112">
        <f t="shared" si="8"/>
        <v>1.5744434767636364</v>
      </c>
      <c r="AC75" s="180">
        <v>0.06</v>
      </c>
      <c r="AD75" s="180">
        <f t="shared" si="9"/>
        <v>1.5744434767636364</v>
      </c>
      <c r="AE75" s="180">
        <v>0.06</v>
      </c>
      <c r="AF75" s="180">
        <f t="shared" si="10"/>
        <v>1.5744434767636364</v>
      </c>
      <c r="AG75" s="112">
        <v>0.06</v>
      </c>
      <c r="AH75" s="112">
        <f t="shared" si="11"/>
        <v>1.5744434767636364</v>
      </c>
      <c r="AI75" s="112">
        <v>0.06</v>
      </c>
      <c r="AJ75" s="112">
        <f t="shared" si="12"/>
        <v>1.5744434767636364</v>
      </c>
      <c r="AK75" s="99">
        <f t="shared" si="13"/>
        <v>0.3</v>
      </c>
      <c r="AL75" s="100">
        <f t="shared" si="13"/>
        <v>7.8722173838181817</v>
      </c>
      <c r="AM75" s="277"/>
      <c r="AN75" s="112">
        <f t="shared" si="14"/>
        <v>0</v>
      </c>
      <c r="AO75" s="99">
        <f t="shared" si="18"/>
        <v>0</v>
      </c>
      <c r="AP75" s="276">
        <f t="shared" si="15"/>
        <v>0</v>
      </c>
      <c r="AQ75" s="103">
        <f t="shared" si="20"/>
        <v>0.41000000000000003</v>
      </c>
      <c r="AR75" s="104">
        <f t="shared" si="20"/>
        <v>12.418160860581818</v>
      </c>
      <c r="AS75" s="56" t="s">
        <v>155</v>
      </c>
      <c r="AT75" s="56">
        <f t="shared" si="19"/>
        <v>0</v>
      </c>
    </row>
    <row r="76" spans="1:46" ht="15" customHeight="1" x14ac:dyDescent="0.45">
      <c r="A76" s="73"/>
      <c r="B76" s="90"/>
      <c r="C76" s="107">
        <v>63</v>
      </c>
      <c r="D76" s="172" t="s">
        <v>296</v>
      </c>
      <c r="E76" s="173" t="s">
        <v>297</v>
      </c>
      <c r="F76" s="110" t="s">
        <v>187</v>
      </c>
      <c r="G76" s="93"/>
      <c r="H76" s="94">
        <f t="shared" si="16"/>
        <v>0</v>
      </c>
      <c r="I76" s="94">
        <v>0.01</v>
      </c>
      <c r="J76" s="94">
        <f t="shared" si="16"/>
        <v>0.59430000000000005</v>
      </c>
      <c r="K76" s="80">
        <f t="shared" si="17"/>
        <v>0.01</v>
      </c>
      <c r="L76" s="270">
        <f t="shared" si="17"/>
        <v>0.59430000000000005</v>
      </c>
      <c r="M76" s="112">
        <v>0.01</v>
      </c>
      <c r="N76" s="112">
        <f t="shared" si="1"/>
        <v>0.26240724612727279</v>
      </c>
      <c r="O76" s="112">
        <v>0.01</v>
      </c>
      <c r="P76" s="112">
        <f t="shared" si="2"/>
        <v>0.26240724612727279</v>
      </c>
      <c r="Q76" s="112">
        <v>0.01</v>
      </c>
      <c r="R76" s="112">
        <f t="shared" si="3"/>
        <v>0.26240724612727279</v>
      </c>
      <c r="S76" s="112">
        <v>0.01</v>
      </c>
      <c r="T76" s="112">
        <f t="shared" si="4"/>
        <v>0.26240724612727279</v>
      </c>
      <c r="U76" s="112">
        <v>0.01</v>
      </c>
      <c r="V76" s="112">
        <f t="shared" si="5"/>
        <v>0.26240724612727279</v>
      </c>
      <c r="W76" s="112">
        <v>0.01</v>
      </c>
      <c r="X76" s="112">
        <f t="shared" si="6"/>
        <v>0.26240724612727279</v>
      </c>
      <c r="Y76" s="99">
        <f t="shared" si="7"/>
        <v>6.0000000000000005E-2</v>
      </c>
      <c r="Z76" s="275">
        <f t="shared" si="7"/>
        <v>1.5744434767636368</v>
      </c>
      <c r="AA76" s="111">
        <v>0.01</v>
      </c>
      <c r="AB76" s="112">
        <f t="shared" si="8"/>
        <v>0.26240724612727273</v>
      </c>
      <c r="AC76" s="180">
        <v>0.01</v>
      </c>
      <c r="AD76" s="180">
        <f t="shared" si="9"/>
        <v>0.26240724612727273</v>
      </c>
      <c r="AE76" s="180">
        <v>0.01</v>
      </c>
      <c r="AF76" s="180">
        <f t="shared" si="10"/>
        <v>0.26240724612727273</v>
      </c>
      <c r="AG76" s="112">
        <v>0.01</v>
      </c>
      <c r="AH76" s="112">
        <f t="shared" si="11"/>
        <v>0.26240724612727273</v>
      </c>
      <c r="AI76" s="112">
        <v>0.01</v>
      </c>
      <c r="AJ76" s="112">
        <f t="shared" si="12"/>
        <v>0.26240724612727273</v>
      </c>
      <c r="AK76" s="99">
        <f t="shared" si="13"/>
        <v>0.05</v>
      </c>
      <c r="AL76" s="100">
        <f t="shared" si="13"/>
        <v>1.3120362306363638</v>
      </c>
      <c r="AM76" s="277"/>
      <c r="AN76" s="112">
        <f t="shared" si="14"/>
        <v>0</v>
      </c>
      <c r="AO76" s="99">
        <f t="shared" si="18"/>
        <v>0</v>
      </c>
      <c r="AP76" s="276">
        <f t="shared" si="15"/>
        <v>0</v>
      </c>
      <c r="AQ76" s="103">
        <f t="shared" si="20"/>
        <v>0.12000000000000001</v>
      </c>
      <c r="AR76" s="104">
        <f t="shared" si="20"/>
        <v>3.4807797074000004</v>
      </c>
      <c r="AS76" s="56" t="s">
        <v>155</v>
      </c>
      <c r="AT76" s="56">
        <f t="shared" si="19"/>
        <v>0</v>
      </c>
    </row>
    <row r="77" spans="1:46" ht="15" customHeight="1" x14ac:dyDescent="0.45">
      <c r="A77" s="73"/>
      <c r="B77" s="90"/>
      <c r="C77" s="175">
        <v>64</v>
      </c>
      <c r="D77" s="172" t="s">
        <v>298</v>
      </c>
      <c r="E77" s="173" t="s">
        <v>299</v>
      </c>
      <c r="F77" s="174" t="s">
        <v>203</v>
      </c>
      <c r="G77" s="93"/>
      <c r="H77" s="94">
        <f t="shared" si="16"/>
        <v>0</v>
      </c>
      <c r="I77" s="94">
        <v>0.03</v>
      </c>
      <c r="J77" s="94">
        <f t="shared" si="16"/>
        <v>1.7828999999999999</v>
      </c>
      <c r="K77" s="80">
        <f t="shared" si="17"/>
        <v>0.03</v>
      </c>
      <c r="L77" s="270">
        <f t="shared" si="17"/>
        <v>1.7828999999999999</v>
      </c>
      <c r="M77" s="112">
        <v>0.01</v>
      </c>
      <c r="N77" s="112">
        <f t="shared" si="1"/>
        <v>0.26240724612727279</v>
      </c>
      <c r="O77" s="112">
        <v>0.01</v>
      </c>
      <c r="P77" s="112">
        <f t="shared" si="2"/>
        <v>0.26240724612727279</v>
      </c>
      <c r="Q77" s="112">
        <v>0.01</v>
      </c>
      <c r="R77" s="112">
        <f t="shared" si="3"/>
        <v>0.26240724612727279</v>
      </c>
      <c r="S77" s="112">
        <v>0.01</v>
      </c>
      <c r="T77" s="112">
        <f t="shared" si="4"/>
        <v>0.26240724612727279</v>
      </c>
      <c r="U77" s="112">
        <v>0.01</v>
      </c>
      <c r="V77" s="112">
        <f t="shared" si="5"/>
        <v>0.26240724612727279</v>
      </c>
      <c r="W77" s="112">
        <v>0.01</v>
      </c>
      <c r="X77" s="112">
        <f t="shared" si="6"/>
        <v>0.26240724612727279</v>
      </c>
      <c r="Y77" s="99">
        <f t="shared" si="7"/>
        <v>6.0000000000000005E-2</v>
      </c>
      <c r="Z77" s="275">
        <f t="shared" si="7"/>
        <v>1.5744434767636368</v>
      </c>
      <c r="AA77" s="111">
        <v>0.01</v>
      </c>
      <c r="AB77" s="112">
        <f t="shared" si="8"/>
        <v>0.26240724612727273</v>
      </c>
      <c r="AC77" s="180">
        <v>0.01</v>
      </c>
      <c r="AD77" s="180">
        <f t="shared" si="9"/>
        <v>0.26240724612727273</v>
      </c>
      <c r="AE77" s="180">
        <v>0.01</v>
      </c>
      <c r="AF77" s="180">
        <f t="shared" si="10"/>
        <v>0.26240724612727273</v>
      </c>
      <c r="AG77" s="112">
        <v>0.01</v>
      </c>
      <c r="AH77" s="112">
        <f t="shared" si="11"/>
        <v>0.26240724612727273</v>
      </c>
      <c r="AI77" s="112">
        <v>0.01</v>
      </c>
      <c r="AJ77" s="112">
        <f t="shared" si="12"/>
        <v>0.26240724612727273</v>
      </c>
      <c r="AK77" s="99">
        <f t="shared" si="13"/>
        <v>0.05</v>
      </c>
      <c r="AL77" s="100">
        <f t="shared" si="13"/>
        <v>1.3120362306363638</v>
      </c>
      <c r="AM77" s="277"/>
      <c r="AN77" s="112">
        <f t="shared" si="14"/>
        <v>0</v>
      </c>
      <c r="AO77" s="99">
        <f t="shared" si="18"/>
        <v>0</v>
      </c>
      <c r="AP77" s="276">
        <f t="shared" si="15"/>
        <v>0</v>
      </c>
      <c r="AQ77" s="103">
        <f t="shared" ref="AQ77:AR113" si="21">K77+Y77+AK77+AO77</f>
        <v>0.14000000000000001</v>
      </c>
      <c r="AR77" s="104">
        <f t="shared" si="21"/>
        <v>4.669379707400001</v>
      </c>
      <c r="AS77" s="56" t="s">
        <v>155</v>
      </c>
      <c r="AT77" s="56">
        <f t="shared" si="19"/>
        <v>0</v>
      </c>
    </row>
    <row r="78" spans="1:46" ht="15" customHeight="1" x14ac:dyDescent="0.45">
      <c r="A78" s="73"/>
      <c r="B78" s="106" t="s">
        <v>300</v>
      </c>
      <c r="C78" s="107">
        <v>65</v>
      </c>
      <c r="D78" s="172" t="s">
        <v>301</v>
      </c>
      <c r="E78" s="173" t="s">
        <v>302</v>
      </c>
      <c r="F78" s="110" t="s">
        <v>177</v>
      </c>
      <c r="G78" s="93"/>
      <c r="H78" s="94">
        <f t="shared" si="16"/>
        <v>0</v>
      </c>
      <c r="I78" s="94">
        <v>0.05</v>
      </c>
      <c r="J78" s="94">
        <f t="shared" si="16"/>
        <v>2.9715000000000003</v>
      </c>
      <c r="K78" s="80">
        <f t="shared" si="17"/>
        <v>0.05</v>
      </c>
      <c r="L78" s="270">
        <f t="shared" si="17"/>
        <v>2.9715000000000003</v>
      </c>
      <c r="M78" s="112"/>
      <c r="N78" s="112">
        <f t="shared" ref="N78:N113" si="22">N$13/M$13*M78</f>
        <v>0</v>
      </c>
      <c r="O78" s="112"/>
      <c r="P78" s="112">
        <f t="shared" ref="P78:P113" si="23">P$13/O$13*O78</f>
        <v>0</v>
      </c>
      <c r="Q78" s="112"/>
      <c r="R78" s="112">
        <f t="shared" ref="R78:R113" si="24">R$13/Q$13*Q78</f>
        <v>0</v>
      </c>
      <c r="S78" s="112"/>
      <c r="T78" s="112">
        <f t="shared" ref="T78:T113" si="25">T$13/S$13*S78</f>
        <v>0</v>
      </c>
      <c r="U78" s="112"/>
      <c r="V78" s="112">
        <f t="shared" ref="V78:V113" si="26">V$13/U$13*U78</f>
        <v>0</v>
      </c>
      <c r="W78" s="112"/>
      <c r="X78" s="112">
        <f t="shared" ref="X78:X113" si="27">X$13/W$13*W78</f>
        <v>0</v>
      </c>
      <c r="Y78" s="99">
        <f t="shared" ref="Y78:Z113" si="28">M78+O78+Q78+S78+U78+W78</f>
        <v>0</v>
      </c>
      <c r="Z78" s="275">
        <f t="shared" si="28"/>
        <v>0</v>
      </c>
      <c r="AA78" s="111">
        <v>0.03</v>
      </c>
      <c r="AB78" s="112">
        <f t="shared" ref="AB78:AB113" si="29">AB$13/AA$13*AA78</f>
        <v>0.78722173838181819</v>
      </c>
      <c r="AC78" s="180">
        <v>0.03</v>
      </c>
      <c r="AD78" s="180">
        <f t="shared" ref="AD78:AD113" si="30">AD$13/AC$13*AC78</f>
        <v>0.78722173838181819</v>
      </c>
      <c r="AE78" s="180">
        <v>0.03</v>
      </c>
      <c r="AF78" s="180">
        <f t="shared" ref="AF78:AF113" si="31">AF$13/AE$13*AE78</f>
        <v>0.78722173838181819</v>
      </c>
      <c r="AG78" s="112">
        <v>0.03</v>
      </c>
      <c r="AH78" s="112">
        <f t="shared" ref="AH78:AH113" si="32">AH$13/AG$13*AG78</f>
        <v>0.78722173838181819</v>
      </c>
      <c r="AI78" s="112">
        <v>0.03</v>
      </c>
      <c r="AJ78" s="112">
        <f t="shared" ref="AJ78:AJ113" si="33">AJ$13/AI$13*AI78</f>
        <v>0.78722173838181819</v>
      </c>
      <c r="AK78" s="99">
        <f t="shared" ref="AK78:AL113" si="34">AA78+AC78+AE78+AG78+AI78</f>
        <v>0.15</v>
      </c>
      <c r="AL78" s="100">
        <f t="shared" si="34"/>
        <v>3.9361086919090909</v>
      </c>
      <c r="AM78" s="277"/>
      <c r="AN78" s="112">
        <f t="shared" ref="AN78:AN113" si="35">AN$13/AM$13*AM78</f>
        <v>0</v>
      </c>
      <c r="AO78" s="99">
        <f t="shared" si="18"/>
        <v>0</v>
      </c>
      <c r="AP78" s="276">
        <f t="shared" si="18"/>
        <v>0</v>
      </c>
      <c r="AQ78" s="103">
        <f t="shared" si="21"/>
        <v>0.2</v>
      </c>
      <c r="AR78" s="104">
        <f t="shared" si="21"/>
        <v>6.9076086919090915</v>
      </c>
      <c r="AS78" s="56" t="s">
        <v>155</v>
      </c>
      <c r="AT78" s="56">
        <f t="shared" si="19"/>
        <v>0</v>
      </c>
    </row>
    <row r="79" spans="1:46" ht="15" customHeight="1" x14ac:dyDescent="0.45">
      <c r="A79" s="73"/>
      <c r="B79" s="90" t="s">
        <v>303</v>
      </c>
      <c r="C79" s="107">
        <v>66</v>
      </c>
      <c r="D79" s="172" t="s">
        <v>304</v>
      </c>
      <c r="E79" s="173" t="s">
        <v>305</v>
      </c>
      <c r="F79" s="174" t="s">
        <v>203</v>
      </c>
      <c r="G79" s="93"/>
      <c r="H79" s="94">
        <f t="shared" ref="H79:J113" si="36">H$13/G$13*G79</f>
        <v>0</v>
      </c>
      <c r="I79" s="94">
        <v>0.02</v>
      </c>
      <c r="J79" s="94">
        <f t="shared" si="36"/>
        <v>1.1886000000000001</v>
      </c>
      <c r="K79" s="80">
        <f t="shared" ref="K79:L114" si="37">G79+I79</f>
        <v>0.02</v>
      </c>
      <c r="L79" s="270">
        <f t="shared" si="37"/>
        <v>1.1886000000000001</v>
      </c>
      <c r="M79" s="112"/>
      <c r="N79" s="112">
        <f t="shared" si="22"/>
        <v>0</v>
      </c>
      <c r="O79" s="112"/>
      <c r="P79" s="112">
        <f t="shared" si="23"/>
        <v>0</v>
      </c>
      <c r="Q79" s="112"/>
      <c r="R79" s="112">
        <f t="shared" si="24"/>
        <v>0</v>
      </c>
      <c r="S79" s="112"/>
      <c r="T79" s="112">
        <f t="shared" si="25"/>
        <v>0</v>
      </c>
      <c r="U79" s="112"/>
      <c r="V79" s="112">
        <f t="shared" si="26"/>
        <v>0</v>
      </c>
      <c r="W79" s="112"/>
      <c r="X79" s="112">
        <f t="shared" si="27"/>
        <v>0</v>
      </c>
      <c r="Y79" s="99">
        <f t="shared" si="28"/>
        <v>0</v>
      </c>
      <c r="Z79" s="275">
        <f t="shared" si="28"/>
        <v>0</v>
      </c>
      <c r="AA79" s="111">
        <v>0.01</v>
      </c>
      <c r="AB79" s="112">
        <f t="shared" si="29"/>
        <v>0.26240724612727273</v>
      </c>
      <c r="AC79" s="180">
        <v>0.01</v>
      </c>
      <c r="AD79" s="180">
        <f t="shared" si="30"/>
        <v>0.26240724612727273</v>
      </c>
      <c r="AE79" s="180">
        <v>0.01</v>
      </c>
      <c r="AF79" s="180">
        <f t="shared" si="31"/>
        <v>0.26240724612727273</v>
      </c>
      <c r="AG79" s="112">
        <v>0.01</v>
      </c>
      <c r="AH79" s="112">
        <f t="shared" si="32"/>
        <v>0.26240724612727273</v>
      </c>
      <c r="AI79" s="112">
        <v>0.01</v>
      </c>
      <c r="AJ79" s="112">
        <f t="shared" si="33"/>
        <v>0.26240724612727273</v>
      </c>
      <c r="AK79" s="99">
        <f t="shared" si="34"/>
        <v>0.05</v>
      </c>
      <c r="AL79" s="100">
        <f t="shared" si="34"/>
        <v>1.3120362306363638</v>
      </c>
      <c r="AM79" s="277"/>
      <c r="AN79" s="112">
        <f t="shared" si="35"/>
        <v>0</v>
      </c>
      <c r="AO79" s="99">
        <f t="shared" ref="AO79:AP113" si="38">AM79</f>
        <v>0</v>
      </c>
      <c r="AP79" s="276">
        <f t="shared" si="38"/>
        <v>0</v>
      </c>
      <c r="AQ79" s="103">
        <f t="shared" si="21"/>
        <v>7.0000000000000007E-2</v>
      </c>
      <c r="AR79" s="104">
        <f t="shared" si="21"/>
        <v>2.5006362306363639</v>
      </c>
      <c r="AS79" s="56" t="s">
        <v>155</v>
      </c>
      <c r="AT79" s="56">
        <f t="shared" ref="AT79:AT113" si="39">IF(AS79="●",AR79,0)</f>
        <v>0</v>
      </c>
    </row>
    <row r="80" spans="1:46" ht="15" customHeight="1" x14ac:dyDescent="0.45">
      <c r="A80" s="73"/>
      <c r="B80" s="90"/>
      <c r="C80" s="114">
        <v>67</v>
      </c>
      <c r="D80" s="172" t="s">
        <v>306</v>
      </c>
      <c r="E80" s="173" t="s">
        <v>307</v>
      </c>
      <c r="F80" s="174" t="s">
        <v>203</v>
      </c>
      <c r="G80" s="93"/>
      <c r="H80" s="94">
        <f t="shared" si="36"/>
        <v>0</v>
      </c>
      <c r="I80" s="94">
        <v>0.01</v>
      </c>
      <c r="J80" s="94">
        <f t="shared" si="36"/>
        <v>0.59430000000000005</v>
      </c>
      <c r="K80" s="80">
        <f t="shared" si="37"/>
        <v>0.01</v>
      </c>
      <c r="L80" s="270">
        <f t="shared" si="37"/>
        <v>0.59430000000000005</v>
      </c>
      <c r="M80" s="112"/>
      <c r="N80" s="112">
        <f t="shared" si="22"/>
        <v>0</v>
      </c>
      <c r="O80" s="112"/>
      <c r="P80" s="112">
        <f t="shared" si="23"/>
        <v>0</v>
      </c>
      <c r="Q80" s="112"/>
      <c r="R80" s="112">
        <f t="shared" si="24"/>
        <v>0</v>
      </c>
      <c r="S80" s="112"/>
      <c r="T80" s="112">
        <f t="shared" si="25"/>
        <v>0</v>
      </c>
      <c r="U80" s="112"/>
      <c r="V80" s="112">
        <f t="shared" si="26"/>
        <v>0</v>
      </c>
      <c r="W80" s="112"/>
      <c r="X80" s="112">
        <f t="shared" si="27"/>
        <v>0</v>
      </c>
      <c r="Y80" s="99">
        <f t="shared" si="28"/>
        <v>0</v>
      </c>
      <c r="Z80" s="275">
        <f t="shared" si="28"/>
        <v>0</v>
      </c>
      <c r="AA80" s="111">
        <v>0.01</v>
      </c>
      <c r="AB80" s="112">
        <f t="shared" si="29"/>
        <v>0.26240724612727273</v>
      </c>
      <c r="AC80" s="180">
        <v>0.01</v>
      </c>
      <c r="AD80" s="180">
        <f t="shared" si="30"/>
        <v>0.26240724612727273</v>
      </c>
      <c r="AE80" s="180">
        <v>0.01</v>
      </c>
      <c r="AF80" s="180">
        <f t="shared" si="31"/>
        <v>0.26240724612727273</v>
      </c>
      <c r="AG80" s="112">
        <v>0.01</v>
      </c>
      <c r="AH80" s="112">
        <f t="shared" si="32"/>
        <v>0.26240724612727273</v>
      </c>
      <c r="AI80" s="112">
        <v>0.01</v>
      </c>
      <c r="AJ80" s="112">
        <f t="shared" si="33"/>
        <v>0.26240724612727273</v>
      </c>
      <c r="AK80" s="99">
        <f t="shared" si="34"/>
        <v>0.05</v>
      </c>
      <c r="AL80" s="100">
        <f t="shared" si="34"/>
        <v>1.3120362306363638</v>
      </c>
      <c r="AM80" s="277"/>
      <c r="AN80" s="112">
        <f t="shared" si="35"/>
        <v>0</v>
      </c>
      <c r="AO80" s="99">
        <f t="shared" si="38"/>
        <v>0</v>
      </c>
      <c r="AP80" s="276">
        <f t="shared" si="38"/>
        <v>0</v>
      </c>
      <c r="AQ80" s="103">
        <f t="shared" si="21"/>
        <v>6.0000000000000005E-2</v>
      </c>
      <c r="AR80" s="104">
        <f t="shared" si="21"/>
        <v>1.9063362306363638</v>
      </c>
      <c r="AS80" s="56" t="s">
        <v>155</v>
      </c>
      <c r="AT80" s="56">
        <f t="shared" si="39"/>
        <v>0</v>
      </c>
    </row>
    <row r="81" spans="1:46" ht="15" customHeight="1" x14ac:dyDescent="0.45">
      <c r="A81" s="73"/>
      <c r="B81" s="90"/>
      <c r="C81" s="114">
        <v>68</v>
      </c>
      <c r="D81" s="172" t="s">
        <v>308</v>
      </c>
      <c r="E81" s="173" t="s">
        <v>309</v>
      </c>
      <c r="F81" s="174" t="s">
        <v>203</v>
      </c>
      <c r="G81" s="93"/>
      <c r="H81" s="94">
        <f t="shared" si="36"/>
        <v>0</v>
      </c>
      <c r="I81" s="94">
        <v>0.01</v>
      </c>
      <c r="J81" s="94">
        <f t="shared" si="36"/>
        <v>0.59430000000000005</v>
      </c>
      <c r="K81" s="80">
        <f t="shared" si="37"/>
        <v>0.01</v>
      </c>
      <c r="L81" s="270">
        <f t="shared" si="37"/>
        <v>0.59430000000000005</v>
      </c>
      <c r="M81" s="112"/>
      <c r="N81" s="112">
        <f t="shared" si="22"/>
        <v>0</v>
      </c>
      <c r="O81" s="112"/>
      <c r="P81" s="112">
        <f t="shared" si="23"/>
        <v>0</v>
      </c>
      <c r="Q81" s="112"/>
      <c r="R81" s="112">
        <f t="shared" si="24"/>
        <v>0</v>
      </c>
      <c r="S81" s="112"/>
      <c r="T81" s="112">
        <f t="shared" si="25"/>
        <v>0</v>
      </c>
      <c r="U81" s="112"/>
      <c r="V81" s="112">
        <f t="shared" si="26"/>
        <v>0</v>
      </c>
      <c r="W81" s="112"/>
      <c r="X81" s="112">
        <f t="shared" si="27"/>
        <v>0</v>
      </c>
      <c r="Y81" s="99">
        <f t="shared" si="28"/>
        <v>0</v>
      </c>
      <c r="Z81" s="275">
        <f t="shared" si="28"/>
        <v>0</v>
      </c>
      <c r="AA81" s="111">
        <v>0.01</v>
      </c>
      <c r="AB81" s="112">
        <f t="shared" si="29"/>
        <v>0.26240724612727273</v>
      </c>
      <c r="AC81" s="180">
        <v>0.01</v>
      </c>
      <c r="AD81" s="180">
        <f t="shared" si="30"/>
        <v>0.26240724612727273</v>
      </c>
      <c r="AE81" s="180">
        <v>0.01</v>
      </c>
      <c r="AF81" s="180">
        <f t="shared" si="31"/>
        <v>0.26240724612727273</v>
      </c>
      <c r="AG81" s="112">
        <v>0.01</v>
      </c>
      <c r="AH81" s="112">
        <f t="shared" si="32"/>
        <v>0.26240724612727273</v>
      </c>
      <c r="AI81" s="112">
        <v>0.01</v>
      </c>
      <c r="AJ81" s="112">
        <f t="shared" si="33"/>
        <v>0.26240724612727273</v>
      </c>
      <c r="AK81" s="99">
        <f t="shared" si="34"/>
        <v>0.05</v>
      </c>
      <c r="AL81" s="100">
        <f t="shared" si="34"/>
        <v>1.3120362306363638</v>
      </c>
      <c r="AM81" s="277"/>
      <c r="AN81" s="112">
        <f t="shared" si="35"/>
        <v>0</v>
      </c>
      <c r="AO81" s="99">
        <f t="shared" si="38"/>
        <v>0</v>
      </c>
      <c r="AP81" s="276">
        <f t="shared" si="38"/>
        <v>0</v>
      </c>
      <c r="AQ81" s="103">
        <f t="shared" si="21"/>
        <v>6.0000000000000005E-2</v>
      </c>
      <c r="AR81" s="104">
        <f t="shared" si="21"/>
        <v>1.9063362306363638</v>
      </c>
      <c r="AS81" s="56" t="s">
        <v>155</v>
      </c>
      <c r="AT81" s="56">
        <f t="shared" si="39"/>
        <v>0</v>
      </c>
    </row>
    <row r="82" spans="1:46" ht="15" customHeight="1" x14ac:dyDescent="0.45">
      <c r="A82" s="73"/>
      <c r="B82" s="90"/>
      <c r="C82" s="107">
        <v>69</v>
      </c>
      <c r="D82" s="172" t="s">
        <v>310</v>
      </c>
      <c r="E82" s="173" t="s">
        <v>311</v>
      </c>
      <c r="F82" s="174" t="s">
        <v>203</v>
      </c>
      <c r="G82" s="93"/>
      <c r="H82" s="94">
        <f t="shared" si="36"/>
        <v>0</v>
      </c>
      <c r="I82" s="94"/>
      <c r="J82" s="94">
        <f t="shared" si="36"/>
        <v>0</v>
      </c>
      <c r="K82" s="80">
        <f t="shared" si="37"/>
        <v>0</v>
      </c>
      <c r="L82" s="270">
        <f t="shared" si="37"/>
        <v>0</v>
      </c>
      <c r="M82" s="112"/>
      <c r="N82" s="112">
        <f t="shared" si="22"/>
        <v>0</v>
      </c>
      <c r="O82" s="112"/>
      <c r="P82" s="112">
        <f t="shared" si="23"/>
        <v>0</v>
      </c>
      <c r="Q82" s="112"/>
      <c r="R82" s="112">
        <f t="shared" si="24"/>
        <v>0</v>
      </c>
      <c r="S82" s="112"/>
      <c r="T82" s="112">
        <f t="shared" si="25"/>
        <v>0</v>
      </c>
      <c r="U82" s="112"/>
      <c r="V82" s="112">
        <f t="shared" si="26"/>
        <v>0</v>
      </c>
      <c r="W82" s="112"/>
      <c r="X82" s="112">
        <f t="shared" si="27"/>
        <v>0</v>
      </c>
      <c r="Y82" s="99">
        <f t="shared" si="28"/>
        <v>0</v>
      </c>
      <c r="Z82" s="275">
        <f t="shared" si="28"/>
        <v>0</v>
      </c>
      <c r="AA82" s="111">
        <v>0.01</v>
      </c>
      <c r="AB82" s="112">
        <f t="shared" si="29"/>
        <v>0.26240724612727273</v>
      </c>
      <c r="AC82" s="180">
        <v>0.01</v>
      </c>
      <c r="AD82" s="180">
        <f t="shared" si="30"/>
        <v>0.26240724612727273</v>
      </c>
      <c r="AE82" s="180">
        <v>0.01</v>
      </c>
      <c r="AF82" s="180">
        <f t="shared" si="31"/>
        <v>0.26240724612727273</v>
      </c>
      <c r="AG82" s="112">
        <v>0.01</v>
      </c>
      <c r="AH82" s="112">
        <f t="shared" si="32"/>
        <v>0.26240724612727273</v>
      </c>
      <c r="AI82" s="112">
        <v>0.01</v>
      </c>
      <c r="AJ82" s="112">
        <f t="shared" si="33"/>
        <v>0.26240724612727273</v>
      </c>
      <c r="AK82" s="99">
        <f t="shared" si="34"/>
        <v>0.05</v>
      </c>
      <c r="AL82" s="100">
        <f t="shared" si="34"/>
        <v>1.3120362306363638</v>
      </c>
      <c r="AM82" s="277"/>
      <c r="AN82" s="112">
        <f t="shared" si="35"/>
        <v>0</v>
      </c>
      <c r="AO82" s="99">
        <f t="shared" si="38"/>
        <v>0</v>
      </c>
      <c r="AP82" s="276">
        <f t="shared" si="38"/>
        <v>0</v>
      </c>
      <c r="AQ82" s="103">
        <f t="shared" si="21"/>
        <v>0.05</v>
      </c>
      <c r="AR82" s="104">
        <f t="shared" si="21"/>
        <v>1.3120362306363638</v>
      </c>
      <c r="AS82" s="56" t="s">
        <v>155</v>
      </c>
      <c r="AT82" s="56">
        <f t="shared" si="39"/>
        <v>0</v>
      </c>
    </row>
    <row r="83" spans="1:46" ht="15" customHeight="1" x14ac:dyDescent="0.45">
      <c r="A83" s="73"/>
      <c r="B83" s="90"/>
      <c r="C83" s="114">
        <v>70</v>
      </c>
      <c r="D83" s="172" t="s">
        <v>312</v>
      </c>
      <c r="E83" s="173" t="s">
        <v>313</v>
      </c>
      <c r="F83" s="110" t="s">
        <v>177</v>
      </c>
      <c r="G83" s="93"/>
      <c r="H83" s="94">
        <f t="shared" si="36"/>
        <v>0</v>
      </c>
      <c r="I83" s="94"/>
      <c r="J83" s="94">
        <f t="shared" si="36"/>
        <v>0</v>
      </c>
      <c r="K83" s="80">
        <f t="shared" si="37"/>
        <v>0</v>
      </c>
      <c r="L83" s="270">
        <f t="shared" si="37"/>
        <v>0</v>
      </c>
      <c r="M83" s="112"/>
      <c r="N83" s="112">
        <f t="shared" si="22"/>
        <v>0</v>
      </c>
      <c r="O83" s="112"/>
      <c r="P83" s="112">
        <f t="shared" si="23"/>
        <v>0</v>
      </c>
      <c r="Q83" s="112"/>
      <c r="R83" s="112">
        <f t="shared" si="24"/>
        <v>0</v>
      </c>
      <c r="S83" s="112"/>
      <c r="T83" s="112">
        <f t="shared" si="25"/>
        <v>0</v>
      </c>
      <c r="U83" s="112"/>
      <c r="V83" s="112">
        <f t="shared" si="26"/>
        <v>0</v>
      </c>
      <c r="W83" s="112"/>
      <c r="X83" s="112">
        <f t="shared" si="27"/>
        <v>0</v>
      </c>
      <c r="Y83" s="99">
        <f t="shared" si="28"/>
        <v>0</v>
      </c>
      <c r="Z83" s="275">
        <f t="shared" si="28"/>
        <v>0</v>
      </c>
      <c r="AA83" s="111">
        <v>0.01</v>
      </c>
      <c r="AB83" s="112">
        <f t="shared" si="29"/>
        <v>0.26240724612727273</v>
      </c>
      <c r="AC83" s="180">
        <v>0.01</v>
      </c>
      <c r="AD83" s="180">
        <f t="shared" si="30"/>
        <v>0.26240724612727273</v>
      </c>
      <c r="AE83" s="180">
        <v>0.01</v>
      </c>
      <c r="AF83" s="180">
        <f t="shared" si="31"/>
        <v>0.26240724612727273</v>
      </c>
      <c r="AG83" s="112">
        <v>0.01</v>
      </c>
      <c r="AH83" s="112">
        <f t="shared" si="32"/>
        <v>0.26240724612727273</v>
      </c>
      <c r="AI83" s="112">
        <v>0.01</v>
      </c>
      <c r="AJ83" s="112">
        <f t="shared" si="33"/>
        <v>0.26240724612727273</v>
      </c>
      <c r="AK83" s="99">
        <f t="shared" si="34"/>
        <v>0.05</v>
      </c>
      <c r="AL83" s="100">
        <f t="shared" si="34"/>
        <v>1.3120362306363638</v>
      </c>
      <c r="AM83" s="277"/>
      <c r="AN83" s="112">
        <f t="shared" si="35"/>
        <v>0</v>
      </c>
      <c r="AO83" s="99">
        <f t="shared" si="38"/>
        <v>0</v>
      </c>
      <c r="AP83" s="276">
        <f t="shared" si="38"/>
        <v>0</v>
      </c>
      <c r="AQ83" s="103">
        <f t="shared" si="21"/>
        <v>0.05</v>
      </c>
      <c r="AR83" s="104">
        <f t="shared" si="21"/>
        <v>1.3120362306363638</v>
      </c>
      <c r="AS83" s="56" t="s">
        <v>155</v>
      </c>
      <c r="AT83" s="56">
        <f t="shared" si="39"/>
        <v>0</v>
      </c>
    </row>
    <row r="84" spans="1:46" ht="15" customHeight="1" x14ac:dyDescent="0.45">
      <c r="A84" s="73"/>
      <c r="B84" s="90"/>
      <c r="C84" s="107">
        <v>71</v>
      </c>
      <c r="D84" s="172" t="s">
        <v>314</v>
      </c>
      <c r="E84" s="173" t="s">
        <v>315</v>
      </c>
      <c r="F84" s="110" t="s">
        <v>187</v>
      </c>
      <c r="G84" s="93"/>
      <c r="H84" s="94">
        <f t="shared" si="36"/>
        <v>0</v>
      </c>
      <c r="I84" s="94">
        <v>0.01</v>
      </c>
      <c r="J84" s="94">
        <f t="shared" si="36"/>
        <v>0.59430000000000005</v>
      </c>
      <c r="K84" s="80">
        <f t="shared" si="37"/>
        <v>0.01</v>
      </c>
      <c r="L84" s="270">
        <f t="shared" si="37"/>
        <v>0.59430000000000005</v>
      </c>
      <c r="M84" s="112"/>
      <c r="N84" s="112">
        <f t="shared" si="22"/>
        <v>0</v>
      </c>
      <c r="O84" s="112"/>
      <c r="P84" s="112">
        <f t="shared" si="23"/>
        <v>0</v>
      </c>
      <c r="Q84" s="112"/>
      <c r="R84" s="112">
        <f t="shared" si="24"/>
        <v>0</v>
      </c>
      <c r="S84" s="112"/>
      <c r="T84" s="112">
        <f t="shared" si="25"/>
        <v>0</v>
      </c>
      <c r="U84" s="112"/>
      <c r="V84" s="112">
        <f t="shared" si="26"/>
        <v>0</v>
      </c>
      <c r="W84" s="112"/>
      <c r="X84" s="112">
        <f t="shared" si="27"/>
        <v>0</v>
      </c>
      <c r="Y84" s="99">
        <f t="shared" si="28"/>
        <v>0</v>
      </c>
      <c r="Z84" s="275">
        <f t="shared" si="28"/>
        <v>0</v>
      </c>
      <c r="AA84" s="111">
        <v>0.01</v>
      </c>
      <c r="AB84" s="112">
        <f t="shared" si="29"/>
        <v>0.26240724612727273</v>
      </c>
      <c r="AC84" s="180">
        <v>0.01</v>
      </c>
      <c r="AD84" s="180">
        <f t="shared" si="30"/>
        <v>0.26240724612727273</v>
      </c>
      <c r="AE84" s="180">
        <v>0.01</v>
      </c>
      <c r="AF84" s="180">
        <f t="shared" si="31"/>
        <v>0.26240724612727273</v>
      </c>
      <c r="AG84" s="112">
        <v>0.01</v>
      </c>
      <c r="AH84" s="112">
        <f t="shared" si="32"/>
        <v>0.26240724612727273</v>
      </c>
      <c r="AI84" s="112">
        <v>0.01</v>
      </c>
      <c r="AJ84" s="112">
        <f t="shared" si="33"/>
        <v>0.26240724612727273</v>
      </c>
      <c r="AK84" s="99">
        <f t="shared" si="34"/>
        <v>0.05</v>
      </c>
      <c r="AL84" s="100">
        <f t="shared" si="34"/>
        <v>1.3120362306363638</v>
      </c>
      <c r="AM84" s="277"/>
      <c r="AN84" s="112">
        <f t="shared" si="35"/>
        <v>0</v>
      </c>
      <c r="AO84" s="99">
        <f t="shared" si="38"/>
        <v>0</v>
      </c>
      <c r="AP84" s="276">
        <f t="shared" si="38"/>
        <v>0</v>
      </c>
      <c r="AQ84" s="103">
        <f t="shared" si="21"/>
        <v>6.0000000000000005E-2</v>
      </c>
      <c r="AR84" s="104">
        <f t="shared" si="21"/>
        <v>1.9063362306363638</v>
      </c>
      <c r="AS84" s="56" t="s">
        <v>155</v>
      </c>
      <c r="AT84" s="56">
        <f t="shared" si="39"/>
        <v>0</v>
      </c>
    </row>
    <row r="85" spans="1:46" ht="15" customHeight="1" thickBot="1" x14ac:dyDescent="0.5">
      <c r="A85" s="150"/>
      <c r="B85" s="151"/>
      <c r="C85" s="186">
        <v>72</v>
      </c>
      <c r="D85" s="187" t="s">
        <v>316</v>
      </c>
      <c r="E85" s="188" t="s">
        <v>317</v>
      </c>
      <c r="F85" s="155" t="s">
        <v>187</v>
      </c>
      <c r="G85" s="93"/>
      <c r="H85" s="94">
        <f t="shared" si="36"/>
        <v>0</v>
      </c>
      <c r="I85" s="94"/>
      <c r="J85" s="94">
        <f t="shared" si="36"/>
        <v>0</v>
      </c>
      <c r="K85" s="80">
        <f t="shared" si="37"/>
        <v>0</v>
      </c>
      <c r="L85" s="270">
        <f t="shared" si="37"/>
        <v>0</v>
      </c>
      <c r="M85" s="112"/>
      <c r="N85" s="112">
        <f t="shared" si="22"/>
        <v>0</v>
      </c>
      <c r="O85" s="112"/>
      <c r="P85" s="112">
        <f t="shared" si="23"/>
        <v>0</v>
      </c>
      <c r="Q85" s="112"/>
      <c r="R85" s="112">
        <f t="shared" si="24"/>
        <v>0</v>
      </c>
      <c r="S85" s="112"/>
      <c r="T85" s="112">
        <f t="shared" si="25"/>
        <v>0</v>
      </c>
      <c r="U85" s="112"/>
      <c r="V85" s="112">
        <f t="shared" si="26"/>
        <v>0</v>
      </c>
      <c r="W85" s="112"/>
      <c r="X85" s="112">
        <f t="shared" si="27"/>
        <v>0</v>
      </c>
      <c r="Y85" s="99">
        <f t="shared" si="28"/>
        <v>0</v>
      </c>
      <c r="Z85" s="275">
        <f t="shared" si="28"/>
        <v>0</v>
      </c>
      <c r="AA85" s="111">
        <v>0.01</v>
      </c>
      <c r="AB85" s="112">
        <f t="shared" si="29"/>
        <v>0.26240724612727273</v>
      </c>
      <c r="AC85" s="180">
        <v>0.01</v>
      </c>
      <c r="AD85" s="180">
        <f t="shared" si="30"/>
        <v>0.26240724612727273</v>
      </c>
      <c r="AE85" s="180">
        <v>0.01</v>
      </c>
      <c r="AF85" s="180">
        <f t="shared" si="31"/>
        <v>0.26240724612727273</v>
      </c>
      <c r="AG85" s="112">
        <v>0.01</v>
      </c>
      <c r="AH85" s="112">
        <f t="shared" si="32"/>
        <v>0.26240724612727273</v>
      </c>
      <c r="AI85" s="112">
        <v>0.01</v>
      </c>
      <c r="AJ85" s="112">
        <f t="shared" si="33"/>
        <v>0.26240724612727273</v>
      </c>
      <c r="AK85" s="99">
        <f t="shared" si="34"/>
        <v>0.05</v>
      </c>
      <c r="AL85" s="100">
        <f t="shared" si="34"/>
        <v>1.3120362306363638</v>
      </c>
      <c r="AM85" s="277"/>
      <c r="AN85" s="112">
        <f t="shared" si="35"/>
        <v>0</v>
      </c>
      <c r="AO85" s="99">
        <f t="shared" si="38"/>
        <v>0</v>
      </c>
      <c r="AP85" s="276">
        <f t="shared" si="38"/>
        <v>0</v>
      </c>
      <c r="AQ85" s="103">
        <f t="shared" si="21"/>
        <v>0.05</v>
      </c>
      <c r="AR85" s="104">
        <f t="shared" si="21"/>
        <v>1.3120362306363638</v>
      </c>
      <c r="AS85" s="130" t="s">
        <v>155</v>
      </c>
      <c r="AT85" s="56">
        <f t="shared" si="39"/>
        <v>0</v>
      </c>
    </row>
    <row r="86" spans="1:46" ht="15" customHeight="1" thickTop="1" x14ac:dyDescent="0.45">
      <c r="A86" s="73" t="s">
        <v>318</v>
      </c>
      <c r="B86" s="90" t="s">
        <v>318</v>
      </c>
      <c r="C86" s="114">
        <v>73</v>
      </c>
      <c r="D86" s="108" t="s">
        <v>319</v>
      </c>
      <c r="E86" s="109" t="s">
        <v>320</v>
      </c>
      <c r="F86" s="110" t="s">
        <v>203</v>
      </c>
      <c r="G86" s="93"/>
      <c r="H86" s="94">
        <f t="shared" si="36"/>
        <v>0</v>
      </c>
      <c r="I86" s="94"/>
      <c r="J86" s="94">
        <f t="shared" si="36"/>
        <v>0</v>
      </c>
      <c r="K86" s="80">
        <f t="shared" si="37"/>
        <v>0</v>
      </c>
      <c r="L86" s="270">
        <f t="shared" si="37"/>
        <v>0</v>
      </c>
      <c r="M86" s="112">
        <v>0.01</v>
      </c>
      <c r="N86" s="112">
        <f t="shared" si="22"/>
        <v>0.26240724612727279</v>
      </c>
      <c r="O86" s="112">
        <v>0.01</v>
      </c>
      <c r="P86" s="112">
        <f t="shared" si="23"/>
        <v>0.26240724612727279</v>
      </c>
      <c r="Q86" s="112">
        <v>0.01</v>
      </c>
      <c r="R86" s="112">
        <f t="shared" si="24"/>
        <v>0.26240724612727279</v>
      </c>
      <c r="S86" s="112">
        <v>0.01</v>
      </c>
      <c r="T86" s="112">
        <f t="shared" si="25"/>
        <v>0.26240724612727279</v>
      </c>
      <c r="U86" s="112">
        <v>0.01</v>
      </c>
      <c r="V86" s="112">
        <f t="shared" si="26"/>
        <v>0.26240724612727279</v>
      </c>
      <c r="W86" s="112">
        <v>0.01</v>
      </c>
      <c r="X86" s="112">
        <f t="shared" si="27"/>
        <v>0.26240724612727279</v>
      </c>
      <c r="Y86" s="99">
        <f t="shared" si="28"/>
        <v>6.0000000000000005E-2</v>
      </c>
      <c r="Z86" s="275">
        <f t="shared" si="28"/>
        <v>1.5744434767636368</v>
      </c>
      <c r="AA86" s="111"/>
      <c r="AB86" s="112">
        <f t="shared" si="29"/>
        <v>0</v>
      </c>
      <c r="AC86" s="112"/>
      <c r="AD86" s="112">
        <f t="shared" si="30"/>
        <v>0</v>
      </c>
      <c r="AE86" s="112"/>
      <c r="AF86" s="112">
        <f t="shared" si="31"/>
        <v>0</v>
      </c>
      <c r="AG86" s="112"/>
      <c r="AH86" s="112">
        <f t="shared" si="32"/>
        <v>0</v>
      </c>
      <c r="AI86" s="112"/>
      <c r="AJ86" s="112">
        <f t="shared" si="33"/>
        <v>0</v>
      </c>
      <c r="AK86" s="99">
        <f t="shared" si="34"/>
        <v>0</v>
      </c>
      <c r="AL86" s="100">
        <f t="shared" si="34"/>
        <v>0</v>
      </c>
      <c r="AM86" s="277"/>
      <c r="AN86" s="112">
        <f t="shared" si="35"/>
        <v>0</v>
      </c>
      <c r="AO86" s="99">
        <f t="shared" si="38"/>
        <v>0</v>
      </c>
      <c r="AP86" s="276">
        <f t="shared" si="38"/>
        <v>0</v>
      </c>
      <c r="AQ86" s="103">
        <f t="shared" si="21"/>
        <v>6.0000000000000005E-2</v>
      </c>
      <c r="AR86" s="104">
        <f t="shared" si="21"/>
        <v>1.5744434767636368</v>
      </c>
      <c r="AS86" s="149" t="s">
        <v>155</v>
      </c>
      <c r="AT86" s="56">
        <f t="shared" si="39"/>
        <v>0</v>
      </c>
    </row>
    <row r="87" spans="1:46" ht="15" customHeight="1" x14ac:dyDescent="0.45">
      <c r="A87" s="73"/>
      <c r="B87" s="90"/>
      <c r="C87" s="114">
        <v>74</v>
      </c>
      <c r="D87" s="181" t="s">
        <v>236</v>
      </c>
      <c r="E87" s="182" t="s">
        <v>321</v>
      </c>
      <c r="F87" s="174" t="s">
        <v>203</v>
      </c>
      <c r="G87" s="93"/>
      <c r="H87" s="94">
        <f t="shared" si="36"/>
        <v>0</v>
      </c>
      <c r="I87" s="94"/>
      <c r="J87" s="94">
        <f t="shared" si="36"/>
        <v>0</v>
      </c>
      <c r="K87" s="80">
        <f t="shared" si="37"/>
        <v>0</v>
      </c>
      <c r="L87" s="270">
        <f t="shared" si="37"/>
        <v>0</v>
      </c>
      <c r="M87" s="112">
        <v>0.01</v>
      </c>
      <c r="N87" s="112">
        <f t="shared" si="22"/>
        <v>0.26240724612727279</v>
      </c>
      <c r="O87" s="112">
        <v>0.01</v>
      </c>
      <c r="P87" s="112">
        <f t="shared" si="23"/>
        <v>0.26240724612727279</v>
      </c>
      <c r="Q87" s="112">
        <v>0.01</v>
      </c>
      <c r="R87" s="112">
        <f t="shared" si="24"/>
        <v>0.26240724612727279</v>
      </c>
      <c r="S87" s="112">
        <v>0.01</v>
      </c>
      <c r="T87" s="112">
        <f t="shared" si="25"/>
        <v>0.26240724612727279</v>
      </c>
      <c r="U87" s="112">
        <v>0.01</v>
      </c>
      <c r="V87" s="112">
        <f t="shared" si="26"/>
        <v>0.26240724612727279</v>
      </c>
      <c r="W87" s="112">
        <v>0.01</v>
      </c>
      <c r="X87" s="112">
        <f t="shared" si="27"/>
        <v>0.26240724612727279</v>
      </c>
      <c r="Y87" s="99">
        <f t="shared" si="28"/>
        <v>6.0000000000000005E-2</v>
      </c>
      <c r="Z87" s="275">
        <f t="shared" si="28"/>
        <v>1.5744434767636368</v>
      </c>
      <c r="AA87" s="111"/>
      <c r="AB87" s="112">
        <f t="shared" si="29"/>
        <v>0</v>
      </c>
      <c r="AC87" s="112"/>
      <c r="AD87" s="112">
        <f t="shared" si="30"/>
        <v>0</v>
      </c>
      <c r="AE87" s="112"/>
      <c r="AF87" s="112">
        <f t="shared" si="31"/>
        <v>0</v>
      </c>
      <c r="AG87" s="112"/>
      <c r="AH87" s="112">
        <f t="shared" si="32"/>
        <v>0</v>
      </c>
      <c r="AI87" s="112"/>
      <c r="AJ87" s="112">
        <f t="shared" si="33"/>
        <v>0</v>
      </c>
      <c r="AK87" s="99">
        <f t="shared" si="34"/>
        <v>0</v>
      </c>
      <c r="AL87" s="100">
        <f t="shared" si="34"/>
        <v>0</v>
      </c>
      <c r="AM87" s="277"/>
      <c r="AN87" s="112">
        <f t="shared" si="35"/>
        <v>0</v>
      </c>
      <c r="AO87" s="99">
        <f t="shared" si="38"/>
        <v>0</v>
      </c>
      <c r="AP87" s="276">
        <f t="shared" si="38"/>
        <v>0</v>
      </c>
      <c r="AQ87" s="103">
        <f t="shared" si="21"/>
        <v>6.0000000000000005E-2</v>
      </c>
      <c r="AR87" s="104">
        <f t="shared" si="21"/>
        <v>1.5744434767636368</v>
      </c>
      <c r="AS87" s="56" t="s">
        <v>155</v>
      </c>
      <c r="AT87" s="56">
        <f t="shared" si="39"/>
        <v>0</v>
      </c>
    </row>
    <row r="88" spans="1:46" ht="15" customHeight="1" thickBot="1" x14ac:dyDescent="0.5">
      <c r="A88" s="73"/>
      <c r="B88" s="90"/>
      <c r="C88" s="107">
        <v>75</v>
      </c>
      <c r="D88" s="181" t="s">
        <v>322</v>
      </c>
      <c r="E88" s="182" t="s">
        <v>323</v>
      </c>
      <c r="F88" s="183" t="s">
        <v>165</v>
      </c>
      <c r="G88" s="93">
        <v>0.1</v>
      </c>
      <c r="H88" s="94">
        <f t="shared" si="36"/>
        <v>5.9430000000000005</v>
      </c>
      <c r="I88" s="94"/>
      <c r="J88" s="94">
        <f t="shared" si="36"/>
        <v>0</v>
      </c>
      <c r="K88" s="80">
        <f t="shared" si="37"/>
        <v>0.1</v>
      </c>
      <c r="L88" s="270">
        <f t="shared" si="37"/>
        <v>5.9430000000000005</v>
      </c>
      <c r="M88" s="112">
        <v>0.01</v>
      </c>
      <c r="N88" s="112">
        <f t="shared" si="22"/>
        <v>0.26240724612727279</v>
      </c>
      <c r="O88" s="112">
        <v>0.02</v>
      </c>
      <c r="P88" s="112">
        <f t="shared" si="23"/>
        <v>0.52481449225454557</v>
      </c>
      <c r="Q88" s="112">
        <v>0.01</v>
      </c>
      <c r="R88" s="112">
        <f t="shared" si="24"/>
        <v>0.26240724612727279</v>
      </c>
      <c r="S88" s="112">
        <v>0.01</v>
      </c>
      <c r="T88" s="112">
        <f t="shared" si="25"/>
        <v>0.26240724612727279</v>
      </c>
      <c r="U88" s="112">
        <v>0.01</v>
      </c>
      <c r="V88" s="112">
        <f t="shared" si="26"/>
        <v>0.26240724612727279</v>
      </c>
      <c r="W88" s="112">
        <v>0.01</v>
      </c>
      <c r="X88" s="112">
        <f t="shared" si="27"/>
        <v>0.26240724612727279</v>
      </c>
      <c r="Y88" s="99">
        <f t="shared" si="28"/>
        <v>7.0000000000000007E-2</v>
      </c>
      <c r="Z88" s="275">
        <f t="shared" si="28"/>
        <v>1.8368507228909097</v>
      </c>
      <c r="AA88" s="111"/>
      <c r="AB88" s="112">
        <f t="shared" si="29"/>
        <v>0</v>
      </c>
      <c r="AC88" s="112"/>
      <c r="AD88" s="112">
        <f t="shared" si="30"/>
        <v>0</v>
      </c>
      <c r="AE88" s="112"/>
      <c r="AF88" s="112">
        <f t="shared" si="31"/>
        <v>0</v>
      </c>
      <c r="AG88" s="112"/>
      <c r="AH88" s="112">
        <f t="shared" si="32"/>
        <v>0</v>
      </c>
      <c r="AI88" s="112"/>
      <c r="AJ88" s="112">
        <f t="shared" si="33"/>
        <v>0</v>
      </c>
      <c r="AK88" s="99">
        <f t="shared" si="34"/>
        <v>0</v>
      </c>
      <c r="AL88" s="100">
        <f t="shared" si="34"/>
        <v>0</v>
      </c>
      <c r="AM88" s="277"/>
      <c r="AN88" s="112">
        <f t="shared" si="35"/>
        <v>0</v>
      </c>
      <c r="AO88" s="99">
        <f t="shared" si="38"/>
        <v>0</v>
      </c>
      <c r="AP88" s="276">
        <f t="shared" si="38"/>
        <v>0</v>
      </c>
      <c r="AQ88" s="103">
        <f t="shared" si="21"/>
        <v>0.17</v>
      </c>
      <c r="AR88" s="104">
        <f t="shared" si="21"/>
        <v>7.7798507228909104</v>
      </c>
      <c r="AS88" s="130" t="s">
        <v>155</v>
      </c>
      <c r="AT88" s="56">
        <f t="shared" si="39"/>
        <v>0</v>
      </c>
    </row>
    <row r="89" spans="1:46" ht="15" customHeight="1" thickTop="1" x14ac:dyDescent="0.45">
      <c r="A89" s="131" t="s">
        <v>324</v>
      </c>
      <c r="B89" s="132" t="s">
        <v>325</v>
      </c>
      <c r="C89" s="189">
        <v>76</v>
      </c>
      <c r="D89" s="190" t="s">
        <v>326</v>
      </c>
      <c r="E89" s="191" t="s">
        <v>327</v>
      </c>
      <c r="F89" s="192" t="s">
        <v>162</v>
      </c>
      <c r="G89" s="93"/>
      <c r="H89" s="94">
        <f t="shared" si="36"/>
        <v>0</v>
      </c>
      <c r="I89" s="94"/>
      <c r="J89" s="94">
        <f t="shared" si="36"/>
        <v>0</v>
      </c>
      <c r="K89" s="80">
        <f t="shared" si="37"/>
        <v>0</v>
      </c>
      <c r="L89" s="270">
        <f t="shared" si="37"/>
        <v>0</v>
      </c>
      <c r="M89" s="277">
        <v>0.01</v>
      </c>
      <c r="N89" s="112">
        <f t="shared" si="22"/>
        <v>0.26240724612727279</v>
      </c>
      <c r="O89" s="112"/>
      <c r="P89" s="112">
        <f t="shared" si="23"/>
        <v>0</v>
      </c>
      <c r="Q89" s="112"/>
      <c r="R89" s="112">
        <f t="shared" si="24"/>
        <v>0</v>
      </c>
      <c r="S89" s="112"/>
      <c r="T89" s="112">
        <f t="shared" si="25"/>
        <v>0</v>
      </c>
      <c r="U89" s="112"/>
      <c r="V89" s="112">
        <f t="shared" si="26"/>
        <v>0</v>
      </c>
      <c r="W89" s="112"/>
      <c r="X89" s="112">
        <f t="shared" si="27"/>
        <v>0</v>
      </c>
      <c r="Y89" s="99">
        <f t="shared" si="28"/>
        <v>0.01</v>
      </c>
      <c r="Z89" s="275">
        <f t="shared" si="28"/>
        <v>0.26240724612727279</v>
      </c>
      <c r="AA89" s="111"/>
      <c r="AB89" s="112">
        <f t="shared" si="29"/>
        <v>0</v>
      </c>
      <c r="AC89" s="112"/>
      <c r="AD89" s="112">
        <f t="shared" si="30"/>
        <v>0</v>
      </c>
      <c r="AE89" s="112"/>
      <c r="AF89" s="112">
        <f t="shared" si="31"/>
        <v>0</v>
      </c>
      <c r="AG89" s="112"/>
      <c r="AH89" s="112">
        <f t="shared" si="32"/>
        <v>0</v>
      </c>
      <c r="AI89" s="112"/>
      <c r="AJ89" s="112">
        <f t="shared" si="33"/>
        <v>0</v>
      </c>
      <c r="AK89" s="99">
        <f t="shared" si="34"/>
        <v>0</v>
      </c>
      <c r="AL89" s="100">
        <f t="shared" si="34"/>
        <v>0</v>
      </c>
      <c r="AM89" s="274"/>
      <c r="AN89" s="98">
        <f t="shared" si="35"/>
        <v>0</v>
      </c>
      <c r="AO89" s="99">
        <f t="shared" si="38"/>
        <v>0</v>
      </c>
      <c r="AP89" s="276">
        <f t="shared" si="38"/>
        <v>0</v>
      </c>
      <c r="AQ89" s="103">
        <f t="shared" si="21"/>
        <v>0.01</v>
      </c>
      <c r="AR89" s="104">
        <f t="shared" si="21"/>
        <v>0.26240724612727279</v>
      </c>
      <c r="AS89" s="149" t="s">
        <v>155</v>
      </c>
      <c r="AT89" s="56">
        <f t="shared" si="39"/>
        <v>0</v>
      </c>
    </row>
    <row r="90" spans="1:46" ht="15" customHeight="1" thickBot="1" x14ac:dyDescent="0.5">
      <c r="A90" s="150"/>
      <c r="B90" s="196" t="s">
        <v>328</v>
      </c>
      <c r="C90" s="197">
        <v>77</v>
      </c>
      <c r="D90" s="196" t="s">
        <v>329</v>
      </c>
      <c r="E90" s="198" t="s">
        <v>159</v>
      </c>
      <c r="F90" s="199" t="s">
        <v>154</v>
      </c>
      <c r="G90" s="93">
        <v>0.01</v>
      </c>
      <c r="H90" s="94">
        <f t="shared" si="36"/>
        <v>0.59430000000000005</v>
      </c>
      <c r="I90" s="94"/>
      <c r="J90" s="94">
        <f t="shared" si="36"/>
        <v>0</v>
      </c>
      <c r="K90" s="80">
        <f t="shared" si="37"/>
        <v>0.01</v>
      </c>
      <c r="L90" s="270">
        <f t="shared" si="37"/>
        <v>0.59430000000000005</v>
      </c>
      <c r="M90" s="277">
        <v>0.02</v>
      </c>
      <c r="N90" s="112">
        <f t="shared" si="22"/>
        <v>0.52481449225454557</v>
      </c>
      <c r="O90" s="112"/>
      <c r="P90" s="112">
        <f t="shared" si="23"/>
        <v>0</v>
      </c>
      <c r="Q90" s="112"/>
      <c r="R90" s="112">
        <f t="shared" si="24"/>
        <v>0</v>
      </c>
      <c r="S90" s="112"/>
      <c r="T90" s="112">
        <f t="shared" si="25"/>
        <v>0</v>
      </c>
      <c r="U90" s="112"/>
      <c r="V90" s="112">
        <f t="shared" si="26"/>
        <v>0</v>
      </c>
      <c r="W90" s="112"/>
      <c r="X90" s="112">
        <f t="shared" si="27"/>
        <v>0</v>
      </c>
      <c r="Y90" s="99">
        <f t="shared" si="28"/>
        <v>0.02</v>
      </c>
      <c r="Z90" s="275">
        <f t="shared" si="28"/>
        <v>0.52481449225454557</v>
      </c>
      <c r="AA90" s="111"/>
      <c r="AB90" s="112">
        <f t="shared" si="29"/>
        <v>0</v>
      </c>
      <c r="AC90" s="112"/>
      <c r="AD90" s="112">
        <f t="shared" si="30"/>
        <v>0</v>
      </c>
      <c r="AE90" s="112"/>
      <c r="AF90" s="112">
        <f t="shared" si="31"/>
        <v>0</v>
      </c>
      <c r="AG90" s="112"/>
      <c r="AH90" s="112">
        <f t="shared" si="32"/>
        <v>0</v>
      </c>
      <c r="AI90" s="112"/>
      <c r="AJ90" s="112">
        <f t="shared" si="33"/>
        <v>0</v>
      </c>
      <c r="AK90" s="99">
        <f t="shared" si="34"/>
        <v>0</v>
      </c>
      <c r="AL90" s="100">
        <f t="shared" si="34"/>
        <v>0</v>
      </c>
      <c r="AM90" s="274"/>
      <c r="AN90" s="98">
        <f t="shared" si="35"/>
        <v>0</v>
      </c>
      <c r="AO90" s="99">
        <f t="shared" si="38"/>
        <v>0</v>
      </c>
      <c r="AP90" s="276">
        <f t="shared" si="38"/>
        <v>0</v>
      </c>
      <c r="AQ90" s="103">
        <f t="shared" si="21"/>
        <v>0.03</v>
      </c>
      <c r="AR90" s="104">
        <f t="shared" si="21"/>
        <v>1.1191144922545457</v>
      </c>
      <c r="AS90" s="168" t="s">
        <v>155</v>
      </c>
      <c r="AT90" s="56">
        <f t="shared" si="39"/>
        <v>0</v>
      </c>
    </row>
    <row r="91" spans="1:46" ht="15" customHeight="1" thickTop="1" x14ac:dyDescent="0.45">
      <c r="A91" s="203" t="s">
        <v>330</v>
      </c>
      <c r="B91" s="185" t="s">
        <v>331</v>
      </c>
      <c r="C91" s="105">
        <v>78</v>
      </c>
      <c r="D91" s="24" t="s">
        <v>332</v>
      </c>
      <c r="E91" s="204" t="s">
        <v>333</v>
      </c>
      <c r="F91" s="77" t="s">
        <v>203</v>
      </c>
      <c r="G91" s="93"/>
      <c r="H91" s="94">
        <f t="shared" si="36"/>
        <v>0</v>
      </c>
      <c r="I91" s="94"/>
      <c r="J91" s="94">
        <f t="shared" si="36"/>
        <v>0</v>
      </c>
      <c r="K91" s="80">
        <f t="shared" si="37"/>
        <v>0</v>
      </c>
      <c r="L91" s="270">
        <f t="shared" si="37"/>
        <v>0</v>
      </c>
      <c r="M91" s="112"/>
      <c r="N91" s="112">
        <f t="shared" si="22"/>
        <v>0</v>
      </c>
      <c r="O91" s="112"/>
      <c r="P91" s="112">
        <f t="shared" si="23"/>
        <v>0</v>
      </c>
      <c r="Q91" s="112"/>
      <c r="R91" s="112">
        <f t="shared" si="24"/>
        <v>0</v>
      </c>
      <c r="S91" s="112"/>
      <c r="T91" s="112">
        <f t="shared" si="25"/>
        <v>0</v>
      </c>
      <c r="U91" s="112"/>
      <c r="V91" s="112">
        <f t="shared" si="26"/>
        <v>0</v>
      </c>
      <c r="W91" s="112"/>
      <c r="X91" s="112">
        <f t="shared" si="27"/>
        <v>0</v>
      </c>
      <c r="Y91" s="99">
        <f t="shared" si="28"/>
        <v>0</v>
      </c>
      <c r="Z91" s="275">
        <f t="shared" si="28"/>
        <v>0</v>
      </c>
      <c r="AA91" s="111">
        <v>0.01</v>
      </c>
      <c r="AB91" s="112">
        <f t="shared" si="29"/>
        <v>0.26240724612727273</v>
      </c>
      <c r="AC91" s="180">
        <v>0.01</v>
      </c>
      <c r="AD91" s="180">
        <f t="shared" si="30"/>
        <v>0.26240724612727273</v>
      </c>
      <c r="AE91" s="180">
        <v>0.01</v>
      </c>
      <c r="AF91" s="180">
        <f t="shared" si="31"/>
        <v>0.26240724612727273</v>
      </c>
      <c r="AG91" s="112">
        <v>0.01</v>
      </c>
      <c r="AH91" s="112">
        <f t="shared" si="32"/>
        <v>0.26240724612727273</v>
      </c>
      <c r="AI91" s="112">
        <v>0.01</v>
      </c>
      <c r="AJ91" s="112">
        <f t="shared" si="33"/>
        <v>0.26240724612727273</v>
      </c>
      <c r="AK91" s="99">
        <f t="shared" si="34"/>
        <v>0.05</v>
      </c>
      <c r="AL91" s="100">
        <f t="shared" si="34"/>
        <v>1.3120362306363638</v>
      </c>
      <c r="AM91" s="274"/>
      <c r="AN91" s="98">
        <f t="shared" si="35"/>
        <v>0</v>
      </c>
      <c r="AO91" s="99">
        <f t="shared" si="38"/>
        <v>0</v>
      </c>
      <c r="AP91" s="276">
        <f t="shared" si="38"/>
        <v>0</v>
      </c>
      <c r="AQ91" s="103">
        <f t="shared" si="21"/>
        <v>0.05</v>
      </c>
      <c r="AR91" s="104">
        <f t="shared" si="21"/>
        <v>1.3120362306363638</v>
      </c>
      <c r="AS91" s="171" t="s">
        <v>155</v>
      </c>
      <c r="AT91" s="56">
        <f t="shared" si="39"/>
        <v>0</v>
      </c>
    </row>
    <row r="92" spans="1:46" ht="15" customHeight="1" x14ac:dyDescent="0.45">
      <c r="A92" s="203"/>
      <c r="B92" s="185"/>
      <c r="C92" s="105">
        <v>79</v>
      </c>
      <c r="D92" s="206" t="s">
        <v>334</v>
      </c>
      <c r="E92" s="206" t="s">
        <v>335</v>
      </c>
      <c r="F92" s="92" t="s">
        <v>203</v>
      </c>
      <c r="G92" s="93"/>
      <c r="H92" s="94">
        <f t="shared" si="36"/>
        <v>0</v>
      </c>
      <c r="I92" s="94">
        <v>0.01</v>
      </c>
      <c r="J92" s="94">
        <f t="shared" si="36"/>
        <v>0.59430000000000005</v>
      </c>
      <c r="K92" s="80">
        <f t="shared" si="37"/>
        <v>0.01</v>
      </c>
      <c r="L92" s="270">
        <f t="shared" si="37"/>
        <v>0.59430000000000005</v>
      </c>
      <c r="M92" s="112"/>
      <c r="N92" s="112">
        <f t="shared" si="22"/>
        <v>0</v>
      </c>
      <c r="O92" s="112"/>
      <c r="P92" s="112">
        <f t="shared" si="23"/>
        <v>0</v>
      </c>
      <c r="Q92" s="112"/>
      <c r="R92" s="112">
        <f t="shared" si="24"/>
        <v>0</v>
      </c>
      <c r="S92" s="112"/>
      <c r="T92" s="112">
        <f t="shared" si="25"/>
        <v>0</v>
      </c>
      <c r="U92" s="112"/>
      <c r="V92" s="112">
        <f t="shared" si="26"/>
        <v>0</v>
      </c>
      <c r="W92" s="112"/>
      <c r="X92" s="112">
        <f t="shared" si="27"/>
        <v>0</v>
      </c>
      <c r="Y92" s="99">
        <f t="shared" si="28"/>
        <v>0</v>
      </c>
      <c r="Z92" s="275">
        <f t="shared" si="28"/>
        <v>0</v>
      </c>
      <c r="AA92" s="111">
        <v>0.01</v>
      </c>
      <c r="AB92" s="112">
        <f t="shared" si="29"/>
        <v>0.26240724612727273</v>
      </c>
      <c r="AC92" s="180">
        <v>0.01</v>
      </c>
      <c r="AD92" s="180">
        <f t="shared" si="30"/>
        <v>0.26240724612727273</v>
      </c>
      <c r="AE92" s="180">
        <v>0.01</v>
      </c>
      <c r="AF92" s="180">
        <f t="shared" si="31"/>
        <v>0.26240724612727273</v>
      </c>
      <c r="AG92" s="112">
        <v>0.01</v>
      </c>
      <c r="AH92" s="112">
        <f t="shared" si="32"/>
        <v>0.26240724612727273</v>
      </c>
      <c r="AI92" s="112">
        <v>0.01</v>
      </c>
      <c r="AJ92" s="112">
        <f t="shared" si="33"/>
        <v>0.26240724612727273</v>
      </c>
      <c r="AK92" s="99">
        <f t="shared" si="34"/>
        <v>0.05</v>
      </c>
      <c r="AL92" s="100">
        <f t="shared" si="34"/>
        <v>1.3120362306363638</v>
      </c>
      <c r="AM92" s="274"/>
      <c r="AN92" s="98">
        <f t="shared" si="35"/>
        <v>0</v>
      </c>
      <c r="AO92" s="99">
        <f t="shared" si="38"/>
        <v>0</v>
      </c>
      <c r="AP92" s="276">
        <f t="shared" si="38"/>
        <v>0</v>
      </c>
      <c r="AQ92" s="103">
        <f t="shared" si="21"/>
        <v>6.0000000000000005E-2</v>
      </c>
      <c r="AR92" s="104">
        <f t="shared" si="21"/>
        <v>1.9063362306363638</v>
      </c>
      <c r="AS92" s="56" t="s">
        <v>155</v>
      </c>
      <c r="AT92" s="56">
        <f t="shared" si="39"/>
        <v>0</v>
      </c>
    </row>
    <row r="93" spans="1:46" ht="15" customHeight="1" x14ac:dyDescent="0.45">
      <c r="A93" s="203"/>
      <c r="B93" s="185"/>
      <c r="C93" s="105">
        <v>80</v>
      </c>
      <c r="D93" s="206" t="s">
        <v>336</v>
      </c>
      <c r="E93" s="206" t="s">
        <v>337</v>
      </c>
      <c r="F93" s="92" t="s">
        <v>203</v>
      </c>
      <c r="G93" s="93"/>
      <c r="H93" s="94">
        <f t="shared" si="36"/>
        <v>0</v>
      </c>
      <c r="I93" s="94">
        <v>0.01</v>
      </c>
      <c r="J93" s="94">
        <f t="shared" si="36"/>
        <v>0.59430000000000005</v>
      </c>
      <c r="K93" s="80">
        <f t="shared" si="37"/>
        <v>0.01</v>
      </c>
      <c r="L93" s="270">
        <f t="shared" si="37"/>
        <v>0.59430000000000005</v>
      </c>
      <c r="M93" s="112"/>
      <c r="N93" s="112">
        <f t="shared" si="22"/>
        <v>0</v>
      </c>
      <c r="O93" s="112"/>
      <c r="P93" s="112">
        <f t="shared" si="23"/>
        <v>0</v>
      </c>
      <c r="Q93" s="112"/>
      <c r="R93" s="112">
        <f t="shared" si="24"/>
        <v>0</v>
      </c>
      <c r="S93" s="112"/>
      <c r="T93" s="112">
        <f t="shared" si="25"/>
        <v>0</v>
      </c>
      <c r="U93" s="112"/>
      <c r="V93" s="112">
        <f t="shared" si="26"/>
        <v>0</v>
      </c>
      <c r="W93" s="112"/>
      <c r="X93" s="112">
        <f t="shared" si="27"/>
        <v>0</v>
      </c>
      <c r="Y93" s="99">
        <f t="shared" si="28"/>
        <v>0</v>
      </c>
      <c r="Z93" s="275">
        <f t="shared" si="28"/>
        <v>0</v>
      </c>
      <c r="AA93" s="111">
        <v>0.01</v>
      </c>
      <c r="AB93" s="112">
        <f t="shared" si="29"/>
        <v>0.26240724612727273</v>
      </c>
      <c r="AC93" s="180">
        <v>0.01</v>
      </c>
      <c r="AD93" s="180">
        <f t="shared" si="30"/>
        <v>0.26240724612727273</v>
      </c>
      <c r="AE93" s="180">
        <v>0.01</v>
      </c>
      <c r="AF93" s="180">
        <f t="shared" si="31"/>
        <v>0.26240724612727273</v>
      </c>
      <c r="AG93" s="112">
        <v>0.01</v>
      </c>
      <c r="AH93" s="112">
        <f t="shared" si="32"/>
        <v>0.26240724612727273</v>
      </c>
      <c r="AI93" s="112">
        <v>0.01</v>
      </c>
      <c r="AJ93" s="112">
        <f t="shared" si="33"/>
        <v>0.26240724612727273</v>
      </c>
      <c r="AK93" s="99">
        <f t="shared" si="34"/>
        <v>0.05</v>
      </c>
      <c r="AL93" s="100">
        <f t="shared" si="34"/>
        <v>1.3120362306363638</v>
      </c>
      <c r="AM93" s="274"/>
      <c r="AN93" s="98">
        <f t="shared" si="35"/>
        <v>0</v>
      </c>
      <c r="AO93" s="99">
        <f t="shared" si="38"/>
        <v>0</v>
      </c>
      <c r="AP93" s="276">
        <f t="shared" si="38"/>
        <v>0</v>
      </c>
      <c r="AQ93" s="103">
        <f t="shared" si="21"/>
        <v>6.0000000000000005E-2</v>
      </c>
      <c r="AR93" s="104">
        <f t="shared" si="21"/>
        <v>1.9063362306363638</v>
      </c>
      <c r="AS93" s="56" t="s">
        <v>155</v>
      </c>
      <c r="AT93" s="56">
        <f t="shared" si="39"/>
        <v>0</v>
      </c>
    </row>
    <row r="94" spans="1:46" ht="15" customHeight="1" x14ac:dyDescent="0.45">
      <c r="A94" s="203"/>
      <c r="B94" s="185"/>
      <c r="C94" s="91">
        <v>81</v>
      </c>
      <c r="D94" s="24" t="s">
        <v>338</v>
      </c>
      <c r="E94" s="204" t="s">
        <v>339</v>
      </c>
      <c r="F94" s="208" t="s">
        <v>203</v>
      </c>
      <c r="G94" s="93">
        <v>0.01</v>
      </c>
      <c r="H94" s="94">
        <f t="shared" si="36"/>
        <v>0.59430000000000005</v>
      </c>
      <c r="I94" s="94"/>
      <c r="J94" s="94">
        <f t="shared" si="36"/>
        <v>0</v>
      </c>
      <c r="K94" s="80">
        <f t="shared" si="37"/>
        <v>0.01</v>
      </c>
      <c r="L94" s="270">
        <f t="shared" si="37"/>
        <v>0.59430000000000005</v>
      </c>
      <c r="M94" s="112">
        <v>0.01</v>
      </c>
      <c r="N94" s="112">
        <f t="shared" si="22"/>
        <v>0.26240724612727279</v>
      </c>
      <c r="O94" s="112">
        <v>0.01</v>
      </c>
      <c r="P94" s="112">
        <f t="shared" si="23"/>
        <v>0.26240724612727279</v>
      </c>
      <c r="Q94" s="112">
        <v>0.01</v>
      </c>
      <c r="R94" s="112">
        <f t="shared" si="24"/>
        <v>0.26240724612727279</v>
      </c>
      <c r="S94" s="112">
        <v>0.01</v>
      </c>
      <c r="T94" s="112">
        <f t="shared" si="25"/>
        <v>0.26240724612727279</v>
      </c>
      <c r="U94" s="112">
        <v>0.01</v>
      </c>
      <c r="V94" s="112">
        <f t="shared" si="26"/>
        <v>0.26240724612727279</v>
      </c>
      <c r="W94" s="112">
        <v>0.01</v>
      </c>
      <c r="X94" s="112">
        <f t="shared" si="27"/>
        <v>0.26240724612727279</v>
      </c>
      <c r="Y94" s="99">
        <f t="shared" si="28"/>
        <v>6.0000000000000005E-2</v>
      </c>
      <c r="Z94" s="275">
        <f t="shared" si="28"/>
        <v>1.5744434767636368</v>
      </c>
      <c r="AA94" s="111">
        <v>0.01</v>
      </c>
      <c r="AB94" s="112">
        <f t="shared" si="29"/>
        <v>0.26240724612727273</v>
      </c>
      <c r="AC94" s="180">
        <v>0.01</v>
      </c>
      <c r="AD94" s="180">
        <f t="shared" si="30"/>
        <v>0.26240724612727273</v>
      </c>
      <c r="AE94" s="180">
        <v>0.01</v>
      </c>
      <c r="AF94" s="180">
        <f t="shared" si="31"/>
        <v>0.26240724612727273</v>
      </c>
      <c r="AG94" s="112">
        <v>0.01</v>
      </c>
      <c r="AH94" s="112">
        <f t="shared" si="32"/>
        <v>0.26240724612727273</v>
      </c>
      <c r="AI94" s="112">
        <v>0.01</v>
      </c>
      <c r="AJ94" s="112">
        <f t="shared" si="33"/>
        <v>0.26240724612727273</v>
      </c>
      <c r="AK94" s="99">
        <f t="shared" si="34"/>
        <v>0.05</v>
      </c>
      <c r="AL94" s="100">
        <f t="shared" si="34"/>
        <v>1.3120362306363638</v>
      </c>
      <c r="AM94" s="274"/>
      <c r="AN94" s="98">
        <f t="shared" si="35"/>
        <v>0</v>
      </c>
      <c r="AO94" s="99">
        <f t="shared" si="38"/>
        <v>0</v>
      </c>
      <c r="AP94" s="276">
        <f t="shared" si="38"/>
        <v>0</v>
      </c>
      <c r="AQ94" s="103">
        <f t="shared" si="21"/>
        <v>0.12000000000000001</v>
      </c>
      <c r="AR94" s="104">
        <f t="shared" si="21"/>
        <v>3.4807797074000004</v>
      </c>
      <c r="AS94" s="56" t="s">
        <v>155</v>
      </c>
      <c r="AT94" s="56">
        <f t="shared" si="39"/>
        <v>0</v>
      </c>
    </row>
    <row r="95" spans="1:46" ht="15" customHeight="1" x14ac:dyDescent="0.45">
      <c r="A95" s="203"/>
      <c r="B95" s="185"/>
      <c r="C95" s="75">
        <v>82</v>
      </c>
      <c r="D95" s="209" t="s">
        <v>340</v>
      </c>
      <c r="E95" s="206" t="s">
        <v>341</v>
      </c>
      <c r="F95" s="92" t="s">
        <v>342</v>
      </c>
      <c r="G95" s="93"/>
      <c r="H95" s="94">
        <f t="shared" si="36"/>
        <v>0</v>
      </c>
      <c r="I95" s="94"/>
      <c r="J95" s="94">
        <f t="shared" si="36"/>
        <v>0</v>
      </c>
      <c r="K95" s="80">
        <f t="shared" si="37"/>
        <v>0</v>
      </c>
      <c r="L95" s="270">
        <f t="shared" si="37"/>
        <v>0</v>
      </c>
      <c r="M95" s="112">
        <v>0.01</v>
      </c>
      <c r="N95" s="112">
        <f t="shared" si="22"/>
        <v>0.26240724612727279</v>
      </c>
      <c r="O95" s="112">
        <v>0.01</v>
      </c>
      <c r="P95" s="112">
        <f t="shared" si="23"/>
        <v>0.26240724612727279</v>
      </c>
      <c r="Q95" s="112">
        <v>0.01</v>
      </c>
      <c r="R95" s="112">
        <f t="shared" si="24"/>
        <v>0.26240724612727279</v>
      </c>
      <c r="S95" s="112">
        <v>0.01</v>
      </c>
      <c r="T95" s="112">
        <f t="shared" si="25"/>
        <v>0.26240724612727279</v>
      </c>
      <c r="U95" s="112">
        <v>0.01</v>
      </c>
      <c r="V95" s="112">
        <f t="shared" si="26"/>
        <v>0.26240724612727279</v>
      </c>
      <c r="W95" s="112">
        <v>0.01</v>
      </c>
      <c r="X95" s="112">
        <f t="shared" si="27"/>
        <v>0.26240724612727279</v>
      </c>
      <c r="Y95" s="99">
        <f t="shared" si="28"/>
        <v>6.0000000000000005E-2</v>
      </c>
      <c r="Z95" s="275">
        <f t="shared" si="28"/>
        <v>1.5744434767636368</v>
      </c>
      <c r="AA95" s="111"/>
      <c r="AB95" s="112">
        <f t="shared" si="29"/>
        <v>0</v>
      </c>
      <c r="AC95" s="112"/>
      <c r="AD95" s="112">
        <f t="shared" si="30"/>
        <v>0</v>
      </c>
      <c r="AE95" s="112"/>
      <c r="AF95" s="112">
        <f t="shared" si="31"/>
        <v>0</v>
      </c>
      <c r="AG95" s="112"/>
      <c r="AH95" s="112">
        <f t="shared" si="32"/>
        <v>0</v>
      </c>
      <c r="AI95" s="112"/>
      <c r="AJ95" s="112">
        <f t="shared" si="33"/>
        <v>0</v>
      </c>
      <c r="AK95" s="99">
        <f t="shared" si="34"/>
        <v>0</v>
      </c>
      <c r="AL95" s="100">
        <f t="shared" si="34"/>
        <v>0</v>
      </c>
      <c r="AM95" s="274"/>
      <c r="AN95" s="98">
        <f t="shared" si="35"/>
        <v>0</v>
      </c>
      <c r="AO95" s="99">
        <f t="shared" si="38"/>
        <v>0</v>
      </c>
      <c r="AP95" s="276">
        <f t="shared" si="38"/>
        <v>0</v>
      </c>
      <c r="AQ95" s="103">
        <f t="shared" si="21"/>
        <v>6.0000000000000005E-2</v>
      </c>
      <c r="AR95" s="104">
        <f t="shared" si="21"/>
        <v>1.5744434767636368</v>
      </c>
      <c r="AS95" s="56" t="s">
        <v>155</v>
      </c>
      <c r="AT95" s="56">
        <f t="shared" si="39"/>
        <v>0</v>
      </c>
    </row>
    <row r="96" spans="1:46" ht="15" customHeight="1" x14ac:dyDescent="0.45">
      <c r="A96" s="203"/>
      <c r="B96" s="113" t="s">
        <v>343</v>
      </c>
      <c r="C96" s="91">
        <v>83</v>
      </c>
      <c r="D96" s="24" t="s">
        <v>344</v>
      </c>
      <c r="E96" s="204" t="s">
        <v>345</v>
      </c>
      <c r="F96" s="92" t="s">
        <v>165</v>
      </c>
      <c r="G96" s="93">
        <v>7.0000000000000007E-2</v>
      </c>
      <c r="H96" s="94">
        <f t="shared" si="36"/>
        <v>4.1601000000000008</v>
      </c>
      <c r="I96" s="94"/>
      <c r="J96" s="94">
        <f t="shared" si="36"/>
        <v>0</v>
      </c>
      <c r="K96" s="80">
        <f t="shared" si="37"/>
        <v>7.0000000000000007E-2</v>
      </c>
      <c r="L96" s="270">
        <f t="shared" si="37"/>
        <v>4.1601000000000008</v>
      </c>
      <c r="M96" s="112">
        <v>0.01</v>
      </c>
      <c r="N96" s="112">
        <f t="shared" si="22"/>
        <v>0.26240724612727279</v>
      </c>
      <c r="O96" s="112">
        <v>0.01</v>
      </c>
      <c r="P96" s="112">
        <f t="shared" si="23"/>
        <v>0.26240724612727279</v>
      </c>
      <c r="Q96" s="112">
        <v>0.01</v>
      </c>
      <c r="R96" s="112">
        <f t="shared" si="24"/>
        <v>0.26240724612727279</v>
      </c>
      <c r="S96" s="112">
        <v>0.01</v>
      </c>
      <c r="T96" s="112">
        <f t="shared" si="25"/>
        <v>0.26240724612727279</v>
      </c>
      <c r="U96" s="112">
        <v>0.01</v>
      </c>
      <c r="V96" s="112">
        <f t="shared" si="26"/>
        <v>0.26240724612727279</v>
      </c>
      <c r="W96" s="112">
        <v>0.01</v>
      </c>
      <c r="X96" s="112">
        <f t="shared" si="27"/>
        <v>0.26240724612727279</v>
      </c>
      <c r="Y96" s="99">
        <f t="shared" si="28"/>
        <v>6.0000000000000005E-2</v>
      </c>
      <c r="Z96" s="275">
        <f t="shared" si="28"/>
        <v>1.5744434767636368</v>
      </c>
      <c r="AA96" s="111"/>
      <c r="AB96" s="112">
        <f t="shared" si="29"/>
        <v>0</v>
      </c>
      <c r="AC96" s="112"/>
      <c r="AD96" s="112">
        <f t="shared" si="30"/>
        <v>0</v>
      </c>
      <c r="AE96" s="112"/>
      <c r="AF96" s="112">
        <f t="shared" si="31"/>
        <v>0</v>
      </c>
      <c r="AG96" s="112"/>
      <c r="AH96" s="112">
        <f t="shared" si="32"/>
        <v>0</v>
      </c>
      <c r="AI96" s="112"/>
      <c r="AJ96" s="112">
        <f t="shared" si="33"/>
        <v>0</v>
      </c>
      <c r="AK96" s="99">
        <f t="shared" si="34"/>
        <v>0</v>
      </c>
      <c r="AL96" s="100">
        <f t="shared" si="34"/>
        <v>0</v>
      </c>
      <c r="AM96" s="274"/>
      <c r="AN96" s="98">
        <f t="shared" si="35"/>
        <v>0</v>
      </c>
      <c r="AO96" s="99">
        <f t="shared" si="38"/>
        <v>0</v>
      </c>
      <c r="AP96" s="276">
        <f t="shared" si="38"/>
        <v>0</v>
      </c>
      <c r="AQ96" s="103">
        <f t="shared" si="21"/>
        <v>0.13</v>
      </c>
      <c r="AR96" s="104">
        <f t="shared" si="21"/>
        <v>5.7345434767636378</v>
      </c>
      <c r="AS96" s="56" t="s">
        <v>155</v>
      </c>
      <c r="AT96" s="56">
        <f t="shared" si="39"/>
        <v>0</v>
      </c>
    </row>
    <row r="97" spans="1:46" ht="15" customHeight="1" x14ac:dyDescent="0.45">
      <c r="A97" s="203"/>
      <c r="B97" s="185"/>
      <c r="C97" s="91">
        <v>84</v>
      </c>
      <c r="D97" s="206" t="s">
        <v>346</v>
      </c>
      <c r="E97" s="206" t="s">
        <v>347</v>
      </c>
      <c r="F97" s="92" t="s">
        <v>165</v>
      </c>
      <c r="G97" s="93"/>
      <c r="H97" s="94">
        <f t="shared" si="36"/>
        <v>0</v>
      </c>
      <c r="I97" s="94"/>
      <c r="J97" s="94">
        <f t="shared" si="36"/>
        <v>0</v>
      </c>
      <c r="K97" s="80">
        <f t="shared" si="37"/>
        <v>0</v>
      </c>
      <c r="L97" s="270">
        <f t="shared" si="37"/>
        <v>0</v>
      </c>
      <c r="M97" s="112">
        <v>0.01</v>
      </c>
      <c r="N97" s="112">
        <f t="shared" si="22"/>
        <v>0.26240724612727279</v>
      </c>
      <c r="O97" s="112">
        <v>0.01</v>
      </c>
      <c r="P97" s="112">
        <f t="shared" si="23"/>
        <v>0.26240724612727279</v>
      </c>
      <c r="Q97" s="112">
        <v>0.01</v>
      </c>
      <c r="R97" s="112">
        <f t="shared" si="24"/>
        <v>0.26240724612727279</v>
      </c>
      <c r="S97" s="112">
        <v>0.01</v>
      </c>
      <c r="T97" s="112">
        <f t="shared" si="25"/>
        <v>0.26240724612727279</v>
      </c>
      <c r="U97" s="112">
        <v>0.01</v>
      </c>
      <c r="V97" s="112">
        <f t="shared" si="26"/>
        <v>0.26240724612727279</v>
      </c>
      <c r="W97" s="112">
        <v>0.01</v>
      </c>
      <c r="X97" s="112">
        <f t="shared" si="27"/>
        <v>0.26240724612727279</v>
      </c>
      <c r="Y97" s="99">
        <f t="shared" si="28"/>
        <v>6.0000000000000005E-2</v>
      </c>
      <c r="Z97" s="275">
        <f t="shared" si="28"/>
        <v>1.5744434767636368</v>
      </c>
      <c r="AA97" s="111"/>
      <c r="AB97" s="112">
        <f t="shared" si="29"/>
        <v>0</v>
      </c>
      <c r="AC97" s="112"/>
      <c r="AD97" s="112">
        <f t="shared" si="30"/>
        <v>0</v>
      </c>
      <c r="AE97" s="112"/>
      <c r="AF97" s="112">
        <f t="shared" si="31"/>
        <v>0</v>
      </c>
      <c r="AG97" s="112"/>
      <c r="AH97" s="112">
        <f t="shared" si="32"/>
        <v>0</v>
      </c>
      <c r="AI97" s="112"/>
      <c r="AJ97" s="112">
        <f t="shared" si="33"/>
        <v>0</v>
      </c>
      <c r="AK97" s="99">
        <f t="shared" si="34"/>
        <v>0</v>
      </c>
      <c r="AL97" s="100">
        <f t="shared" si="34"/>
        <v>0</v>
      </c>
      <c r="AM97" s="274"/>
      <c r="AN97" s="98">
        <f t="shared" si="35"/>
        <v>0</v>
      </c>
      <c r="AO97" s="99">
        <f t="shared" si="38"/>
        <v>0</v>
      </c>
      <c r="AP97" s="276">
        <f t="shared" si="38"/>
        <v>0</v>
      </c>
      <c r="AQ97" s="103">
        <f t="shared" si="21"/>
        <v>6.0000000000000005E-2</v>
      </c>
      <c r="AR97" s="104">
        <f t="shared" si="21"/>
        <v>1.5744434767636368</v>
      </c>
      <c r="AS97" s="56" t="s">
        <v>155</v>
      </c>
      <c r="AT97" s="56">
        <f t="shared" si="39"/>
        <v>0</v>
      </c>
    </row>
    <row r="98" spans="1:46" ht="15" customHeight="1" x14ac:dyDescent="0.45">
      <c r="A98" s="203"/>
      <c r="B98" s="185"/>
      <c r="C98" s="105">
        <v>85</v>
      </c>
      <c r="D98" s="206" t="s">
        <v>348</v>
      </c>
      <c r="E98" s="206" t="s">
        <v>349</v>
      </c>
      <c r="F98" s="92"/>
      <c r="G98" s="93">
        <v>0.05</v>
      </c>
      <c r="H98" s="94">
        <f t="shared" si="36"/>
        <v>2.9715000000000003</v>
      </c>
      <c r="I98" s="94"/>
      <c r="J98" s="94">
        <f t="shared" si="36"/>
        <v>0</v>
      </c>
      <c r="K98" s="80">
        <f t="shared" si="37"/>
        <v>0.05</v>
      </c>
      <c r="L98" s="270">
        <f t="shared" si="37"/>
        <v>2.9715000000000003</v>
      </c>
      <c r="M98" s="112"/>
      <c r="N98" s="112">
        <f t="shared" si="22"/>
        <v>0</v>
      </c>
      <c r="O98" s="112"/>
      <c r="P98" s="112">
        <f t="shared" si="23"/>
        <v>0</v>
      </c>
      <c r="Q98" s="112"/>
      <c r="R98" s="112">
        <f t="shared" si="24"/>
        <v>0</v>
      </c>
      <c r="S98" s="112"/>
      <c r="T98" s="112">
        <f t="shared" si="25"/>
        <v>0</v>
      </c>
      <c r="U98" s="112"/>
      <c r="V98" s="112">
        <f t="shared" si="26"/>
        <v>0</v>
      </c>
      <c r="W98" s="112"/>
      <c r="X98" s="112">
        <f t="shared" si="27"/>
        <v>0</v>
      </c>
      <c r="Y98" s="99">
        <f t="shared" si="28"/>
        <v>0</v>
      </c>
      <c r="Z98" s="275">
        <f t="shared" si="28"/>
        <v>0</v>
      </c>
      <c r="AA98" s="111"/>
      <c r="AB98" s="112">
        <f t="shared" si="29"/>
        <v>0</v>
      </c>
      <c r="AC98" s="112"/>
      <c r="AD98" s="112">
        <f t="shared" si="30"/>
        <v>0</v>
      </c>
      <c r="AE98" s="112"/>
      <c r="AF98" s="112">
        <f t="shared" si="31"/>
        <v>0</v>
      </c>
      <c r="AG98" s="112"/>
      <c r="AH98" s="112">
        <f t="shared" si="32"/>
        <v>0</v>
      </c>
      <c r="AI98" s="112"/>
      <c r="AJ98" s="112">
        <f t="shared" si="33"/>
        <v>0</v>
      </c>
      <c r="AK98" s="99">
        <f t="shared" si="34"/>
        <v>0</v>
      </c>
      <c r="AL98" s="100">
        <f t="shared" si="34"/>
        <v>0</v>
      </c>
      <c r="AM98" s="274"/>
      <c r="AN98" s="98">
        <f t="shared" si="35"/>
        <v>0</v>
      </c>
      <c r="AO98" s="99">
        <f t="shared" si="38"/>
        <v>0</v>
      </c>
      <c r="AP98" s="276">
        <f t="shared" si="38"/>
        <v>0</v>
      </c>
      <c r="AQ98" s="103">
        <f t="shared" si="21"/>
        <v>0.05</v>
      </c>
      <c r="AR98" s="104">
        <f t="shared" si="21"/>
        <v>2.9715000000000003</v>
      </c>
      <c r="AS98" s="56" t="s">
        <v>155</v>
      </c>
      <c r="AT98" s="56">
        <f t="shared" si="39"/>
        <v>0</v>
      </c>
    </row>
    <row r="99" spans="1:46" ht="15" customHeight="1" x14ac:dyDescent="0.45">
      <c r="A99" s="203"/>
      <c r="B99" s="185"/>
      <c r="C99" s="105">
        <v>86</v>
      </c>
      <c r="D99" s="24" t="s">
        <v>350</v>
      </c>
      <c r="E99" s="204" t="s">
        <v>351</v>
      </c>
      <c r="F99" s="77" t="s">
        <v>165</v>
      </c>
      <c r="G99" s="93">
        <v>0.01</v>
      </c>
      <c r="H99" s="94">
        <f t="shared" si="36"/>
        <v>0.59430000000000005</v>
      </c>
      <c r="I99" s="94"/>
      <c r="J99" s="94">
        <f t="shared" si="36"/>
        <v>0</v>
      </c>
      <c r="K99" s="80">
        <f t="shared" si="37"/>
        <v>0.01</v>
      </c>
      <c r="L99" s="270">
        <f t="shared" si="37"/>
        <v>0.59430000000000005</v>
      </c>
      <c r="M99" s="112">
        <v>0.01</v>
      </c>
      <c r="N99" s="112">
        <f t="shared" si="22"/>
        <v>0.26240724612727279</v>
      </c>
      <c r="O99" s="112">
        <v>0.01</v>
      </c>
      <c r="P99" s="112">
        <f t="shared" si="23"/>
        <v>0.26240724612727279</v>
      </c>
      <c r="Q99" s="112">
        <v>0.01</v>
      </c>
      <c r="R99" s="112">
        <f t="shared" si="24"/>
        <v>0.26240724612727279</v>
      </c>
      <c r="S99" s="112">
        <v>0.01</v>
      </c>
      <c r="T99" s="112">
        <f t="shared" si="25"/>
        <v>0.26240724612727279</v>
      </c>
      <c r="U99" s="112">
        <v>0.01</v>
      </c>
      <c r="V99" s="112">
        <f t="shared" si="26"/>
        <v>0.26240724612727279</v>
      </c>
      <c r="W99" s="112">
        <v>0.01</v>
      </c>
      <c r="X99" s="112">
        <f t="shared" si="27"/>
        <v>0.26240724612727279</v>
      </c>
      <c r="Y99" s="99">
        <f t="shared" si="28"/>
        <v>6.0000000000000005E-2</v>
      </c>
      <c r="Z99" s="275">
        <f t="shared" si="28"/>
        <v>1.5744434767636368</v>
      </c>
      <c r="AA99" s="111"/>
      <c r="AB99" s="112">
        <f t="shared" si="29"/>
        <v>0</v>
      </c>
      <c r="AC99" s="112"/>
      <c r="AD99" s="112">
        <f t="shared" si="30"/>
        <v>0</v>
      </c>
      <c r="AE99" s="112"/>
      <c r="AF99" s="112">
        <f t="shared" si="31"/>
        <v>0</v>
      </c>
      <c r="AG99" s="112"/>
      <c r="AH99" s="112">
        <f t="shared" si="32"/>
        <v>0</v>
      </c>
      <c r="AI99" s="112"/>
      <c r="AJ99" s="112">
        <f t="shared" si="33"/>
        <v>0</v>
      </c>
      <c r="AK99" s="99">
        <f t="shared" si="34"/>
        <v>0</v>
      </c>
      <c r="AL99" s="100">
        <f t="shared" si="34"/>
        <v>0</v>
      </c>
      <c r="AM99" s="274"/>
      <c r="AN99" s="98">
        <f t="shared" si="35"/>
        <v>0</v>
      </c>
      <c r="AO99" s="99">
        <f t="shared" si="38"/>
        <v>0</v>
      </c>
      <c r="AP99" s="276">
        <f t="shared" si="38"/>
        <v>0</v>
      </c>
      <c r="AQ99" s="103">
        <f t="shared" si="21"/>
        <v>7.0000000000000007E-2</v>
      </c>
      <c r="AR99" s="104">
        <f t="shared" si="21"/>
        <v>2.1687434767636367</v>
      </c>
      <c r="AS99" s="56" t="s">
        <v>155</v>
      </c>
      <c r="AT99" s="56">
        <f t="shared" si="39"/>
        <v>0</v>
      </c>
    </row>
    <row r="100" spans="1:46" ht="15" customHeight="1" x14ac:dyDescent="0.45">
      <c r="A100" s="203"/>
      <c r="B100" s="185"/>
      <c r="C100" s="91">
        <v>87</v>
      </c>
      <c r="D100" s="206" t="s">
        <v>352</v>
      </c>
      <c r="E100" s="206" t="s">
        <v>353</v>
      </c>
      <c r="F100" s="92" t="s">
        <v>165</v>
      </c>
      <c r="G100" s="93">
        <v>0.01</v>
      </c>
      <c r="H100" s="94">
        <f t="shared" si="36"/>
        <v>0.59430000000000005</v>
      </c>
      <c r="I100" s="94"/>
      <c r="J100" s="94">
        <f t="shared" si="36"/>
        <v>0</v>
      </c>
      <c r="K100" s="80">
        <f t="shared" si="37"/>
        <v>0.01</v>
      </c>
      <c r="L100" s="270">
        <f t="shared" si="37"/>
        <v>0.59430000000000005</v>
      </c>
      <c r="M100" s="112">
        <v>0.01</v>
      </c>
      <c r="N100" s="112">
        <f t="shared" si="22"/>
        <v>0.26240724612727279</v>
      </c>
      <c r="O100" s="112">
        <v>0.01</v>
      </c>
      <c r="P100" s="112">
        <f t="shared" si="23"/>
        <v>0.26240724612727279</v>
      </c>
      <c r="Q100" s="112">
        <v>0.01</v>
      </c>
      <c r="R100" s="112">
        <f t="shared" si="24"/>
        <v>0.26240724612727279</v>
      </c>
      <c r="S100" s="112">
        <v>0.01</v>
      </c>
      <c r="T100" s="112">
        <f t="shared" si="25"/>
        <v>0.26240724612727279</v>
      </c>
      <c r="U100" s="112">
        <v>0.01</v>
      </c>
      <c r="V100" s="112">
        <f t="shared" si="26"/>
        <v>0.26240724612727279</v>
      </c>
      <c r="W100" s="112">
        <v>0.01</v>
      </c>
      <c r="X100" s="112">
        <f t="shared" si="27"/>
        <v>0.26240724612727279</v>
      </c>
      <c r="Y100" s="99">
        <f t="shared" si="28"/>
        <v>6.0000000000000005E-2</v>
      </c>
      <c r="Z100" s="275">
        <f t="shared" si="28"/>
        <v>1.5744434767636368</v>
      </c>
      <c r="AA100" s="111"/>
      <c r="AB100" s="112">
        <f t="shared" si="29"/>
        <v>0</v>
      </c>
      <c r="AC100" s="112"/>
      <c r="AD100" s="112">
        <f t="shared" si="30"/>
        <v>0</v>
      </c>
      <c r="AE100" s="112"/>
      <c r="AF100" s="112">
        <f t="shared" si="31"/>
        <v>0</v>
      </c>
      <c r="AG100" s="112"/>
      <c r="AH100" s="112">
        <f t="shared" si="32"/>
        <v>0</v>
      </c>
      <c r="AI100" s="112"/>
      <c r="AJ100" s="112">
        <f t="shared" si="33"/>
        <v>0</v>
      </c>
      <c r="AK100" s="99">
        <f t="shared" si="34"/>
        <v>0</v>
      </c>
      <c r="AL100" s="100">
        <f t="shared" si="34"/>
        <v>0</v>
      </c>
      <c r="AM100" s="274"/>
      <c r="AN100" s="98">
        <f t="shared" si="35"/>
        <v>0</v>
      </c>
      <c r="AO100" s="99">
        <f t="shared" si="38"/>
        <v>0</v>
      </c>
      <c r="AP100" s="276">
        <f t="shared" si="38"/>
        <v>0</v>
      </c>
      <c r="AQ100" s="103">
        <f t="shared" si="21"/>
        <v>7.0000000000000007E-2</v>
      </c>
      <c r="AR100" s="104">
        <f t="shared" si="21"/>
        <v>2.1687434767636367</v>
      </c>
      <c r="AS100" s="56" t="s">
        <v>155</v>
      </c>
      <c r="AT100" s="56">
        <f t="shared" si="39"/>
        <v>0</v>
      </c>
    </row>
    <row r="101" spans="1:46" ht="15" customHeight="1" x14ac:dyDescent="0.45">
      <c r="A101" s="203"/>
      <c r="B101" s="185"/>
      <c r="C101" s="105">
        <v>88</v>
      </c>
      <c r="D101" s="24" t="s">
        <v>354</v>
      </c>
      <c r="E101" s="204" t="s">
        <v>355</v>
      </c>
      <c r="F101" s="92" t="s">
        <v>165</v>
      </c>
      <c r="G101" s="93">
        <v>0.05</v>
      </c>
      <c r="H101" s="94">
        <f t="shared" si="36"/>
        <v>2.9715000000000003</v>
      </c>
      <c r="I101" s="94"/>
      <c r="J101" s="94">
        <f t="shared" si="36"/>
        <v>0</v>
      </c>
      <c r="K101" s="80">
        <f t="shared" si="37"/>
        <v>0.05</v>
      </c>
      <c r="L101" s="270">
        <f t="shared" si="37"/>
        <v>2.9715000000000003</v>
      </c>
      <c r="M101" s="112">
        <v>0.01</v>
      </c>
      <c r="N101" s="112">
        <f t="shared" si="22"/>
        <v>0.26240724612727279</v>
      </c>
      <c r="O101" s="112">
        <v>0.01</v>
      </c>
      <c r="P101" s="112">
        <f t="shared" si="23"/>
        <v>0.26240724612727279</v>
      </c>
      <c r="Q101" s="112">
        <v>0.01</v>
      </c>
      <c r="R101" s="112">
        <f t="shared" si="24"/>
        <v>0.26240724612727279</v>
      </c>
      <c r="S101" s="112">
        <v>0.01</v>
      </c>
      <c r="T101" s="112">
        <f t="shared" si="25"/>
        <v>0.26240724612727279</v>
      </c>
      <c r="U101" s="112">
        <v>0.01</v>
      </c>
      <c r="V101" s="112">
        <f t="shared" si="26"/>
        <v>0.26240724612727279</v>
      </c>
      <c r="W101" s="112">
        <v>0.01</v>
      </c>
      <c r="X101" s="112">
        <f t="shared" si="27"/>
        <v>0.26240724612727279</v>
      </c>
      <c r="Y101" s="99">
        <f t="shared" si="28"/>
        <v>6.0000000000000005E-2</v>
      </c>
      <c r="Z101" s="275">
        <f t="shared" si="28"/>
        <v>1.5744434767636368</v>
      </c>
      <c r="AA101" s="111">
        <v>0.01</v>
      </c>
      <c r="AB101" s="112">
        <f t="shared" si="29"/>
        <v>0.26240724612727273</v>
      </c>
      <c r="AC101" s="180">
        <v>0.01</v>
      </c>
      <c r="AD101" s="180">
        <f t="shared" si="30"/>
        <v>0.26240724612727273</v>
      </c>
      <c r="AE101" s="180">
        <v>0.01</v>
      </c>
      <c r="AF101" s="180">
        <f t="shared" si="31"/>
        <v>0.26240724612727273</v>
      </c>
      <c r="AG101" s="112">
        <v>0.01</v>
      </c>
      <c r="AH101" s="112">
        <f t="shared" si="32"/>
        <v>0.26240724612727273</v>
      </c>
      <c r="AI101" s="112">
        <v>0.01</v>
      </c>
      <c r="AJ101" s="112">
        <f t="shared" si="33"/>
        <v>0.26240724612727273</v>
      </c>
      <c r="AK101" s="99">
        <f t="shared" si="34"/>
        <v>0.05</v>
      </c>
      <c r="AL101" s="100">
        <f t="shared" si="34"/>
        <v>1.3120362306363638</v>
      </c>
      <c r="AM101" s="274"/>
      <c r="AN101" s="98">
        <f t="shared" si="35"/>
        <v>0</v>
      </c>
      <c r="AO101" s="99">
        <f t="shared" si="38"/>
        <v>0</v>
      </c>
      <c r="AP101" s="276">
        <f t="shared" si="38"/>
        <v>0</v>
      </c>
      <c r="AQ101" s="103">
        <f t="shared" si="21"/>
        <v>0.16000000000000003</v>
      </c>
      <c r="AR101" s="104">
        <f t="shared" si="21"/>
        <v>5.8579797074000002</v>
      </c>
      <c r="AS101" s="56" t="s">
        <v>155</v>
      </c>
      <c r="AT101" s="56">
        <f t="shared" si="39"/>
        <v>0</v>
      </c>
    </row>
    <row r="102" spans="1:46" ht="15" customHeight="1" x14ac:dyDescent="0.45">
      <c r="A102" s="203"/>
      <c r="B102" s="185"/>
      <c r="C102" s="75">
        <v>89</v>
      </c>
      <c r="D102" s="206" t="s">
        <v>356</v>
      </c>
      <c r="E102" s="206" t="s">
        <v>357</v>
      </c>
      <c r="F102" s="92" t="s">
        <v>165</v>
      </c>
      <c r="G102" s="93"/>
      <c r="H102" s="94">
        <f t="shared" si="36"/>
        <v>0</v>
      </c>
      <c r="I102" s="94"/>
      <c r="J102" s="94">
        <f t="shared" si="36"/>
        <v>0</v>
      </c>
      <c r="K102" s="80">
        <f t="shared" si="37"/>
        <v>0</v>
      </c>
      <c r="L102" s="270">
        <f t="shared" si="37"/>
        <v>0</v>
      </c>
      <c r="M102" s="112">
        <v>0.01</v>
      </c>
      <c r="N102" s="112">
        <f t="shared" si="22"/>
        <v>0.26240724612727279</v>
      </c>
      <c r="O102" s="112">
        <v>0.01</v>
      </c>
      <c r="P102" s="112">
        <f t="shared" si="23"/>
        <v>0.26240724612727279</v>
      </c>
      <c r="Q102" s="112">
        <v>0.01</v>
      </c>
      <c r="R102" s="112">
        <f t="shared" si="24"/>
        <v>0.26240724612727279</v>
      </c>
      <c r="S102" s="112">
        <v>0.01</v>
      </c>
      <c r="T102" s="112">
        <f t="shared" si="25"/>
        <v>0.26240724612727279</v>
      </c>
      <c r="U102" s="112">
        <v>0.01</v>
      </c>
      <c r="V102" s="112">
        <f t="shared" si="26"/>
        <v>0.26240724612727279</v>
      </c>
      <c r="W102" s="112">
        <v>0.01</v>
      </c>
      <c r="X102" s="112">
        <f t="shared" si="27"/>
        <v>0.26240724612727279</v>
      </c>
      <c r="Y102" s="99">
        <f t="shared" si="28"/>
        <v>6.0000000000000005E-2</v>
      </c>
      <c r="Z102" s="275">
        <f t="shared" si="28"/>
        <v>1.5744434767636368</v>
      </c>
      <c r="AA102" s="111">
        <v>0.01</v>
      </c>
      <c r="AB102" s="112">
        <f t="shared" si="29"/>
        <v>0.26240724612727273</v>
      </c>
      <c r="AC102" s="180">
        <v>0.01</v>
      </c>
      <c r="AD102" s="180">
        <f t="shared" si="30"/>
        <v>0.26240724612727273</v>
      </c>
      <c r="AE102" s="180">
        <v>0.01</v>
      </c>
      <c r="AF102" s="180">
        <f t="shared" si="31"/>
        <v>0.26240724612727273</v>
      </c>
      <c r="AG102" s="112">
        <v>0.01</v>
      </c>
      <c r="AH102" s="112">
        <f t="shared" si="32"/>
        <v>0.26240724612727273</v>
      </c>
      <c r="AI102" s="112">
        <v>0.01</v>
      </c>
      <c r="AJ102" s="112">
        <f t="shared" si="33"/>
        <v>0.26240724612727273</v>
      </c>
      <c r="AK102" s="99">
        <f t="shared" si="34"/>
        <v>0.05</v>
      </c>
      <c r="AL102" s="100">
        <f t="shared" si="34"/>
        <v>1.3120362306363638</v>
      </c>
      <c r="AM102" s="274"/>
      <c r="AN102" s="98">
        <f t="shared" si="35"/>
        <v>0</v>
      </c>
      <c r="AO102" s="99">
        <f t="shared" si="38"/>
        <v>0</v>
      </c>
      <c r="AP102" s="276">
        <f t="shared" si="38"/>
        <v>0</v>
      </c>
      <c r="AQ102" s="103">
        <f t="shared" si="21"/>
        <v>0.11000000000000001</v>
      </c>
      <c r="AR102" s="104">
        <f t="shared" si="21"/>
        <v>2.8864797074000004</v>
      </c>
      <c r="AS102" s="56" t="s">
        <v>155</v>
      </c>
      <c r="AT102" s="56">
        <f t="shared" si="39"/>
        <v>0</v>
      </c>
    </row>
    <row r="103" spans="1:46" ht="15" customHeight="1" x14ac:dyDescent="0.45">
      <c r="A103" s="203"/>
      <c r="B103" s="113" t="s">
        <v>358</v>
      </c>
      <c r="C103" s="91">
        <v>90</v>
      </c>
      <c r="D103" s="206" t="s">
        <v>359</v>
      </c>
      <c r="E103" s="206" t="s">
        <v>360</v>
      </c>
      <c r="F103" s="92" t="s">
        <v>154</v>
      </c>
      <c r="G103" s="93">
        <v>0.02</v>
      </c>
      <c r="H103" s="94">
        <f t="shared" si="36"/>
        <v>1.1886000000000001</v>
      </c>
      <c r="I103" s="94"/>
      <c r="J103" s="94">
        <f t="shared" si="36"/>
        <v>0</v>
      </c>
      <c r="K103" s="80">
        <f t="shared" si="37"/>
        <v>0.02</v>
      </c>
      <c r="L103" s="270">
        <f t="shared" si="37"/>
        <v>1.1886000000000001</v>
      </c>
      <c r="M103" s="112">
        <v>0.01</v>
      </c>
      <c r="N103" s="112">
        <f t="shared" si="22"/>
        <v>0.26240724612727279</v>
      </c>
      <c r="O103" s="112">
        <v>0.01</v>
      </c>
      <c r="P103" s="112">
        <f t="shared" si="23"/>
        <v>0.26240724612727279</v>
      </c>
      <c r="Q103" s="112">
        <v>0.01</v>
      </c>
      <c r="R103" s="112">
        <f t="shared" si="24"/>
        <v>0.26240724612727279</v>
      </c>
      <c r="S103" s="112">
        <v>0.01</v>
      </c>
      <c r="T103" s="112">
        <f t="shared" si="25"/>
        <v>0.26240724612727279</v>
      </c>
      <c r="U103" s="112"/>
      <c r="V103" s="112">
        <f t="shared" si="26"/>
        <v>0</v>
      </c>
      <c r="W103" s="112"/>
      <c r="X103" s="112">
        <f t="shared" si="27"/>
        <v>0</v>
      </c>
      <c r="Y103" s="99">
        <f t="shared" si="28"/>
        <v>0.04</v>
      </c>
      <c r="Z103" s="275">
        <f t="shared" si="28"/>
        <v>1.0496289845090911</v>
      </c>
      <c r="AA103" s="111">
        <v>0.01</v>
      </c>
      <c r="AB103" s="112">
        <f t="shared" si="29"/>
        <v>0.26240724612727273</v>
      </c>
      <c r="AC103" s="180">
        <v>0.01</v>
      </c>
      <c r="AD103" s="180">
        <f t="shared" si="30"/>
        <v>0.26240724612727273</v>
      </c>
      <c r="AE103" s="180">
        <v>0.01</v>
      </c>
      <c r="AF103" s="180">
        <f t="shared" si="31"/>
        <v>0.26240724612727273</v>
      </c>
      <c r="AG103" s="112">
        <v>0.01</v>
      </c>
      <c r="AH103" s="112">
        <f t="shared" si="32"/>
        <v>0.26240724612727273</v>
      </c>
      <c r="AI103" s="112">
        <v>0.01</v>
      </c>
      <c r="AJ103" s="112">
        <f t="shared" si="33"/>
        <v>0.26240724612727273</v>
      </c>
      <c r="AK103" s="99">
        <f t="shared" si="34"/>
        <v>0.05</v>
      </c>
      <c r="AL103" s="100">
        <f t="shared" si="34"/>
        <v>1.3120362306363638</v>
      </c>
      <c r="AM103" s="274"/>
      <c r="AN103" s="98">
        <f t="shared" si="35"/>
        <v>0</v>
      </c>
      <c r="AO103" s="99">
        <f t="shared" si="38"/>
        <v>0</v>
      </c>
      <c r="AP103" s="276">
        <f t="shared" si="38"/>
        <v>0</v>
      </c>
      <c r="AQ103" s="103">
        <f t="shared" si="21"/>
        <v>0.11</v>
      </c>
      <c r="AR103" s="104">
        <f t="shared" si="21"/>
        <v>3.5502652151454552</v>
      </c>
      <c r="AS103" s="56" t="s">
        <v>155</v>
      </c>
      <c r="AT103" s="56">
        <f t="shared" si="39"/>
        <v>0</v>
      </c>
    </row>
    <row r="104" spans="1:46" ht="15" customHeight="1" x14ac:dyDescent="0.45">
      <c r="A104" s="203"/>
      <c r="B104" s="185"/>
      <c r="C104" s="105">
        <v>91</v>
      </c>
      <c r="D104" s="24" t="s">
        <v>361</v>
      </c>
      <c r="E104" s="206" t="s">
        <v>362</v>
      </c>
      <c r="F104" s="92" t="s">
        <v>154</v>
      </c>
      <c r="G104" s="93"/>
      <c r="H104" s="94">
        <f t="shared" si="36"/>
        <v>0</v>
      </c>
      <c r="I104" s="94"/>
      <c r="J104" s="94">
        <f t="shared" si="36"/>
        <v>0</v>
      </c>
      <c r="K104" s="80">
        <f t="shared" si="37"/>
        <v>0</v>
      </c>
      <c r="L104" s="270">
        <f t="shared" si="37"/>
        <v>0</v>
      </c>
      <c r="M104" s="112">
        <v>0.01</v>
      </c>
      <c r="N104" s="112">
        <f t="shared" si="22"/>
        <v>0.26240724612727279</v>
      </c>
      <c r="O104" s="112">
        <v>0.01</v>
      </c>
      <c r="P104" s="112">
        <f t="shared" si="23"/>
        <v>0.26240724612727279</v>
      </c>
      <c r="Q104" s="112">
        <v>0.01</v>
      </c>
      <c r="R104" s="112">
        <f t="shared" si="24"/>
        <v>0.26240724612727279</v>
      </c>
      <c r="S104" s="112">
        <v>0.01</v>
      </c>
      <c r="T104" s="112">
        <f t="shared" si="25"/>
        <v>0.26240724612727279</v>
      </c>
      <c r="U104" s="112"/>
      <c r="V104" s="112">
        <f t="shared" si="26"/>
        <v>0</v>
      </c>
      <c r="W104" s="112"/>
      <c r="X104" s="112">
        <f t="shared" si="27"/>
        <v>0</v>
      </c>
      <c r="Y104" s="99">
        <f t="shared" si="28"/>
        <v>0.04</v>
      </c>
      <c r="Z104" s="275">
        <f t="shared" si="28"/>
        <v>1.0496289845090911</v>
      </c>
      <c r="AA104" s="111"/>
      <c r="AB104" s="112">
        <f t="shared" si="29"/>
        <v>0</v>
      </c>
      <c r="AC104" s="112"/>
      <c r="AD104" s="112">
        <f t="shared" si="30"/>
        <v>0</v>
      </c>
      <c r="AE104" s="112"/>
      <c r="AF104" s="112">
        <f t="shared" si="31"/>
        <v>0</v>
      </c>
      <c r="AG104" s="112"/>
      <c r="AH104" s="112">
        <f t="shared" si="32"/>
        <v>0</v>
      </c>
      <c r="AI104" s="112"/>
      <c r="AJ104" s="112">
        <f t="shared" si="33"/>
        <v>0</v>
      </c>
      <c r="AK104" s="99">
        <f t="shared" si="34"/>
        <v>0</v>
      </c>
      <c r="AL104" s="100">
        <f t="shared" si="34"/>
        <v>0</v>
      </c>
      <c r="AM104" s="274"/>
      <c r="AN104" s="98">
        <f t="shared" si="35"/>
        <v>0</v>
      </c>
      <c r="AO104" s="99">
        <f t="shared" si="38"/>
        <v>0</v>
      </c>
      <c r="AP104" s="276">
        <f t="shared" si="38"/>
        <v>0</v>
      </c>
      <c r="AQ104" s="103">
        <f t="shared" si="21"/>
        <v>0.04</v>
      </c>
      <c r="AR104" s="104">
        <f t="shared" si="21"/>
        <v>1.0496289845090911</v>
      </c>
      <c r="AS104" s="56" t="s">
        <v>155</v>
      </c>
      <c r="AT104" s="56">
        <f t="shared" si="39"/>
        <v>0</v>
      </c>
    </row>
    <row r="105" spans="1:46" ht="15" customHeight="1" x14ac:dyDescent="0.45">
      <c r="A105" s="203"/>
      <c r="B105" s="185"/>
      <c r="C105" s="105">
        <v>92</v>
      </c>
      <c r="D105" s="206" t="s">
        <v>363</v>
      </c>
      <c r="E105" s="76" t="s">
        <v>364</v>
      </c>
      <c r="F105" s="92" t="s">
        <v>154</v>
      </c>
      <c r="G105" s="93">
        <v>0.03</v>
      </c>
      <c r="H105" s="94">
        <f t="shared" si="36"/>
        <v>1.7828999999999999</v>
      </c>
      <c r="I105" s="94"/>
      <c r="J105" s="94">
        <f t="shared" si="36"/>
        <v>0</v>
      </c>
      <c r="K105" s="80">
        <f t="shared" si="37"/>
        <v>0.03</v>
      </c>
      <c r="L105" s="270">
        <f t="shared" si="37"/>
        <v>1.7828999999999999</v>
      </c>
      <c r="M105" s="277">
        <v>0.02</v>
      </c>
      <c r="N105" s="112">
        <f t="shared" si="22"/>
        <v>0.52481449225454557</v>
      </c>
      <c r="O105" s="112"/>
      <c r="P105" s="112">
        <f t="shared" si="23"/>
        <v>0</v>
      </c>
      <c r="Q105" s="112"/>
      <c r="R105" s="112">
        <f t="shared" si="24"/>
        <v>0</v>
      </c>
      <c r="S105" s="112"/>
      <c r="T105" s="112">
        <f t="shared" si="25"/>
        <v>0</v>
      </c>
      <c r="U105" s="112"/>
      <c r="V105" s="112">
        <f t="shared" si="26"/>
        <v>0</v>
      </c>
      <c r="W105" s="112"/>
      <c r="X105" s="112">
        <f t="shared" si="27"/>
        <v>0</v>
      </c>
      <c r="Y105" s="99">
        <f t="shared" si="28"/>
        <v>0.02</v>
      </c>
      <c r="Z105" s="275">
        <f t="shared" si="28"/>
        <v>0.52481449225454557</v>
      </c>
      <c r="AA105" s="111"/>
      <c r="AB105" s="112">
        <f t="shared" si="29"/>
        <v>0</v>
      </c>
      <c r="AC105" s="112"/>
      <c r="AD105" s="112">
        <f t="shared" si="30"/>
        <v>0</v>
      </c>
      <c r="AE105" s="112"/>
      <c r="AF105" s="112">
        <f t="shared" si="31"/>
        <v>0</v>
      </c>
      <c r="AG105" s="112"/>
      <c r="AH105" s="112">
        <f t="shared" si="32"/>
        <v>0</v>
      </c>
      <c r="AI105" s="112"/>
      <c r="AJ105" s="112">
        <f t="shared" si="33"/>
        <v>0</v>
      </c>
      <c r="AK105" s="99">
        <f t="shared" si="34"/>
        <v>0</v>
      </c>
      <c r="AL105" s="100">
        <f t="shared" si="34"/>
        <v>0</v>
      </c>
      <c r="AM105" s="274"/>
      <c r="AN105" s="98">
        <f t="shared" si="35"/>
        <v>0</v>
      </c>
      <c r="AO105" s="99">
        <f t="shared" si="38"/>
        <v>0</v>
      </c>
      <c r="AP105" s="276">
        <f t="shared" si="38"/>
        <v>0</v>
      </c>
      <c r="AQ105" s="103">
        <f t="shared" si="21"/>
        <v>0.05</v>
      </c>
      <c r="AR105" s="104">
        <f t="shared" si="21"/>
        <v>2.3077144922545454</v>
      </c>
      <c r="AS105" s="56" t="s">
        <v>155</v>
      </c>
      <c r="AT105" s="56">
        <f t="shared" si="39"/>
        <v>0</v>
      </c>
    </row>
    <row r="106" spans="1:46" ht="15" customHeight="1" x14ac:dyDescent="0.45">
      <c r="A106" s="203"/>
      <c r="B106" s="185"/>
      <c r="C106" s="91">
        <v>93</v>
      </c>
      <c r="D106" s="211" t="s">
        <v>365</v>
      </c>
      <c r="E106" s="204" t="s">
        <v>366</v>
      </c>
      <c r="F106" s="92" t="s">
        <v>154</v>
      </c>
      <c r="G106" s="93">
        <v>0.05</v>
      </c>
      <c r="H106" s="94">
        <f t="shared" si="36"/>
        <v>2.9715000000000003</v>
      </c>
      <c r="I106" s="94"/>
      <c r="J106" s="94">
        <f t="shared" si="36"/>
        <v>0</v>
      </c>
      <c r="K106" s="80">
        <f t="shared" si="37"/>
        <v>0.05</v>
      </c>
      <c r="L106" s="270">
        <f t="shared" si="37"/>
        <v>2.9715000000000003</v>
      </c>
      <c r="M106" s="112"/>
      <c r="N106" s="112">
        <f t="shared" si="22"/>
        <v>0</v>
      </c>
      <c r="O106" s="112"/>
      <c r="P106" s="112">
        <f t="shared" si="23"/>
        <v>0</v>
      </c>
      <c r="Q106" s="112"/>
      <c r="R106" s="112">
        <f t="shared" si="24"/>
        <v>0</v>
      </c>
      <c r="S106" s="112"/>
      <c r="T106" s="112">
        <f t="shared" si="25"/>
        <v>0</v>
      </c>
      <c r="U106" s="112"/>
      <c r="V106" s="112">
        <f t="shared" si="26"/>
        <v>0</v>
      </c>
      <c r="W106" s="112"/>
      <c r="X106" s="112">
        <f t="shared" si="27"/>
        <v>0</v>
      </c>
      <c r="Y106" s="99">
        <f t="shared" si="28"/>
        <v>0</v>
      </c>
      <c r="Z106" s="275">
        <f t="shared" si="28"/>
        <v>0</v>
      </c>
      <c r="AA106" s="111"/>
      <c r="AB106" s="112">
        <f t="shared" si="29"/>
        <v>0</v>
      </c>
      <c r="AC106" s="112"/>
      <c r="AD106" s="112">
        <f t="shared" si="30"/>
        <v>0</v>
      </c>
      <c r="AE106" s="112"/>
      <c r="AF106" s="112">
        <f t="shared" si="31"/>
        <v>0</v>
      </c>
      <c r="AG106" s="112"/>
      <c r="AH106" s="112">
        <f t="shared" si="32"/>
        <v>0</v>
      </c>
      <c r="AI106" s="112"/>
      <c r="AJ106" s="112">
        <f t="shared" si="33"/>
        <v>0</v>
      </c>
      <c r="AK106" s="99">
        <f t="shared" si="34"/>
        <v>0</v>
      </c>
      <c r="AL106" s="100">
        <f t="shared" si="34"/>
        <v>0</v>
      </c>
      <c r="AM106" s="274"/>
      <c r="AN106" s="98">
        <f t="shared" si="35"/>
        <v>0</v>
      </c>
      <c r="AO106" s="99">
        <f t="shared" si="38"/>
        <v>0</v>
      </c>
      <c r="AP106" s="276">
        <f t="shared" si="38"/>
        <v>0</v>
      </c>
      <c r="AQ106" s="103">
        <f t="shared" si="21"/>
        <v>0.05</v>
      </c>
      <c r="AR106" s="104">
        <f t="shared" si="21"/>
        <v>2.9715000000000003</v>
      </c>
      <c r="AS106" s="56" t="s">
        <v>155</v>
      </c>
      <c r="AT106" s="56">
        <f t="shared" si="39"/>
        <v>0</v>
      </c>
    </row>
    <row r="107" spans="1:46" ht="15" customHeight="1" x14ac:dyDescent="0.45">
      <c r="A107" s="203"/>
      <c r="B107" s="185"/>
      <c r="C107" s="105">
        <v>94</v>
      </c>
      <c r="D107" s="24" t="s">
        <v>367</v>
      </c>
      <c r="E107" s="206" t="s">
        <v>368</v>
      </c>
      <c r="F107" s="92" t="s">
        <v>154</v>
      </c>
      <c r="G107" s="93"/>
      <c r="H107" s="94">
        <f t="shared" si="36"/>
        <v>0</v>
      </c>
      <c r="I107" s="94"/>
      <c r="J107" s="94">
        <f t="shared" si="36"/>
        <v>0</v>
      </c>
      <c r="K107" s="80">
        <f t="shared" si="37"/>
        <v>0</v>
      </c>
      <c r="L107" s="270">
        <f t="shared" si="37"/>
        <v>0</v>
      </c>
      <c r="M107" s="112">
        <v>0.01</v>
      </c>
      <c r="N107" s="112">
        <f t="shared" si="22"/>
        <v>0.26240724612727279</v>
      </c>
      <c r="O107" s="112"/>
      <c r="P107" s="112">
        <f t="shared" si="23"/>
        <v>0</v>
      </c>
      <c r="Q107" s="112"/>
      <c r="R107" s="112">
        <f t="shared" si="24"/>
        <v>0</v>
      </c>
      <c r="S107" s="112"/>
      <c r="T107" s="112">
        <f t="shared" si="25"/>
        <v>0</v>
      </c>
      <c r="U107" s="112"/>
      <c r="V107" s="112">
        <f t="shared" si="26"/>
        <v>0</v>
      </c>
      <c r="W107" s="112"/>
      <c r="X107" s="112">
        <f t="shared" si="27"/>
        <v>0</v>
      </c>
      <c r="Y107" s="99">
        <f t="shared" si="28"/>
        <v>0.01</v>
      </c>
      <c r="Z107" s="275">
        <f t="shared" si="28"/>
        <v>0.26240724612727279</v>
      </c>
      <c r="AA107" s="111"/>
      <c r="AB107" s="112">
        <f t="shared" si="29"/>
        <v>0</v>
      </c>
      <c r="AC107" s="112"/>
      <c r="AD107" s="112">
        <f t="shared" si="30"/>
        <v>0</v>
      </c>
      <c r="AE107" s="112"/>
      <c r="AF107" s="112">
        <f t="shared" si="31"/>
        <v>0</v>
      </c>
      <c r="AG107" s="112"/>
      <c r="AH107" s="112">
        <f t="shared" si="32"/>
        <v>0</v>
      </c>
      <c r="AI107" s="112"/>
      <c r="AJ107" s="112">
        <f t="shared" si="33"/>
        <v>0</v>
      </c>
      <c r="AK107" s="99">
        <f t="shared" si="34"/>
        <v>0</v>
      </c>
      <c r="AL107" s="100">
        <f t="shared" si="34"/>
        <v>0</v>
      </c>
      <c r="AM107" s="274"/>
      <c r="AN107" s="98">
        <f t="shared" si="35"/>
        <v>0</v>
      </c>
      <c r="AO107" s="99">
        <f t="shared" si="38"/>
        <v>0</v>
      </c>
      <c r="AP107" s="276">
        <f t="shared" si="38"/>
        <v>0</v>
      </c>
      <c r="AQ107" s="103">
        <f t="shared" si="21"/>
        <v>0.01</v>
      </c>
      <c r="AR107" s="104">
        <f t="shared" si="21"/>
        <v>0.26240724612727279</v>
      </c>
      <c r="AS107" s="56" t="s">
        <v>155</v>
      </c>
      <c r="AT107" s="56">
        <f t="shared" si="39"/>
        <v>0</v>
      </c>
    </row>
    <row r="108" spans="1:46" ht="15" customHeight="1" x14ac:dyDescent="0.45">
      <c r="A108" s="203"/>
      <c r="B108" s="185"/>
      <c r="C108" s="105">
        <v>95</v>
      </c>
      <c r="D108" s="206" t="s">
        <v>369</v>
      </c>
      <c r="E108" s="204" t="s">
        <v>370</v>
      </c>
      <c r="F108" s="92" t="s">
        <v>154</v>
      </c>
      <c r="G108" s="93">
        <v>0.02</v>
      </c>
      <c r="H108" s="94">
        <f t="shared" si="36"/>
        <v>1.1886000000000001</v>
      </c>
      <c r="I108" s="94"/>
      <c r="J108" s="94">
        <f t="shared" si="36"/>
        <v>0</v>
      </c>
      <c r="K108" s="80">
        <f t="shared" si="37"/>
        <v>0.02</v>
      </c>
      <c r="L108" s="270">
        <f t="shared" si="37"/>
        <v>1.1886000000000001</v>
      </c>
      <c r="M108" s="112"/>
      <c r="N108" s="112">
        <f t="shared" si="22"/>
        <v>0</v>
      </c>
      <c r="O108" s="112"/>
      <c r="P108" s="112">
        <f t="shared" si="23"/>
        <v>0</v>
      </c>
      <c r="Q108" s="112"/>
      <c r="R108" s="112">
        <f t="shared" si="24"/>
        <v>0</v>
      </c>
      <c r="S108" s="112"/>
      <c r="T108" s="112">
        <f t="shared" si="25"/>
        <v>0</v>
      </c>
      <c r="U108" s="112"/>
      <c r="V108" s="112">
        <f t="shared" si="26"/>
        <v>0</v>
      </c>
      <c r="W108" s="112"/>
      <c r="X108" s="112">
        <f t="shared" si="27"/>
        <v>0</v>
      </c>
      <c r="Y108" s="99">
        <f t="shared" si="28"/>
        <v>0</v>
      </c>
      <c r="Z108" s="275">
        <f t="shared" si="28"/>
        <v>0</v>
      </c>
      <c r="AA108" s="111"/>
      <c r="AB108" s="112">
        <f t="shared" si="29"/>
        <v>0</v>
      </c>
      <c r="AC108" s="112"/>
      <c r="AD108" s="112">
        <f t="shared" si="30"/>
        <v>0</v>
      </c>
      <c r="AE108" s="112"/>
      <c r="AF108" s="112">
        <f t="shared" si="31"/>
        <v>0</v>
      </c>
      <c r="AG108" s="112"/>
      <c r="AH108" s="112">
        <f t="shared" si="32"/>
        <v>0</v>
      </c>
      <c r="AI108" s="112"/>
      <c r="AJ108" s="112">
        <f t="shared" si="33"/>
        <v>0</v>
      </c>
      <c r="AK108" s="99">
        <f t="shared" si="34"/>
        <v>0</v>
      </c>
      <c r="AL108" s="100">
        <f t="shared" si="34"/>
        <v>0</v>
      </c>
      <c r="AM108" s="274"/>
      <c r="AN108" s="98">
        <f t="shared" si="35"/>
        <v>0</v>
      </c>
      <c r="AO108" s="99">
        <f t="shared" si="38"/>
        <v>0</v>
      </c>
      <c r="AP108" s="276">
        <f t="shared" si="38"/>
        <v>0</v>
      </c>
      <c r="AQ108" s="103">
        <f t="shared" si="21"/>
        <v>0.02</v>
      </c>
      <c r="AR108" s="104">
        <f t="shared" si="21"/>
        <v>1.1886000000000001</v>
      </c>
      <c r="AS108" s="56" t="s">
        <v>155</v>
      </c>
      <c r="AT108" s="56">
        <f t="shared" si="39"/>
        <v>0</v>
      </c>
    </row>
    <row r="109" spans="1:46" ht="15" customHeight="1" x14ac:dyDescent="0.45">
      <c r="A109" s="203"/>
      <c r="B109" s="185"/>
      <c r="C109" s="91">
        <v>96</v>
      </c>
      <c r="D109" s="211" t="s">
        <v>371</v>
      </c>
      <c r="E109" s="206" t="s">
        <v>372</v>
      </c>
      <c r="F109" s="92" t="s">
        <v>154</v>
      </c>
      <c r="G109" s="93"/>
      <c r="H109" s="94">
        <f t="shared" si="36"/>
        <v>0</v>
      </c>
      <c r="I109" s="94"/>
      <c r="J109" s="94">
        <f t="shared" si="36"/>
        <v>0</v>
      </c>
      <c r="K109" s="80">
        <f t="shared" si="37"/>
        <v>0</v>
      </c>
      <c r="L109" s="270">
        <f t="shared" si="37"/>
        <v>0</v>
      </c>
      <c r="M109" s="98">
        <v>0.01</v>
      </c>
      <c r="N109" s="98">
        <f t="shared" si="22"/>
        <v>0.26240724612727279</v>
      </c>
      <c r="O109" s="98">
        <v>0.01</v>
      </c>
      <c r="P109" s="98">
        <f t="shared" si="23"/>
        <v>0.26240724612727279</v>
      </c>
      <c r="Q109" s="98">
        <v>0.01</v>
      </c>
      <c r="R109" s="98">
        <f t="shared" si="24"/>
        <v>0.26240724612727279</v>
      </c>
      <c r="S109" s="98">
        <v>0.01</v>
      </c>
      <c r="T109" s="98">
        <f t="shared" si="25"/>
        <v>0.26240724612727279</v>
      </c>
      <c r="U109" s="98">
        <v>0.01</v>
      </c>
      <c r="V109" s="98">
        <f t="shared" si="26"/>
        <v>0.26240724612727279</v>
      </c>
      <c r="W109" s="98">
        <v>0.01</v>
      </c>
      <c r="X109" s="98">
        <f t="shared" si="27"/>
        <v>0.26240724612727279</v>
      </c>
      <c r="Y109" s="99">
        <f t="shared" si="28"/>
        <v>6.0000000000000005E-2</v>
      </c>
      <c r="Z109" s="275">
        <f t="shared" si="28"/>
        <v>1.5744434767636368</v>
      </c>
      <c r="AA109" s="97"/>
      <c r="AB109" s="98">
        <f t="shared" si="29"/>
        <v>0</v>
      </c>
      <c r="AC109" s="98"/>
      <c r="AD109" s="98">
        <f t="shared" si="30"/>
        <v>0</v>
      </c>
      <c r="AE109" s="98"/>
      <c r="AF109" s="98">
        <f t="shared" si="31"/>
        <v>0</v>
      </c>
      <c r="AG109" s="98"/>
      <c r="AH109" s="98">
        <f t="shared" si="32"/>
        <v>0</v>
      </c>
      <c r="AI109" s="98"/>
      <c r="AJ109" s="98">
        <f t="shared" si="33"/>
        <v>0</v>
      </c>
      <c r="AK109" s="99">
        <f t="shared" si="34"/>
        <v>0</v>
      </c>
      <c r="AL109" s="100">
        <f t="shared" si="34"/>
        <v>0</v>
      </c>
      <c r="AM109" s="274"/>
      <c r="AN109" s="98">
        <f t="shared" si="35"/>
        <v>0</v>
      </c>
      <c r="AO109" s="99">
        <f t="shared" si="38"/>
        <v>0</v>
      </c>
      <c r="AP109" s="276">
        <f t="shared" si="38"/>
        <v>0</v>
      </c>
      <c r="AQ109" s="103">
        <f t="shared" si="21"/>
        <v>6.0000000000000005E-2</v>
      </c>
      <c r="AR109" s="104">
        <f t="shared" si="21"/>
        <v>1.5744434767636368</v>
      </c>
      <c r="AS109" s="56" t="s">
        <v>155</v>
      </c>
      <c r="AT109" s="56">
        <f t="shared" si="39"/>
        <v>0</v>
      </c>
    </row>
    <row r="110" spans="1:46" ht="15" customHeight="1" x14ac:dyDescent="0.45">
      <c r="A110" s="203"/>
      <c r="B110" s="185"/>
      <c r="C110" s="105">
        <v>97</v>
      </c>
      <c r="D110" s="76" t="s">
        <v>373</v>
      </c>
      <c r="E110" s="76" t="s">
        <v>374</v>
      </c>
      <c r="F110" s="92" t="s">
        <v>154</v>
      </c>
      <c r="G110" s="93"/>
      <c r="H110" s="94">
        <f t="shared" si="36"/>
        <v>0</v>
      </c>
      <c r="I110" s="94"/>
      <c r="J110" s="94">
        <f t="shared" si="36"/>
        <v>0</v>
      </c>
      <c r="K110" s="80">
        <f t="shared" si="37"/>
        <v>0</v>
      </c>
      <c r="L110" s="270">
        <f t="shared" si="37"/>
        <v>0</v>
      </c>
      <c r="M110" s="98">
        <v>0.01</v>
      </c>
      <c r="N110" s="98">
        <f t="shared" si="22"/>
        <v>0.26240724612727279</v>
      </c>
      <c r="O110" s="98"/>
      <c r="P110" s="98">
        <f t="shared" si="23"/>
        <v>0</v>
      </c>
      <c r="Q110" s="98"/>
      <c r="R110" s="98">
        <f t="shared" si="24"/>
        <v>0</v>
      </c>
      <c r="S110" s="98"/>
      <c r="T110" s="98">
        <f t="shared" si="25"/>
        <v>0</v>
      </c>
      <c r="U110" s="98"/>
      <c r="V110" s="98">
        <f t="shared" si="26"/>
        <v>0</v>
      </c>
      <c r="W110" s="98"/>
      <c r="X110" s="98">
        <f t="shared" si="27"/>
        <v>0</v>
      </c>
      <c r="Y110" s="99">
        <f t="shared" si="28"/>
        <v>0.01</v>
      </c>
      <c r="Z110" s="275">
        <f t="shared" si="28"/>
        <v>0.26240724612727279</v>
      </c>
      <c r="AA110" s="97"/>
      <c r="AB110" s="98">
        <f t="shared" si="29"/>
        <v>0</v>
      </c>
      <c r="AC110" s="98"/>
      <c r="AD110" s="98">
        <f t="shared" si="30"/>
        <v>0</v>
      </c>
      <c r="AE110" s="98"/>
      <c r="AF110" s="98">
        <f t="shared" si="31"/>
        <v>0</v>
      </c>
      <c r="AG110" s="98"/>
      <c r="AH110" s="98">
        <f t="shared" si="32"/>
        <v>0</v>
      </c>
      <c r="AI110" s="98"/>
      <c r="AJ110" s="98">
        <f t="shared" si="33"/>
        <v>0</v>
      </c>
      <c r="AK110" s="99">
        <f t="shared" si="34"/>
        <v>0</v>
      </c>
      <c r="AL110" s="100">
        <f t="shared" si="34"/>
        <v>0</v>
      </c>
      <c r="AM110" s="274"/>
      <c r="AN110" s="98">
        <f t="shared" si="35"/>
        <v>0</v>
      </c>
      <c r="AO110" s="99">
        <f t="shared" si="38"/>
        <v>0</v>
      </c>
      <c r="AP110" s="276">
        <f t="shared" si="38"/>
        <v>0</v>
      </c>
      <c r="AQ110" s="103">
        <f t="shared" si="21"/>
        <v>0.01</v>
      </c>
      <c r="AR110" s="104">
        <f t="shared" si="21"/>
        <v>0.26240724612727279</v>
      </c>
      <c r="AS110" s="56" t="s">
        <v>155</v>
      </c>
      <c r="AT110" s="56">
        <f t="shared" si="39"/>
        <v>0</v>
      </c>
    </row>
    <row r="111" spans="1:46" ht="15" customHeight="1" x14ac:dyDescent="0.45">
      <c r="A111" s="203"/>
      <c r="B111" s="185"/>
      <c r="C111" s="91">
        <v>98</v>
      </c>
      <c r="D111" s="76" t="s">
        <v>373</v>
      </c>
      <c r="E111" s="206" t="s">
        <v>375</v>
      </c>
      <c r="F111" s="92" t="s">
        <v>154</v>
      </c>
      <c r="G111" s="93"/>
      <c r="H111" s="94">
        <f t="shared" si="36"/>
        <v>0</v>
      </c>
      <c r="I111" s="94">
        <v>0.01</v>
      </c>
      <c r="J111" s="94">
        <f t="shared" si="36"/>
        <v>0.59430000000000005</v>
      </c>
      <c r="K111" s="80">
        <f t="shared" si="37"/>
        <v>0.01</v>
      </c>
      <c r="L111" s="270">
        <f t="shared" si="37"/>
        <v>0.59430000000000005</v>
      </c>
      <c r="M111" s="98">
        <v>0.01</v>
      </c>
      <c r="N111" s="98">
        <f t="shared" si="22"/>
        <v>0.26240724612727279</v>
      </c>
      <c r="O111" s="98"/>
      <c r="P111" s="98">
        <f t="shared" si="23"/>
        <v>0</v>
      </c>
      <c r="Q111" s="98"/>
      <c r="R111" s="98">
        <f t="shared" si="24"/>
        <v>0</v>
      </c>
      <c r="S111" s="98"/>
      <c r="T111" s="98">
        <f t="shared" si="25"/>
        <v>0</v>
      </c>
      <c r="U111" s="98"/>
      <c r="V111" s="98">
        <f t="shared" si="26"/>
        <v>0</v>
      </c>
      <c r="W111" s="98"/>
      <c r="X111" s="98">
        <f t="shared" si="27"/>
        <v>0</v>
      </c>
      <c r="Y111" s="99">
        <f t="shared" si="28"/>
        <v>0.01</v>
      </c>
      <c r="Z111" s="275">
        <f t="shared" si="28"/>
        <v>0.26240724612727279</v>
      </c>
      <c r="AA111" s="97"/>
      <c r="AB111" s="98">
        <f t="shared" si="29"/>
        <v>0</v>
      </c>
      <c r="AC111" s="98"/>
      <c r="AD111" s="98">
        <f t="shared" si="30"/>
        <v>0</v>
      </c>
      <c r="AE111" s="98"/>
      <c r="AF111" s="98">
        <f t="shared" si="31"/>
        <v>0</v>
      </c>
      <c r="AG111" s="98"/>
      <c r="AH111" s="98">
        <f t="shared" si="32"/>
        <v>0</v>
      </c>
      <c r="AI111" s="98"/>
      <c r="AJ111" s="98">
        <f t="shared" si="33"/>
        <v>0</v>
      </c>
      <c r="AK111" s="99">
        <f t="shared" si="34"/>
        <v>0</v>
      </c>
      <c r="AL111" s="100">
        <f t="shared" si="34"/>
        <v>0</v>
      </c>
      <c r="AM111" s="274"/>
      <c r="AN111" s="98">
        <f t="shared" si="35"/>
        <v>0</v>
      </c>
      <c r="AO111" s="99">
        <f t="shared" si="38"/>
        <v>0</v>
      </c>
      <c r="AP111" s="276">
        <f t="shared" si="38"/>
        <v>0</v>
      </c>
      <c r="AQ111" s="103">
        <f t="shared" si="21"/>
        <v>0.02</v>
      </c>
      <c r="AR111" s="104">
        <f t="shared" si="21"/>
        <v>0.85670724612727289</v>
      </c>
      <c r="AS111" s="56" t="s">
        <v>155</v>
      </c>
      <c r="AT111" s="56">
        <f t="shared" si="39"/>
        <v>0</v>
      </c>
    </row>
    <row r="112" spans="1:46" ht="15" customHeight="1" x14ac:dyDescent="0.45">
      <c r="A112" s="203"/>
      <c r="B112" s="185"/>
      <c r="C112" s="91">
        <v>99</v>
      </c>
      <c r="D112" s="76" t="s">
        <v>376</v>
      </c>
      <c r="E112" s="204" t="s">
        <v>377</v>
      </c>
      <c r="F112" s="77" t="s">
        <v>154</v>
      </c>
      <c r="G112" s="93"/>
      <c r="H112" s="94">
        <f t="shared" si="36"/>
        <v>0</v>
      </c>
      <c r="I112" s="94"/>
      <c r="J112" s="94">
        <f t="shared" si="36"/>
        <v>0</v>
      </c>
      <c r="K112" s="80">
        <f t="shared" si="37"/>
        <v>0</v>
      </c>
      <c r="L112" s="270">
        <f t="shared" si="37"/>
        <v>0</v>
      </c>
      <c r="M112" s="274">
        <v>0.01</v>
      </c>
      <c r="N112" s="98">
        <f t="shared" si="22"/>
        <v>0.26240724612727279</v>
      </c>
      <c r="O112" s="98"/>
      <c r="P112" s="98">
        <f t="shared" si="23"/>
        <v>0</v>
      </c>
      <c r="Q112" s="98"/>
      <c r="R112" s="98">
        <f t="shared" si="24"/>
        <v>0</v>
      </c>
      <c r="S112" s="98"/>
      <c r="T112" s="98">
        <f t="shared" si="25"/>
        <v>0</v>
      </c>
      <c r="U112" s="98"/>
      <c r="V112" s="98">
        <f t="shared" si="26"/>
        <v>0</v>
      </c>
      <c r="W112" s="98"/>
      <c r="X112" s="98">
        <f t="shared" si="27"/>
        <v>0</v>
      </c>
      <c r="Y112" s="99">
        <f t="shared" si="28"/>
        <v>0.01</v>
      </c>
      <c r="Z112" s="275">
        <f t="shared" si="28"/>
        <v>0.26240724612727279</v>
      </c>
      <c r="AA112" s="97"/>
      <c r="AB112" s="98">
        <f t="shared" si="29"/>
        <v>0</v>
      </c>
      <c r="AC112" s="98"/>
      <c r="AD112" s="98">
        <f t="shared" si="30"/>
        <v>0</v>
      </c>
      <c r="AE112" s="98"/>
      <c r="AF112" s="98">
        <f t="shared" si="31"/>
        <v>0</v>
      </c>
      <c r="AG112" s="98"/>
      <c r="AH112" s="98">
        <f t="shared" si="32"/>
        <v>0</v>
      </c>
      <c r="AI112" s="98"/>
      <c r="AJ112" s="98">
        <f t="shared" si="33"/>
        <v>0</v>
      </c>
      <c r="AK112" s="99">
        <f t="shared" si="34"/>
        <v>0</v>
      </c>
      <c r="AL112" s="100">
        <f t="shared" si="34"/>
        <v>0</v>
      </c>
      <c r="AM112" s="274"/>
      <c r="AN112" s="98">
        <f t="shared" si="35"/>
        <v>0</v>
      </c>
      <c r="AO112" s="99">
        <f t="shared" si="38"/>
        <v>0</v>
      </c>
      <c r="AP112" s="276">
        <f t="shared" si="38"/>
        <v>0</v>
      </c>
      <c r="AQ112" s="103">
        <f t="shared" si="21"/>
        <v>0.01</v>
      </c>
      <c r="AR112" s="104">
        <f t="shared" si="21"/>
        <v>0.26240724612727279</v>
      </c>
      <c r="AS112" s="56" t="s">
        <v>155</v>
      </c>
      <c r="AT112" s="56">
        <f t="shared" si="39"/>
        <v>0</v>
      </c>
    </row>
    <row r="113" spans="1:53" ht="15" customHeight="1" thickBot="1" x14ac:dyDescent="0.5">
      <c r="A113" s="203"/>
      <c r="B113" s="185"/>
      <c r="C113" s="105">
        <v>100</v>
      </c>
      <c r="D113" s="113" t="s">
        <v>378</v>
      </c>
      <c r="E113" s="212" t="s">
        <v>379</v>
      </c>
      <c r="F113" s="208" t="s">
        <v>154</v>
      </c>
      <c r="G113" s="118">
        <v>0.01</v>
      </c>
      <c r="H113" s="119">
        <f t="shared" si="36"/>
        <v>0.59430000000000005</v>
      </c>
      <c r="I113" s="119"/>
      <c r="J113" s="119">
        <f t="shared" si="36"/>
        <v>0</v>
      </c>
      <c r="K113" s="280">
        <f t="shared" si="37"/>
        <v>0.01</v>
      </c>
      <c r="L113" s="281">
        <f t="shared" si="37"/>
        <v>0.59430000000000005</v>
      </c>
      <c r="M113" s="216"/>
      <c r="N113" s="216">
        <f t="shared" si="22"/>
        <v>0</v>
      </c>
      <c r="O113" s="216"/>
      <c r="P113" s="216">
        <f t="shared" si="23"/>
        <v>0</v>
      </c>
      <c r="Q113" s="216"/>
      <c r="R113" s="216">
        <f t="shared" si="24"/>
        <v>0</v>
      </c>
      <c r="S113" s="216"/>
      <c r="T113" s="216">
        <f t="shared" si="25"/>
        <v>0</v>
      </c>
      <c r="U113" s="216"/>
      <c r="V113" s="216">
        <f t="shared" si="26"/>
        <v>0</v>
      </c>
      <c r="W113" s="216"/>
      <c r="X113" s="216">
        <f t="shared" si="27"/>
        <v>0</v>
      </c>
      <c r="Y113" s="124">
        <f t="shared" si="28"/>
        <v>0</v>
      </c>
      <c r="Z113" s="282">
        <f t="shared" si="28"/>
        <v>0</v>
      </c>
      <c r="AA113" s="215"/>
      <c r="AB113" s="216">
        <f t="shared" si="29"/>
        <v>0</v>
      </c>
      <c r="AC113" s="216"/>
      <c r="AD113" s="216">
        <f t="shared" si="30"/>
        <v>0</v>
      </c>
      <c r="AE113" s="216"/>
      <c r="AF113" s="216">
        <f t="shared" si="31"/>
        <v>0</v>
      </c>
      <c r="AG113" s="216"/>
      <c r="AH113" s="216">
        <f t="shared" si="32"/>
        <v>0</v>
      </c>
      <c r="AI113" s="216"/>
      <c r="AJ113" s="216">
        <f t="shared" si="33"/>
        <v>0</v>
      </c>
      <c r="AK113" s="124">
        <f t="shared" si="34"/>
        <v>0</v>
      </c>
      <c r="AL113" s="125">
        <f t="shared" si="34"/>
        <v>0</v>
      </c>
      <c r="AM113" s="283"/>
      <c r="AN113" s="216">
        <f t="shared" si="35"/>
        <v>0</v>
      </c>
      <c r="AO113" s="124">
        <f t="shared" si="38"/>
        <v>0</v>
      </c>
      <c r="AP113" s="284">
        <f t="shared" si="38"/>
        <v>0</v>
      </c>
      <c r="AQ113" s="128">
        <f t="shared" si="21"/>
        <v>0.01</v>
      </c>
      <c r="AR113" s="129">
        <f t="shared" si="21"/>
        <v>0.59430000000000005</v>
      </c>
      <c r="AS113" s="130" t="s">
        <v>155</v>
      </c>
      <c r="AT113" s="56">
        <f t="shared" si="39"/>
        <v>0</v>
      </c>
    </row>
    <row r="114" spans="1:53" ht="15" customHeight="1" thickBot="1" x14ac:dyDescent="0.5">
      <c r="A114" s="217" t="s">
        <v>380</v>
      </c>
      <c r="B114" s="218"/>
      <c r="C114" s="219"/>
      <c r="D114" s="218"/>
      <c r="E114" s="220"/>
      <c r="F114" s="221"/>
      <c r="G114" s="226">
        <f>SUM(G14:G113)</f>
        <v>1.0000000000000002</v>
      </c>
      <c r="H114" s="227">
        <f>SUM(H14:H113)</f>
        <v>59.429999999999978</v>
      </c>
      <c r="I114" s="227">
        <f t="shared" ref="I114" si="40">SUM(I14:I113)</f>
        <v>1.0000000000000002</v>
      </c>
      <c r="J114" s="227">
        <f>SUM(J14:J113)</f>
        <v>59.429999999999957</v>
      </c>
      <c r="K114" s="224">
        <f t="shared" si="37"/>
        <v>2.0000000000000004</v>
      </c>
      <c r="L114" s="285">
        <f t="shared" si="37"/>
        <v>118.85999999999993</v>
      </c>
      <c r="M114" s="227">
        <f t="shared" ref="M114:AR114" si="41">SUM(M14:M113)</f>
        <v>1.0000000000000004</v>
      </c>
      <c r="N114" s="227">
        <f>SUM(N14:N113)</f>
        <v>26.24072461272722</v>
      </c>
      <c r="O114" s="227">
        <f t="shared" si="41"/>
        <v>1.0000000000000004</v>
      </c>
      <c r="P114" s="227">
        <f>SUM(P14:P113)</f>
        <v>26.240724612727224</v>
      </c>
      <c r="Q114" s="227">
        <f t="shared" si="41"/>
        <v>1.0000000000000004</v>
      </c>
      <c r="R114" s="227">
        <f>SUM(R14:R113)</f>
        <v>26.240724612727227</v>
      </c>
      <c r="S114" s="227">
        <f t="shared" si="41"/>
        <v>1.0000000000000004</v>
      </c>
      <c r="T114" s="227">
        <f>SUM(T14:T113)</f>
        <v>26.240724612727231</v>
      </c>
      <c r="U114" s="227">
        <f t="shared" si="41"/>
        <v>1.0000000000000004</v>
      </c>
      <c r="V114" s="227">
        <f t="shared" si="41"/>
        <v>26.240724612727231</v>
      </c>
      <c r="W114" s="227">
        <f t="shared" si="41"/>
        <v>1.0000000000000004</v>
      </c>
      <c r="X114" s="227">
        <f t="shared" si="41"/>
        <v>26.240724612727231</v>
      </c>
      <c r="Y114" s="228">
        <f t="shared" si="41"/>
        <v>5.9999999999999911</v>
      </c>
      <c r="Z114" s="286">
        <f t="shared" si="41"/>
        <v>157.44434767636361</v>
      </c>
      <c r="AA114" s="226">
        <f t="shared" si="41"/>
        <v>1.0000000000000002</v>
      </c>
      <c r="AB114" s="227">
        <f t="shared" si="41"/>
        <v>26.240724612727245</v>
      </c>
      <c r="AC114" s="227">
        <f t="shared" si="41"/>
        <v>1.0000000000000002</v>
      </c>
      <c r="AD114" s="227">
        <f t="shared" si="41"/>
        <v>26.240724612727245</v>
      </c>
      <c r="AE114" s="227">
        <f t="shared" si="41"/>
        <v>1.0000000000000002</v>
      </c>
      <c r="AF114" s="227">
        <f t="shared" si="41"/>
        <v>26.240724612727245</v>
      </c>
      <c r="AG114" s="227">
        <f t="shared" si="41"/>
        <v>1.0000000000000002</v>
      </c>
      <c r="AH114" s="227">
        <f t="shared" si="41"/>
        <v>26.240724612727245</v>
      </c>
      <c r="AI114" s="227">
        <f t="shared" si="41"/>
        <v>1.0000000000000002</v>
      </c>
      <c r="AJ114" s="227">
        <f t="shared" si="41"/>
        <v>26.240724612727245</v>
      </c>
      <c r="AK114" s="228">
        <f t="shared" si="41"/>
        <v>4.9999999999999964</v>
      </c>
      <c r="AL114" s="229">
        <f>SUM(AL14:AL113)</f>
        <v>131.2036230636364</v>
      </c>
      <c r="AM114" s="287">
        <f t="shared" si="41"/>
        <v>1</v>
      </c>
      <c r="AN114" s="227">
        <f t="shared" si="41"/>
        <v>27.96</v>
      </c>
      <c r="AO114" s="228">
        <f t="shared" si="41"/>
        <v>1</v>
      </c>
      <c r="AP114" s="288">
        <f t="shared" si="41"/>
        <v>27.96</v>
      </c>
      <c r="AQ114" s="232">
        <f>SUM(AQ14:AQ113)</f>
        <v>14.000000000000004</v>
      </c>
      <c r="AR114" s="233">
        <f t="shared" si="41"/>
        <v>435.46797074</v>
      </c>
      <c r="AS114" s="234">
        <f>COUNTIF(AS14:AS113,"●")</f>
        <v>6</v>
      </c>
      <c r="AT114" s="289">
        <f>SUM(AT14:AT113)</f>
        <v>6.243823184163638</v>
      </c>
    </row>
    <row r="115" spans="1:53" x14ac:dyDescent="0.45">
      <c r="A115"/>
      <c r="B115"/>
      <c r="C115"/>
      <c r="D115" s="236" t="s">
        <v>381</v>
      </c>
      <c r="E115"/>
      <c r="F115"/>
      <c r="BA115" s="290">
        <f>AT114/AR114</f>
        <v>1.4338191563327553E-2</v>
      </c>
    </row>
    <row r="116" spans="1:53" x14ac:dyDescent="0.45">
      <c r="A116"/>
      <c r="B116"/>
      <c r="C116"/>
      <c r="D116" s="238" t="s">
        <v>382</v>
      </c>
      <c r="E116"/>
      <c r="F116"/>
    </row>
    <row r="117" spans="1:53" x14ac:dyDescent="0.45">
      <c r="A117"/>
      <c r="B117"/>
      <c r="C117"/>
      <c r="D117" s="238" t="s">
        <v>383</v>
      </c>
      <c r="E117"/>
      <c r="F117"/>
    </row>
  </sheetData>
  <mergeCells count="51">
    <mergeCell ref="G1:L2"/>
    <mergeCell ref="M1:N2"/>
    <mergeCell ref="O1:T1"/>
    <mergeCell ref="AS1:AT1"/>
    <mergeCell ref="O2:Q2"/>
    <mergeCell ref="R2:T2"/>
    <mergeCell ref="G3:L3"/>
    <mergeCell ref="M3:N3"/>
    <mergeCell ref="O3:Q3"/>
    <mergeCell ref="R3:T3"/>
    <mergeCell ref="G4:L4"/>
    <mergeCell ref="M4:N4"/>
    <mergeCell ref="O4:Q4"/>
    <mergeCell ref="R4:T4"/>
    <mergeCell ref="A5:E6"/>
    <mergeCell ref="G5:L5"/>
    <mergeCell ref="M5:N5"/>
    <mergeCell ref="O5:Q5"/>
    <mergeCell ref="R5:T5"/>
    <mergeCell ref="G6:L6"/>
    <mergeCell ref="M6:N6"/>
    <mergeCell ref="O6:Q6"/>
    <mergeCell ref="R6:T6"/>
    <mergeCell ref="G7:L7"/>
    <mergeCell ref="M7:N7"/>
    <mergeCell ref="O7:Q7"/>
    <mergeCell ref="R7:T7"/>
    <mergeCell ref="Y7:Z7"/>
    <mergeCell ref="AA10:AL10"/>
    <mergeCell ref="AM10:AP10"/>
    <mergeCell ref="AQ10:AR11"/>
    <mergeCell ref="G11:H11"/>
    <mergeCell ref="I11:J11"/>
    <mergeCell ref="K11:L11"/>
    <mergeCell ref="M11:N11"/>
    <mergeCell ref="O11:P11"/>
    <mergeCell ref="Q11:R11"/>
    <mergeCell ref="S11:T11"/>
    <mergeCell ref="G10:L10"/>
    <mergeCell ref="M10:Z10"/>
    <mergeCell ref="U11:V11"/>
    <mergeCell ref="W11:X11"/>
    <mergeCell ref="Y11:Z11"/>
    <mergeCell ref="AM11:AN11"/>
    <mergeCell ref="AO11:AP11"/>
    <mergeCell ref="AA11:AB11"/>
    <mergeCell ref="AC11:AD11"/>
    <mergeCell ref="AG11:AH11"/>
    <mergeCell ref="AI11:AJ11"/>
    <mergeCell ref="AK11:AL11"/>
    <mergeCell ref="AE11:AF11"/>
  </mergeCells>
  <phoneticPr fontId="5"/>
  <dataValidations count="1">
    <dataValidation type="list" allowBlank="1" showInputMessage="1" showErrorMessage="1" sqref="AS14:AS113" xr:uid="{ABF3BEB5-3945-489E-BFDC-92687C182C13}">
      <formula1>$AZ$14:$AZ$15</formula1>
    </dataValidation>
  </dataValidations>
  <printOptions horizontalCentered="1"/>
  <pageMargins left="0" right="0" top="0.39370078740157483" bottom="0" header="0" footer="0"/>
  <pageSetup paperSize="8" scale="43" orientation="landscape" r:id="rId1"/>
  <headerFooter>
    <oddHeader>&amp;L&amp;F＆/&amp;A</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A2E1A-FF52-441C-B48B-C5DA6FF530EC}">
  <sheetPr>
    <pageSetUpPr fitToPage="1"/>
  </sheetPr>
  <dimension ref="B1:AP75"/>
  <sheetViews>
    <sheetView topLeftCell="A34" zoomScale="70" zoomScaleNormal="70" workbookViewId="0">
      <selection activeCell="F64" sqref="F64"/>
    </sheetView>
  </sheetViews>
  <sheetFormatPr defaultColWidth="8" defaultRowHeight="18" outlineLevelCol="1" x14ac:dyDescent="0.45"/>
  <cols>
    <col min="1" max="1" width="1" style="292" customWidth="1"/>
    <col min="2" max="2" width="12" style="292" customWidth="1"/>
    <col min="3" max="3" width="4.19921875" style="292" customWidth="1"/>
    <col min="4" max="5" width="4.796875" style="292" customWidth="1"/>
    <col min="6" max="6" width="7.796875" style="292" customWidth="1"/>
    <col min="7" max="7" width="6.19921875" style="292" bestFit="1" customWidth="1"/>
    <col min="8" max="8" width="4.796875" style="293" customWidth="1"/>
    <col min="9" max="10" width="4.796875" style="292" customWidth="1"/>
    <col min="11" max="11" width="12.69921875" style="292" customWidth="1"/>
    <col min="12" max="12" width="6.296875" style="292" customWidth="1"/>
    <col min="13" max="13" width="5.8984375" style="292" customWidth="1"/>
    <col min="14" max="16" width="4.796875" style="292" customWidth="1"/>
    <col min="17" max="18" width="6.296875" style="292" customWidth="1"/>
    <col min="19" max="30" width="4.796875" style="292" customWidth="1"/>
    <col min="31" max="31" width="4.796875" style="292" bestFit="1" customWidth="1"/>
    <col min="32" max="32" width="6.296875" style="463" customWidth="1"/>
    <col min="33" max="33" width="6.296875" style="293" customWidth="1"/>
    <col min="34" max="34" width="8" style="292" customWidth="1" outlineLevel="1"/>
    <col min="35" max="16384" width="8" style="292"/>
  </cols>
  <sheetData>
    <row r="1" spans="2:42" ht="22.8" thickBot="1" x14ac:dyDescent="0.5">
      <c r="B1" s="291" t="s">
        <v>399</v>
      </c>
      <c r="AC1" s="294"/>
      <c r="AD1" s="294"/>
      <c r="AE1" s="645">
        <v>44894</v>
      </c>
      <c r="AF1" s="645"/>
      <c r="AG1" s="645"/>
      <c r="AL1" s="646"/>
      <c r="AM1" s="646"/>
      <c r="AN1" s="646"/>
      <c r="AO1" s="295"/>
      <c r="AP1" s="295"/>
    </row>
    <row r="2" spans="2:42" ht="18.600000000000001" thickBot="1" x14ac:dyDescent="0.5">
      <c r="B2" s="292" t="s">
        <v>400</v>
      </c>
      <c r="D2" s="643" t="s">
        <v>401</v>
      </c>
      <c r="E2" s="644"/>
      <c r="F2" s="647"/>
      <c r="G2" s="644"/>
      <c r="H2" s="648"/>
      <c r="I2" s="649" t="s">
        <v>402</v>
      </c>
      <c r="J2" s="644"/>
      <c r="K2" s="647"/>
      <c r="L2" s="644"/>
      <c r="M2" s="648"/>
      <c r="N2" s="649" t="s">
        <v>403</v>
      </c>
      <c r="O2" s="644"/>
      <c r="P2" s="647"/>
      <c r="Q2" s="644"/>
      <c r="R2" s="650"/>
      <c r="S2" s="651" t="s">
        <v>404</v>
      </c>
      <c r="T2" s="652"/>
      <c r="U2" s="653"/>
      <c r="V2" s="652"/>
      <c r="W2" s="654"/>
      <c r="X2" s="651" t="s">
        <v>405</v>
      </c>
      <c r="Y2" s="652"/>
      <c r="Z2" s="653"/>
      <c r="AA2" s="652"/>
      <c r="AB2" s="654"/>
      <c r="AC2" s="635" t="s">
        <v>406</v>
      </c>
      <c r="AD2" s="635"/>
      <c r="AE2" s="638"/>
      <c r="AF2" s="635"/>
      <c r="AG2" s="655"/>
    </row>
    <row r="3" spans="2:42" s="296" customFormat="1" x14ac:dyDescent="0.45">
      <c r="B3" s="296" t="s">
        <v>407</v>
      </c>
      <c r="D3" s="297" t="s">
        <v>408</v>
      </c>
      <c r="E3" s="298" t="s">
        <v>409</v>
      </c>
      <c r="F3" s="299" t="s">
        <v>410</v>
      </c>
      <c r="G3" s="300" t="s">
        <v>411</v>
      </c>
      <c r="H3" s="301" t="s">
        <v>412</v>
      </c>
      <c r="I3" s="302" t="s">
        <v>408</v>
      </c>
      <c r="J3" s="298" t="s">
        <v>409</v>
      </c>
      <c r="K3" s="299" t="s">
        <v>410</v>
      </c>
      <c r="L3" s="300" t="s">
        <v>411</v>
      </c>
      <c r="M3" s="301" t="s">
        <v>412</v>
      </c>
      <c r="N3" s="302" t="s">
        <v>408</v>
      </c>
      <c r="O3" s="298" t="s">
        <v>409</v>
      </c>
      <c r="P3" s="299" t="s">
        <v>410</v>
      </c>
      <c r="Q3" s="300" t="s">
        <v>411</v>
      </c>
      <c r="R3" s="303" t="s">
        <v>412</v>
      </c>
      <c r="S3" s="297" t="s">
        <v>408</v>
      </c>
      <c r="T3" s="298" t="s">
        <v>409</v>
      </c>
      <c r="U3" s="299" t="s">
        <v>410</v>
      </c>
      <c r="V3" s="300" t="s">
        <v>411</v>
      </c>
      <c r="W3" s="303" t="s">
        <v>412</v>
      </c>
      <c r="X3" s="297" t="s">
        <v>408</v>
      </c>
      <c r="Y3" s="298" t="s">
        <v>409</v>
      </c>
      <c r="Z3" s="299" t="s">
        <v>410</v>
      </c>
      <c r="AA3" s="300" t="s">
        <v>411</v>
      </c>
      <c r="AB3" s="303" t="s">
        <v>412</v>
      </c>
      <c r="AC3" s="297" t="s">
        <v>408</v>
      </c>
      <c r="AD3" s="298" t="s">
        <v>409</v>
      </c>
      <c r="AE3" s="299" t="s">
        <v>410</v>
      </c>
      <c r="AF3" s="304" t="s">
        <v>411</v>
      </c>
      <c r="AG3" s="305" t="s">
        <v>412</v>
      </c>
    </row>
    <row r="4" spans="2:42" s="296" customFormat="1" ht="18.600000000000001" thickBot="1" x14ac:dyDescent="0.5">
      <c r="D4" s="306" t="s">
        <v>413</v>
      </c>
      <c r="E4" s="307" t="s">
        <v>414</v>
      </c>
      <c r="F4" s="308" t="s">
        <v>415</v>
      </c>
      <c r="G4" s="309" t="s">
        <v>416</v>
      </c>
      <c r="H4" s="310" t="s">
        <v>417</v>
      </c>
      <c r="I4" s="311" t="s">
        <v>413</v>
      </c>
      <c r="J4" s="307" t="s">
        <v>414</v>
      </c>
      <c r="K4" s="308" t="s">
        <v>415</v>
      </c>
      <c r="L4" s="309" t="s">
        <v>416</v>
      </c>
      <c r="M4" s="310" t="s">
        <v>417</v>
      </c>
      <c r="N4" s="311" t="s">
        <v>413</v>
      </c>
      <c r="O4" s="307" t="s">
        <v>414</v>
      </c>
      <c r="P4" s="308" t="s">
        <v>415</v>
      </c>
      <c r="Q4" s="309" t="s">
        <v>416</v>
      </c>
      <c r="R4" s="312" t="s">
        <v>417</v>
      </c>
      <c r="S4" s="306" t="s">
        <v>413</v>
      </c>
      <c r="T4" s="307" t="s">
        <v>414</v>
      </c>
      <c r="U4" s="308" t="s">
        <v>415</v>
      </c>
      <c r="V4" s="309" t="s">
        <v>416</v>
      </c>
      <c r="W4" s="312" t="s">
        <v>417</v>
      </c>
      <c r="X4" s="306" t="s">
        <v>413</v>
      </c>
      <c r="Y4" s="307" t="s">
        <v>414</v>
      </c>
      <c r="Z4" s="308" t="s">
        <v>415</v>
      </c>
      <c r="AA4" s="309" t="s">
        <v>416</v>
      </c>
      <c r="AB4" s="312" t="s">
        <v>417</v>
      </c>
      <c r="AC4" s="309" t="s">
        <v>413</v>
      </c>
      <c r="AD4" s="307" t="s">
        <v>414</v>
      </c>
      <c r="AE4" s="308" t="s">
        <v>415</v>
      </c>
      <c r="AF4" s="313" t="s">
        <v>416</v>
      </c>
      <c r="AG4" s="310" t="s">
        <v>417</v>
      </c>
    </row>
    <row r="5" spans="2:42" ht="18.600000000000001" thickBot="1" x14ac:dyDescent="0.5">
      <c r="B5" s="639" t="s">
        <v>418</v>
      </c>
      <c r="C5" s="640"/>
      <c r="D5" s="314">
        <v>12</v>
      </c>
      <c r="E5" s="315">
        <f>D5</f>
        <v>12</v>
      </c>
      <c r="F5" s="316">
        <v>12</v>
      </c>
      <c r="G5" s="317">
        <f>+F5-E5</f>
        <v>0</v>
      </c>
      <c r="H5" s="318">
        <f>IF(E5=0,"",F5/E5)</f>
        <v>1</v>
      </c>
      <c r="I5" s="319">
        <v>10</v>
      </c>
      <c r="J5" s="315">
        <f>I5</f>
        <v>10</v>
      </c>
      <c r="K5" s="316">
        <v>10</v>
      </c>
      <c r="L5" s="317">
        <f>+K5-J5</f>
        <v>0</v>
      </c>
      <c r="M5" s="318">
        <f>IF(J5=0,"",K5/J5)</f>
        <v>1</v>
      </c>
      <c r="N5" s="319">
        <f>+I5+D5</f>
        <v>22</v>
      </c>
      <c r="O5" s="315">
        <f>+J5+E5</f>
        <v>22</v>
      </c>
      <c r="P5" s="316">
        <f>+K5+F5</f>
        <v>22</v>
      </c>
      <c r="Q5" s="317">
        <f>+L5+G5</f>
        <v>0</v>
      </c>
      <c r="R5" s="320">
        <f>IF(O5=0,"",P5/O5)</f>
        <v>1</v>
      </c>
      <c r="S5" s="314">
        <v>0</v>
      </c>
      <c r="T5" s="315">
        <f>S5</f>
        <v>0</v>
      </c>
      <c r="U5" s="316">
        <v>0</v>
      </c>
      <c r="V5" s="317">
        <f>+U5-T5</f>
        <v>0</v>
      </c>
      <c r="W5" s="320" t="str">
        <f>IF(T5=0,"",U5/T5)</f>
        <v/>
      </c>
      <c r="X5" s="314">
        <v>0</v>
      </c>
      <c r="Y5" s="315">
        <f>X5</f>
        <v>0</v>
      </c>
      <c r="Z5" s="316">
        <v>0</v>
      </c>
      <c r="AA5" s="317">
        <f>+Z5-Y5</f>
        <v>0</v>
      </c>
      <c r="AB5" s="320" t="str">
        <f>IF(Y5=0,"",Z5/Y5)</f>
        <v/>
      </c>
      <c r="AC5" s="317">
        <f>+N5+S5+X5</f>
        <v>22</v>
      </c>
      <c r="AD5" s="315">
        <f>+O5+T5+Y5</f>
        <v>22</v>
      </c>
      <c r="AE5" s="316">
        <f>+P5+U5+Z5</f>
        <v>22</v>
      </c>
      <c r="AF5" s="317">
        <f>AE5-AD5</f>
        <v>0</v>
      </c>
      <c r="AG5" s="320">
        <f>IF(AD5=0,"",AE5/AD5)</f>
        <v>1</v>
      </c>
    </row>
    <row r="6" spans="2:42" s="329" customFormat="1" ht="15.6" customHeight="1" x14ac:dyDescent="0.45">
      <c r="B6" s="321"/>
      <c r="C6" s="322"/>
      <c r="D6" s="323"/>
      <c r="E6" s="324"/>
      <c r="F6" s="325" t="s">
        <v>419</v>
      </c>
      <c r="G6" s="324"/>
      <c r="H6" s="326"/>
      <c r="I6" s="327"/>
      <c r="J6" s="324"/>
      <c r="K6" s="325" t="s">
        <v>419</v>
      </c>
      <c r="L6" s="324"/>
      <c r="M6" s="326"/>
      <c r="N6" s="327"/>
      <c r="O6" s="324"/>
      <c r="P6" s="324"/>
      <c r="Q6" s="324"/>
      <c r="R6" s="328"/>
      <c r="S6" s="323"/>
      <c r="T6" s="324"/>
      <c r="U6" s="324"/>
      <c r="V6" s="324"/>
      <c r="W6" s="328"/>
      <c r="X6" s="323"/>
      <c r="Y6" s="324"/>
      <c r="Z6" s="324"/>
      <c r="AA6" s="324"/>
      <c r="AB6" s="328"/>
      <c r="AC6" s="324"/>
      <c r="AD6" s="324"/>
      <c r="AE6" s="324"/>
      <c r="AF6" s="324"/>
      <c r="AG6" s="326"/>
    </row>
    <row r="7" spans="2:42" x14ac:dyDescent="0.45">
      <c r="B7" s="636" t="s">
        <v>420</v>
      </c>
      <c r="C7" s="635"/>
      <c r="D7" s="330">
        <v>202.65476673913048</v>
      </c>
      <c r="E7" s="331">
        <f>D7</f>
        <v>202.65476673913048</v>
      </c>
      <c r="F7" s="332">
        <f>D7*1.07</f>
        <v>216.84060041086963</v>
      </c>
      <c r="G7" s="333">
        <f>+F7-E7</f>
        <v>14.185833671739147</v>
      </c>
      <c r="H7" s="334">
        <f>IF(E7=0,"",F7/E7)</f>
        <v>1.07</v>
      </c>
      <c r="I7" s="335">
        <v>181.54828634782612</v>
      </c>
      <c r="J7" s="331">
        <f>I7</f>
        <v>181.54828634782612</v>
      </c>
      <c r="K7" s="332">
        <f>I7*1.07</f>
        <v>194.25666639217397</v>
      </c>
      <c r="L7" s="333">
        <f>+K7-J7</f>
        <v>12.708380044347848</v>
      </c>
      <c r="M7" s="334">
        <f>IF(J7=0,"",K7/J7)</f>
        <v>1.07</v>
      </c>
      <c r="N7" s="335">
        <f t="shared" ref="N7:Q10" si="0">+I7+D7</f>
        <v>384.20305308695663</v>
      </c>
      <c r="O7" s="331">
        <f t="shared" si="0"/>
        <v>384.20305308695663</v>
      </c>
      <c r="P7" s="332">
        <f t="shared" si="0"/>
        <v>411.09726680304357</v>
      </c>
      <c r="Q7" s="333">
        <f t="shared" si="0"/>
        <v>26.894213716086995</v>
      </c>
      <c r="R7" s="336">
        <f>IF(O7=0,"",P7/O7)</f>
        <v>1.0699999999999998</v>
      </c>
      <c r="S7" s="330">
        <v>0</v>
      </c>
      <c r="T7" s="331">
        <f>S7</f>
        <v>0</v>
      </c>
      <c r="U7" s="332">
        <v>0</v>
      </c>
      <c r="V7" s="333">
        <f>+U7-T7</f>
        <v>0</v>
      </c>
      <c r="W7" s="336" t="str">
        <f>IF(T7=0,"",U7/T7)</f>
        <v/>
      </c>
      <c r="X7" s="330">
        <v>0</v>
      </c>
      <c r="Y7" s="331">
        <f>X7</f>
        <v>0</v>
      </c>
      <c r="Z7" s="332">
        <v>0</v>
      </c>
      <c r="AA7" s="333">
        <f>+Z7-Y7</f>
        <v>0</v>
      </c>
      <c r="AB7" s="336" t="str">
        <f>IF(Y7=0,"",Z7/Y7)</f>
        <v/>
      </c>
      <c r="AC7" s="333">
        <f t="shared" ref="AC7:AE10" si="1">+N7+S7+X7</f>
        <v>384.20305308695663</v>
      </c>
      <c r="AD7" s="331">
        <f t="shared" si="1"/>
        <v>384.20305308695663</v>
      </c>
      <c r="AE7" s="332">
        <f t="shared" si="1"/>
        <v>411.09726680304357</v>
      </c>
      <c r="AF7" s="333">
        <f>AE7-AD7</f>
        <v>26.894213716086938</v>
      </c>
      <c r="AG7" s="334">
        <f>IF(AD7=0,"",AE7/AD7)</f>
        <v>1.0699999999999998</v>
      </c>
    </row>
    <row r="8" spans="2:42" x14ac:dyDescent="0.45">
      <c r="B8" s="636" t="s">
        <v>421</v>
      </c>
      <c r="C8" s="635"/>
      <c r="D8" s="330">
        <v>33.565217391304351</v>
      </c>
      <c r="E8" s="331">
        <f>D8</f>
        <v>33.565217391304351</v>
      </c>
      <c r="F8" s="332">
        <f>E8</f>
        <v>33.565217391304351</v>
      </c>
      <c r="G8" s="333">
        <f>+F8-E8</f>
        <v>0</v>
      </c>
      <c r="H8" s="334">
        <f>IF(E8=0,"",F8/E8)</f>
        <v>1</v>
      </c>
      <c r="I8" s="335">
        <v>30.869565217391305</v>
      </c>
      <c r="J8" s="331">
        <f>I8</f>
        <v>30.869565217391305</v>
      </c>
      <c r="K8" s="332">
        <f>J8</f>
        <v>30.869565217391305</v>
      </c>
      <c r="L8" s="333">
        <f>+K8-J8</f>
        <v>0</v>
      </c>
      <c r="M8" s="334">
        <f>IF(J8=0,"",K8/J8)</f>
        <v>1</v>
      </c>
      <c r="N8" s="335">
        <f t="shared" si="0"/>
        <v>64.434782608695656</v>
      </c>
      <c r="O8" s="331">
        <f t="shared" si="0"/>
        <v>64.434782608695656</v>
      </c>
      <c r="P8" s="332">
        <f t="shared" si="0"/>
        <v>64.434782608695656</v>
      </c>
      <c r="Q8" s="333">
        <f t="shared" si="0"/>
        <v>0</v>
      </c>
      <c r="R8" s="336">
        <f>IF(O8=0,"",P8/O8)</f>
        <v>1</v>
      </c>
      <c r="S8" s="330">
        <v>0</v>
      </c>
      <c r="T8" s="331">
        <f>S8</f>
        <v>0</v>
      </c>
      <c r="U8" s="332">
        <v>0</v>
      </c>
      <c r="V8" s="333">
        <f>+U8-T8</f>
        <v>0</v>
      </c>
      <c r="W8" s="336" t="str">
        <f>IF(T8=0,"",U8/T8)</f>
        <v/>
      </c>
      <c r="X8" s="330">
        <v>0</v>
      </c>
      <c r="Y8" s="331">
        <f>X8</f>
        <v>0</v>
      </c>
      <c r="Z8" s="332">
        <v>0</v>
      </c>
      <c r="AA8" s="333">
        <f>+Z8-Y8</f>
        <v>0</v>
      </c>
      <c r="AB8" s="336" t="str">
        <f>IF(Y8=0,"",Z8/Y8)</f>
        <v/>
      </c>
      <c r="AC8" s="333">
        <f t="shared" si="1"/>
        <v>64.434782608695656</v>
      </c>
      <c r="AD8" s="331">
        <f t="shared" si="1"/>
        <v>64.434782608695656</v>
      </c>
      <c r="AE8" s="332">
        <f t="shared" si="1"/>
        <v>64.434782608695656</v>
      </c>
      <c r="AF8" s="333">
        <f>AE8-AD8</f>
        <v>0</v>
      </c>
      <c r="AG8" s="334">
        <f>IF(AD8=0,"",AE8/AD8)</f>
        <v>1</v>
      </c>
    </row>
    <row r="9" spans="2:42" ht="18.600000000000001" thickBot="1" x14ac:dyDescent="0.5">
      <c r="B9" s="637" t="s">
        <v>422</v>
      </c>
      <c r="C9" s="638"/>
      <c r="D9" s="337">
        <v>11.869565217391305</v>
      </c>
      <c r="E9" s="338">
        <f>D9</f>
        <v>11.869565217391305</v>
      </c>
      <c r="F9" s="339">
        <f>E9</f>
        <v>11.869565217391305</v>
      </c>
      <c r="G9" s="340">
        <f>+F9-E9</f>
        <v>0</v>
      </c>
      <c r="H9" s="341">
        <f>IF(E9=0,"",F9/E9)</f>
        <v>1</v>
      </c>
      <c r="I9" s="342">
        <v>32.173913043478258</v>
      </c>
      <c r="J9" s="338">
        <f>I9</f>
        <v>32.173913043478258</v>
      </c>
      <c r="K9" s="339">
        <f>J9</f>
        <v>32.173913043478258</v>
      </c>
      <c r="L9" s="340">
        <f>+K9-J9</f>
        <v>0</v>
      </c>
      <c r="M9" s="341">
        <f>IF(J9=0,"",K9/J9)</f>
        <v>1</v>
      </c>
      <c r="N9" s="342">
        <f t="shared" si="0"/>
        <v>44.043478260869563</v>
      </c>
      <c r="O9" s="338">
        <f t="shared" si="0"/>
        <v>44.043478260869563</v>
      </c>
      <c r="P9" s="339">
        <f t="shared" si="0"/>
        <v>44.043478260869563</v>
      </c>
      <c r="Q9" s="340">
        <f t="shared" si="0"/>
        <v>0</v>
      </c>
      <c r="R9" s="343">
        <f>IF(O9=0,"",P9/O9)</f>
        <v>1</v>
      </c>
      <c r="S9" s="337">
        <v>0</v>
      </c>
      <c r="T9" s="338">
        <f>S9</f>
        <v>0</v>
      </c>
      <c r="U9" s="339">
        <v>0</v>
      </c>
      <c r="V9" s="340">
        <f>+U9-T9</f>
        <v>0</v>
      </c>
      <c r="W9" s="343" t="str">
        <f>IF(T9=0,"",U9/T9)</f>
        <v/>
      </c>
      <c r="X9" s="337">
        <v>0</v>
      </c>
      <c r="Y9" s="338">
        <f>X9</f>
        <v>0</v>
      </c>
      <c r="Z9" s="339">
        <v>0</v>
      </c>
      <c r="AA9" s="340">
        <f>+Z9-Y9</f>
        <v>0</v>
      </c>
      <c r="AB9" s="343" t="str">
        <f>IF(Y9=0,"",Z9/Y9)</f>
        <v/>
      </c>
      <c r="AC9" s="340">
        <f t="shared" si="1"/>
        <v>44.043478260869563</v>
      </c>
      <c r="AD9" s="338">
        <f t="shared" si="1"/>
        <v>44.043478260869563</v>
      </c>
      <c r="AE9" s="339">
        <f t="shared" si="1"/>
        <v>44.043478260869563</v>
      </c>
      <c r="AF9" s="340">
        <f>AE9-AD9</f>
        <v>0</v>
      </c>
      <c r="AG9" s="341">
        <f>IF(AD9=0,"",AE9/AD9)</f>
        <v>1</v>
      </c>
    </row>
    <row r="10" spans="2:42" ht="18.600000000000001" thickBot="1" x14ac:dyDescent="0.5">
      <c r="B10" s="639" t="s">
        <v>423</v>
      </c>
      <c r="C10" s="640"/>
      <c r="D10" s="314">
        <f>SUM(D7:D9)</f>
        <v>248.08954934782614</v>
      </c>
      <c r="E10" s="315">
        <f>SUM(E7:E9)</f>
        <v>248.08954934782614</v>
      </c>
      <c r="F10" s="316">
        <f>SUM(F7:F9)</f>
        <v>262.27538301956525</v>
      </c>
      <c r="G10" s="317">
        <f>+F10-E10</f>
        <v>14.185833671739118</v>
      </c>
      <c r="H10" s="318">
        <f>IF(E10=0,"",F10/E10)</f>
        <v>1.0571802952161049</v>
      </c>
      <c r="I10" s="319">
        <f>SUM(I7:I9)</f>
        <v>244.59176460869568</v>
      </c>
      <c r="J10" s="315">
        <f>SUM(J7:J9)</f>
        <v>244.59176460869568</v>
      </c>
      <c r="K10" s="316">
        <f>SUM(K7:K9)</f>
        <v>257.30014465304356</v>
      </c>
      <c r="L10" s="317">
        <f>+K10-J10</f>
        <v>12.708380044347876</v>
      </c>
      <c r="M10" s="318">
        <f>IF(J10=0,"",K10/J10)</f>
        <v>1.0519575140425479</v>
      </c>
      <c r="N10" s="319">
        <f t="shared" si="0"/>
        <v>492.68131395652182</v>
      </c>
      <c r="O10" s="315">
        <f t="shared" si="0"/>
        <v>492.68131395652182</v>
      </c>
      <c r="P10" s="316">
        <f t="shared" si="0"/>
        <v>519.57552767260881</v>
      </c>
      <c r="Q10" s="317">
        <f t="shared" si="0"/>
        <v>26.894213716086995</v>
      </c>
      <c r="R10" s="320">
        <f>IF(O10=0,"",P10/O10)</f>
        <v>1.0545874441636736</v>
      </c>
      <c r="S10" s="314">
        <f>SUM(S7:S9)</f>
        <v>0</v>
      </c>
      <c r="T10" s="315">
        <f>SUM(T7:T9)</f>
        <v>0</v>
      </c>
      <c r="U10" s="316">
        <f>SUM(U7:U9)</f>
        <v>0</v>
      </c>
      <c r="V10" s="317">
        <f>+U10-T10</f>
        <v>0</v>
      </c>
      <c r="W10" s="320" t="str">
        <f>IF(T10=0,"",U10/T10)</f>
        <v/>
      </c>
      <c r="X10" s="314">
        <f>SUM(X7:X9)</f>
        <v>0</v>
      </c>
      <c r="Y10" s="315">
        <f>SUM(Y7:Y9)</f>
        <v>0</v>
      </c>
      <c r="Z10" s="316">
        <f>SUM(Z7:Z9)</f>
        <v>0</v>
      </c>
      <c r="AA10" s="317">
        <f>+Z10-Y10</f>
        <v>0</v>
      </c>
      <c r="AB10" s="320" t="str">
        <f>IF(Y10=0,"",Z10/Y10)</f>
        <v/>
      </c>
      <c r="AC10" s="317">
        <f t="shared" si="1"/>
        <v>492.68131395652182</v>
      </c>
      <c r="AD10" s="315">
        <f t="shared" si="1"/>
        <v>492.68131395652182</v>
      </c>
      <c r="AE10" s="316">
        <f t="shared" si="1"/>
        <v>519.57552767260881</v>
      </c>
      <c r="AF10" s="317">
        <f>AE10-AD10</f>
        <v>26.894213716086995</v>
      </c>
      <c r="AG10" s="320">
        <f>IF(AD10=0,"",AE10/AD10)</f>
        <v>1.0545874441636736</v>
      </c>
    </row>
    <row r="11" spans="2:42" x14ac:dyDescent="0.45">
      <c r="B11" s="344"/>
      <c r="C11" s="345"/>
      <c r="D11" s="346"/>
      <c r="E11" s="347"/>
      <c r="F11" s="347"/>
      <c r="G11" s="347"/>
      <c r="H11" s="348"/>
      <c r="I11" s="349"/>
      <c r="J11" s="347"/>
      <c r="K11" s="347"/>
      <c r="L11" s="347"/>
      <c r="M11" s="348"/>
      <c r="N11" s="349"/>
      <c r="O11" s="347"/>
      <c r="P11" s="347"/>
      <c r="Q11" s="347"/>
      <c r="R11" s="350"/>
      <c r="S11" s="346"/>
      <c r="T11" s="347"/>
      <c r="U11" s="347"/>
      <c r="V11" s="347"/>
      <c r="W11" s="350"/>
      <c r="X11" s="346"/>
      <c r="Y11" s="347"/>
      <c r="Z11" s="347"/>
      <c r="AA11" s="347"/>
      <c r="AB11" s="350"/>
      <c r="AC11" s="347"/>
      <c r="AD11" s="347"/>
      <c r="AE11" s="347"/>
      <c r="AF11" s="347"/>
      <c r="AG11" s="348"/>
    </row>
    <row r="12" spans="2:42" x14ac:dyDescent="0.45">
      <c r="B12" s="636" t="s">
        <v>424</v>
      </c>
      <c r="C12" s="635"/>
      <c r="D12" s="330">
        <v>0</v>
      </c>
      <c r="E12" s="331">
        <f t="shared" ref="E12:F14" si="2">D12</f>
        <v>0</v>
      </c>
      <c r="F12" s="332">
        <f t="shared" si="2"/>
        <v>0</v>
      </c>
      <c r="G12" s="333">
        <f>+F12-E12</f>
        <v>0</v>
      </c>
      <c r="H12" s="334" t="str">
        <f>IF(E12=0,"",F12/E12)</f>
        <v/>
      </c>
      <c r="I12" s="335">
        <v>0</v>
      </c>
      <c r="J12" s="331">
        <f t="shared" ref="J12:K14" si="3">I12</f>
        <v>0</v>
      </c>
      <c r="K12" s="332">
        <f t="shared" si="3"/>
        <v>0</v>
      </c>
      <c r="L12" s="333">
        <f>+K12-J12</f>
        <v>0</v>
      </c>
      <c r="M12" s="334" t="str">
        <f>IF(J12=0,"",K12/J12)</f>
        <v/>
      </c>
      <c r="N12" s="335">
        <f t="shared" ref="N12:Q15" si="4">+I12+D12</f>
        <v>0</v>
      </c>
      <c r="O12" s="331">
        <f t="shared" si="4"/>
        <v>0</v>
      </c>
      <c r="P12" s="332">
        <f t="shared" si="4"/>
        <v>0</v>
      </c>
      <c r="Q12" s="333">
        <f t="shared" si="4"/>
        <v>0</v>
      </c>
      <c r="R12" s="336" t="str">
        <f>IF(O12=0,"",P12/O12)</f>
        <v/>
      </c>
      <c r="S12" s="330">
        <v>0</v>
      </c>
      <c r="T12" s="331">
        <f>S12</f>
        <v>0</v>
      </c>
      <c r="U12" s="332">
        <v>0</v>
      </c>
      <c r="V12" s="333">
        <f>+U12-T12</f>
        <v>0</v>
      </c>
      <c r="W12" s="336" t="str">
        <f>IF(T12=0,"",U12/T12)</f>
        <v/>
      </c>
      <c r="X12" s="330">
        <v>0</v>
      </c>
      <c r="Y12" s="331">
        <f>X12</f>
        <v>0</v>
      </c>
      <c r="Z12" s="332">
        <v>0</v>
      </c>
      <c r="AA12" s="333">
        <f>+Z12-Y12</f>
        <v>0</v>
      </c>
      <c r="AB12" s="336" t="str">
        <f>IF(Y12=0,"",Z12/Y12)</f>
        <v/>
      </c>
      <c r="AC12" s="333">
        <f t="shared" ref="AC12:AE15" si="5">+N12+S12+X12</f>
        <v>0</v>
      </c>
      <c r="AD12" s="331">
        <f t="shared" si="5"/>
        <v>0</v>
      </c>
      <c r="AE12" s="332">
        <f t="shared" si="5"/>
        <v>0</v>
      </c>
      <c r="AF12" s="333">
        <f>AE12-AD12</f>
        <v>0</v>
      </c>
      <c r="AG12" s="334" t="str">
        <f>IF(AD12=0,"",AE12/AD12)</f>
        <v/>
      </c>
    </row>
    <row r="13" spans="2:42" x14ac:dyDescent="0.45">
      <c r="B13" s="636" t="s">
        <v>425</v>
      </c>
      <c r="C13" s="635"/>
      <c r="D13" s="330">
        <v>2.8260869565217392</v>
      </c>
      <c r="E13" s="331">
        <f t="shared" si="2"/>
        <v>2.8260869565217392</v>
      </c>
      <c r="F13" s="332">
        <f t="shared" si="2"/>
        <v>2.8260869565217392</v>
      </c>
      <c r="G13" s="333">
        <f>+F13-E13</f>
        <v>0</v>
      </c>
      <c r="H13" s="334">
        <f>IF(E13=0,"",F13/E13)</f>
        <v>1</v>
      </c>
      <c r="I13" s="335">
        <v>3.1956521739130435</v>
      </c>
      <c r="J13" s="331">
        <f t="shared" si="3"/>
        <v>3.1956521739130435</v>
      </c>
      <c r="K13" s="332">
        <f t="shared" si="3"/>
        <v>3.1956521739130435</v>
      </c>
      <c r="L13" s="333">
        <f>+K13-J13</f>
        <v>0</v>
      </c>
      <c r="M13" s="334">
        <f>IF(J13=0,"",K13/J13)</f>
        <v>1</v>
      </c>
      <c r="N13" s="335">
        <f t="shared" si="4"/>
        <v>6.0217391304347831</v>
      </c>
      <c r="O13" s="331">
        <f t="shared" si="4"/>
        <v>6.0217391304347831</v>
      </c>
      <c r="P13" s="332">
        <f t="shared" si="4"/>
        <v>6.0217391304347831</v>
      </c>
      <c r="Q13" s="333">
        <f t="shared" si="4"/>
        <v>0</v>
      </c>
      <c r="R13" s="336">
        <f>IF(O13=0,"",P13/O13)</f>
        <v>1</v>
      </c>
      <c r="S13" s="330">
        <v>0</v>
      </c>
      <c r="T13" s="331">
        <f>S13</f>
        <v>0</v>
      </c>
      <c r="U13" s="332">
        <v>0</v>
      </c>
      <c r="V13" s="333">
        <f>+U13-T13</f>
        <v>0</v>
      </c>
      <c r="W13" s="336" t="str">
        <f>IF(T13=0,"",U13/T13)</f>
        <v/>
      </c>
      <c r="X13" s="330">
        <v>0</v>
      </c>
      <c r="Y13" s="331">
        <f>X13</f>
        <v>0</v>
      </c>
      <c r="Z13" s="332">
        <v>0</v>
      </c>
      <c r="AA13" s="333">
        <f>+Z13-Y13</f>
        <v>0</v>
      </c>
      <c r="AB13" s="336" t="str">
        <f>IF(Y13=0,"",Z13/Y13)</f>
        <v/>
      </c>
      <c r="AC13" s="333">
        <f t="shared" si="5"/>
        <v>6.0217391304347831</v>
      </c>
      <c r="AD13" s="331">
        <f t="shared" si="5"/>
        <v>6.0217391304347831</v>
      </c>
      <c r="AE13" s="332">
        <f t="shared" si="5"/>
        <v>6.0217391304347831</v>
      </c>
      <c r="AF13" s="333">
        <f>AE13-AD13</f>
        <v>0</v>
      </c>
      <c r="AG13" s="334">
        <f>IF(AD13=0,"",AE13/AD13)</f>
        <v>1</v>
      </c>
    </row>
    <row r="14" spans="2:42" ht="18.600000000000001" thickBot="1" x14ac:dyDescent="0.5">
      <c r="B14" s="636" t="s">
        <v>426</v>
      </c>
      <c r="C14" s="635"/>
      <c r="D14" s="330">
        <v>0.65217391304347827</v>
      </c>
      <c r="E14" s="331">
        <f t="shared" si="2"/>
        <v>0.65217391304347827</v>
      </c>
      <c r="F14" s="332">
        <f t="shared" si="2"/>
        <v>0.65217391304347827</v>
      </c>
      <c r="G14" s="333">
        <f>+F14-E14</f>
        <v>0</v>
      </c>
      <c r="H14" s="334">
        <f>IF(E14=0,"",F14/E14)</f>
        <v>1</v>
      </c>
      <c r="I14" s="335">
        <v>1.3913043478260869</v>
      </c>
      <c r="J14" s="331">
        <f t="shared" si="3"/>
        <v>1.3913043478260869</v>
      </c>
      <c r="K14" s="332">
        <f t="shared" si="3"/>
        <v>1.3913043478260869</v>
      </c>
      <c r="L14" s="333">
        <f>+K14-J14</f>
        <v>0</v>
      </c>
      <c r="M14" s="334">
        <f>IF(J14=0,"",K14/J14)</f>
        <v>1</v>
      </c>
      <c r="N14" s="335">
        <f t="shared" si="4"/>
        <v>2.0434782608695654</v>
      </c>
      <c r="O14" s="331">
        <f t="shared" si="4"/>
        <v>2.0434782608695654</v>
      </c>
      <c r="P14" s="332">
        <f t="shared" si="4"/>
        <v>2.0434782608695654</v>
      </c>
      <c r="Q14" s="333">
        <f t="shared" si="4"/>
        <v>0</v>
      </c>
      <c r="R14" s="336">
        <f>IF(O14=0,"",P14/O14)</f>
        <v>1</v>
      </c>
      <c r="S14" s="330">
        <v>0</v>
      </c>
      <c r="T14" s="331">
        <f>S14</f>
        <v>0</v>
      </c>
      <c r="U14" s="332">
        <v>0</v>
      </c>
      <c r="V14" s="333">
        <f>+U14-T14</f>
        <v>0</v>
      </c>
      <c r="W14" s="336" t="str">
        <f>IF(T14=0,"",U14/T14)</f>
        <v/>
      </c>
      <c r="X14" s="330">
        <v>0</v>
      </c>
      <c r="Y14" s="331">
        <f>X14</f>
        <v>0</v>
      </c>
      <c r="Z14" s="332">
        <v>0</v>
      </c>
      <c r="AA14" s="333">
        <f>+Z14-Y14</f>
        <v>0</v>
      </c>
      <c r="AB14" s="336" t="str">
        <f>IF(Y14=0,"",Z14/Y14)</f>
        <v/>
      </c>
      <c r="AC14" s="333">
        <f t="shared" si="5"/>
        <v>2.0434782608695654</v>
      </c>
      <c r="AD14" s="331">
        <f t="shared" si="5"/>
        <v>2.0434782608695654</v>
      </c>
      <c r="AE14" s="332">
        <f t="shared" si="5"/>
        <v>2.0434782608695654</v>
      </c>
      <c r="AF14" s="333">
        <f>AE14-AD14</f>
        <v>0</v>
      </c>
      <c r="AG14" s="334">
        <f>IF(AD14=0,"",AE14/AD14)</f>
        <v>1</v>
      </c>
    </row>
    <row r="15" spans="2:42" ht="18.600000000000001" thickBot="1" x14ac:dyDescent="0.5">
      <c r="B15" s="639" t="s">
        <v>427</v>
      </c>
      <c r="C15" s="640"/>
      <c r="D15" s="314">
        <f>SUM(D12:D14)</f>
        <v>3.4782608695652177</v>
      </c>
      <c r="E15" s="315">
        <f>SUM(E12:E14)</f>
        <v>3.4782608695652177</v>
      </c>
      <c r="F15" s="316">
        <f>SUM(F12:F14)</f>
        <v>3.4782608695652177</v>
      </c>
      <c r="G15" s="317">
        <f>+F15-E15</f>
        <v>0</v>
      </c>
      <c r="H15" s="318">
        <f>IF(E15=0,"",F15/E15)</f>
        <v>1</v>
      </c>
      <c r="I15" s="319">
        <f>SUM(I12:I14)</f>
        <v>4.5869565217391308</v>
      </c>
      <c r="J15" s="315">
        <f>SUM(J12:J14)</f>
        <v>4.5869565217391308</v>
      </c>
      <c r="K15" s="316">
        <f>SUM(K12:K14)</f>
        <v>4.5869565217391308</v>
      </c>
      <c r="L15" s="317">
        <f>+K15-J15</f>
        <v>0</v>
      </c>
      <c r="M15" s="318">
        <f>IF(J15=0,"",K15/J15)</f>
        <v>1</v>
      </c>
      <c r="N15" s="319">
        <f t="shared" si="4"/>
        <v>8.0652173913043477</v>
      </c>
      <c r="O15" s="315">
        <f t="shared" si="4"/>
        <v>8.0652173913043477</v>
      </c>
      <c r="P15" s="316">
        <f t="shared" si="4"/>
        <v>8.0652173913043477</v>
      </c>
      <c r="Q15" s="317">
        <f t="shared" si="4"/>
        <v>0</v>
      </c>
      <c r="R15" s="320">
        <f>IF(O15=0,"",P15/O15)</f>
        <v>1</v>
      </c>
      <c r="S15" s="314">
        <f>SUM(S12:S14)</f>
        <v>0</v>
      </c>
      <c r="T15" s="315">
        <f>SUM(T12:T14)</f>
        <v>0</v>
      </c>
      <c r="U15" s="316">
        <f>SUM(U12:U14)</f>
        <v>0</v>
      </c>
      <c r="V15" s="317">
        <f>+U15-T15</f>
        <v>0</v>
      </c>
      <c r="W15" s="320" t="str">
        <f>IF(T15=0,"",U15/T15)</f>
        <v/>
      </c>
      <c r="X15" s="314">
        <f>SUM(X12:X14)</f>
        <v>0</v>
      </c>
      <c r="Y15" s="315">
        <f>SUM(Y12:Y14)</f>
        <v>0</v>
      </c>
      <c r="Z15" s="316">
        <f>SUM(Z12:Z14)</f>
        <v>0</v>
      </c>
      <c r="AA15" s="317">
        <f>+Z15-Y15</f>
        <v>0</v>
      </c>
      <c r="AB15" s="320" t="str">
        <f>IF(Y15=0,"",Z15/Y15)</f>
        <v/>
      </c>
      <c r="AC15" s="317">
        <f t="shared" si="5"/>
        <v>8.0652173913043477</v>
      </c>
      <c r="AD15" s="315">
        <f t="shared" si="5"/>
        <v>8.0652173913043477</v>
      </c>
      <c r="AE15" s="316">
        <f t="shared" si="5"/>
        <v>8.0652173913043477</v>
      </c>
      <c r="AF15" s="317">
        <f>AE15-AD15</f>
        <v>0</v>
      </c>
      <c r="AG15" s="320">
        <f>IF(AD15=0,"",AE15/AD15)</f>
        <v>1</v>
      </c>
    </row>
    <row r="16" spans="2:42" x14ac:dyDescent="0.45">
      <c r="B16" s="344"/>
      <c r="C16" s="345"/>
      <c r="D16" s="346"/>
      <c r="E16" s="347"/>
      <c r="F16" s="347"/>
      <c r="G16" s="347"/>
      <c r="H16" s="348"/>
      <c r="I16" s="349"/>
      <c r="J16" s="347"/>
      <c r="K16" s="347"/>
      <c r="L16" s="347"/>
      <c r="M16" s="348"/>
      <c r="N16" s="349"/>
      <c r="O16" s="347"/>
      <c r="P16" s="347"/>
      <c r="Q16" s="347"/>
      <c r="R16" s="350"/>
      <c r="S16" s="346"/>
      <c r="T16" s="347"/>
      <c r="U16" s="347"/>
      <c r="V16" s="347"/>
      <c r="W16" s="350"/>
      <c r="X16" s="346"/>
      <c r="Y16" s="347"/>
      <c r="Z16" s="347"/>
      <c r="AA16" s="347"/>
      <c r="AB16" s="350"/>
      <c r="AC16" s="347"/>
      <c r="AD16" s="347"/>
      <c r="AE16" s="347"/>
      <c r="AF16" s="347"/>
      <c r="AG16" s="348"/>
    </row>
    <row r="17" spans="2:33" x14ac:dyDescent="0.45">
      <c r="B17" s="636" t="s">
        <v>428</v>
      </c>
      <c r="C17" s="635"/>
      <c r="D17" s="330">
        <v>6.2608695652173916</v>
      </c>
      <c r="E17" s="331">
        <f t="shared" ref="E17:F23" si="6">D17</f>
        <v>6.2608695652173916</v>
      </c>
      <c r="F17" s="332">
        <f t="shared" si="6"/>
        <v>6.2608695652173916</v>
      </c>
      <c r="G17" s="333">
        <f t="shared" ref="G17:G25" si="7">+F17-E17</f>
        <v>0</v>
      </c>
      <c r="H17" s="334">
        <f t="shared" ref="H17:H25" si="8">IF(E17=0,"",F17/E17)</f>
        <v>1</v>
      </c>
      <c r="I17" s="335">
        <v>7.4782608695652177</v>
      </c>
      <c r="J17" s="331">
        <f t="shared" ref="J17:K23" si="9">I17</f>
        <v>7.4782608695652177</v>
      </c>
      <c r="K17" s="332">
        <f t="shared" si="9"/>
        <v>7.4782608695652177</v>
      </c>
      <c r="L17" s="333">
        <f t="shared" ref="L17:L25" si="10">+K17-J17</f>
        <v>0</v>
      </c>
      <c r="M17" s="334">
        <f t="shared" ref="M17:M25" si="11">IF(J17=0,"",K17/J17)</f>
        <v>1</v>
      </c>
      <c r="N17" s="335">
        <f t="shared" ref="N17:Q25" si="12">+I17+D17</f>
        <v>13.739130434782609</v>
      </c>
      <c r="O17" s="331">
        <f t="shared" si="12"/>
        <v>13.739130434782609</v>
      </c>
      <c r="P17" s="332">
        <f t="shared" si="12"/>
        <v>13.739130434782609</v>
      </c>
      <c r="Q17" s="333">
        <f t="shared" si="12"/>
        <v>0</v>
      </c>
      <c r="R17" s="336">
        <f t="shared" ref="R17:R25" si="13">IF(O17=0,"",P17/O17)</f>
        <v>1</v>
      </c>
      <c r="S17" s="330">
        <v>0</v>
      </c>
      <c r="T17" s="331">
        <f t="shared" ref="T17:T23" si="14">S17</f>
        <v>0</v>
      </c>
      <c r="U17" s="332">
        <v>0</v>
      </c>
      <c r="V17" s="333">
        <f t="shared" ref="V17:V25" si="15">+U17-T17</f>
        <v>0</v>
      </c>
      <c r="W17" s="336" t="str">
        <f t="shared" ref="W17:W25" si="16">IF(T17=0,"",U17/T17)</f>
        <v/>
      </c>
      <c r="X17" s="330">
        <v>0</v>
      </c>
      <c r="Y17" s="331">
        <f t="shared" ref="Y17:Y23" si="17">X17</f>
        <v>0</v>
      </c>
      <c r="Z17" s="332">
        <v>0</v>
      </c>
      <c r="AA17" s="333">
        <f t="shared" ref="AA17:AA25" si="18">+Z17-Y17</f>
        <v>0</v>
      </c>
      <c r="AB17" s="336" t="str">
        <f t="shared" ref="AB17:AB25" si="19">IF(Y17=0,"",Z17/Y17)</f>
        <v/>
      </c>
      <c r="AC17" s="333">
        <f t="shared" ref="AC17:AE25" si="20">+N17+S17+X17</f>
        <v>13.739130434782609</v>
      </c>
      <c r="AD17" s="331">
        <f t="shared" si="20"/>
        <v>13.739130434782609</v>
      </c>
      <c r="AE17" s="332">
        <f t="shared" si="20"/>
        <v>13.739130434782609</v>
      </c>
      <c r="AF17" s="333">
        <f t="shared" ref="AF17:AF25" si="21">AE17-AD17</f>
        <v>0</v>
      </c>
      <c r="AG17" s="334">
        <f t="shared" ref="AG17:AG25" si="22">IF(AD17=0,"",AE17/AD17)</f>
        <v>1</v>
      </c>
    </row>
    <row r="18" spans="2:33" x14ac:dyDescent="0.45">
      <c r="B18" s="636" t="s">
        <v>429</v>
      </c>
      <c r="C18" s="635"/>
      <c r="D18" s="330">
        <v>0.86956521739130432</v>
      </c>
      <c r="E18" s="331">
        <f t="shared" si="6"/>
        <v>0.86956521739130432</v>
      </c>
      <c r="F18" s="332">
        <f t="shared" si="6"/>
        <v>0.86956521739130432</v>
      </c>
      <c r="G18" s="333">
        <f t="shared" si="7"/>
        <v>0</v>
      </c>
      <c r="H18" s="334">
        <f t="shared" si="8"/>
        <v>1</v>
      </c>
      <c r="I18" s="335">
        <v>11</v>
      </c>
      <c r="J18" s="331">
        <f t="shared" si="9"/>
        <v>11</v>
      </c>
      <c r="K18" s="332">
        <f t="shared" si="9"/>
        <v>11</v>
      </c>
      <c r="L18" s="333">
        <f t="shared" si="10"/>
        <v>0</v>
      </c>
      <c r="M18" s="334">
        <f t="shared" si="11"/>
        <v>1</v>
      </c>
      <c r="N18" s="335">
        <f t="shared" si="12"/>
        <v>11.869565217391305</v>
      </c>
      <c r="O18" s="331">
        <f t="shared" si="12"/>
        <v>11.869565217391305</v>
      </c>
      <c r="P18" s="332">
        <f t="shared" si="12"/>
        <v>11.869565217391305</v>
      </c>
      <c r="Q18" s="333">
        <f t="shared" si="12"/>
        <v>0</v>
      </c>
      <c r="R18" s="336">
        <f t="shared" si="13"/>
        <v>1</v>
      </c>
      <c r="S18" s="330">
        <v>0</v>
      </c>
      <c r="T18" s="331">
        <f t="shared" si="14"/>
        <v>0</v>
      </c>
      <c r="U18" s="332">
        <v>0</v>
      </c>
      <c r="V18" s="333">
        <f t="shared" si="15"/>
        <v>0</v>
      </c>
      <c r="W18" s="336" t="str">
        <f t="shared" si="16"/>
        <v/>
      </c>
      <c r="X18" s="330">
        <v>0</v>
      </c>
      <c r="Y18" s="331">
        <f t="shared" si="17"/>
        <v>0</v>
      </c>
      <c r="Z18" s="332">
        <v>0</v>
      </c>
      <c r="AA18" s="333">
        <f t="shared" si="18"/>
        <v>0</v>
      </c>
      <c r="AB18" s="336" t="str">
        <f t="shared" si="19"/>
        <v/>
      </c>
      <c r="AC18" s="333">
        <f t="shared" si="20"/>
        <v>11.869565217391305</v>
      </c>
      <c r="AD18" s="331">
        <f t="shared" si="20"/>
        <v>11.869565217391305</v>
      </c>
      <c r="AE18" s="332">
        <f t="shared" si="20"/>
        <v>11.869565217391305</v>
      </c>
      <c r="AF18" s="333">
        <f t="shared" si="21"/>
        <v>0</v>
      </c>
      <c r="AG18" s="334">
        <f t="shared" si="22"/>
        <v>1</v>
      </c>
    </row>
    <row r="19" spans="2:33" x14ac:dyDescent="0.45">
      <c r="B19" s="636" t="s">
        <v>430</v>
      </c>
      <c r="C19" s="635"/>
      <c r="D19" s="330">
        <v>0</v>
      </c>
      <c r="E19" s="331">
        <f t="shared" si="6"/>
        <v>0</v>
      </c>
      <c r="F19" s="332">
        <f t="shared" si="6"/>
        <v>0</v>
      </c>
      <c r="G19" s="333">
        <f t="shared" si="7"/>
        <v>0</v>
      </c>
      <c r="H19" s="334" t="str">
        <f t="shared" si="8"/>
        <v/>
      </c>
      <c r="I19" s="335">
        <v>0</v>
      </c>
      <c r="J19" s="331">
        <f t="shared" si="9"/>
        <v>0</v>
      </c>
      <c r="K19" s="332">
        <f t="shared" si="9"/>
        <v>0</v>
      </c>
      <c r="L19" s="333">
        <f t="shared" si="10"/>
        <v>0</v>
      </c>
      <c r="M19" s="334" t="str">
        <f t="shared" si="11"/>
        <v/>
      </c>
      <c r="N19" s="335">
        <f t="shared" si="12"/>
        <v>0</v>
      </c>
      <c r="O19" s="331">
        <f t="shared" si="12"/>
        <v>0</v>
      </c>
      <c r="P19" s="332">
        <f t="shared" si="12"/>
        <v>0</v>
      </c>
      <c r="Q19" s="333">
        <f t="shared" si="12"/>
        <v>0</v>
      </c>
      <c r="R19" s="336" t="str">
        <f t="shared" si="13"/>
        <v/>
      </c>
      <c r="S19" s="330">
        <v>0</v>
      </c>
      <c r="T19" s="331">
        <f t="shared" si="14"/>
        <v>0</v>
      </c>
      <c r="U19" s="332">
        <v>0</v>
      </c>
      <c r="V19" s="333">
        <f t="shared" si="15"/>
        <v>0</v>
      </c>
      <c r="W19" s="336" t="str">
        <f t="shared" si="16"/>
        <v/>
      </c>
      <c r="X19" s="330">
        <v>0</v>
      </c>
      <c r="Y19" s="331">
        <f t="shared" si="17"/>
        <v>0</v>
      </c>
      <c r="Z19" s="332">
        <v>0</v>
      </c>
      <c r="AA19" s="333">
        <f t="shared" si="18"/>
        <v>0</v>
      </c>
      <c r="AB19" s="336" t="str">
        <f t="shared" si="19"/>
        <v/>
      </c>
      <c r="AC19" s="333">
        <f t="shared" si="20"/>
        <v>0</v>
      </c>
      <c r="AD19" s="331">
        <f t="shared" si="20"/>
        <v>0</v>
      </c>
      <c r="AE19" s="332">
        <f t="shared" si="20"/>
        <v>0</v>
      </c>
      <c r="AF19" s="333">
        <f t="shared" si="21"/>
        <v>0</v>
      </c>
      <c r="AG19" s="334" t="str">
        <f t="shared" si="22"/>
        <v/>
      </c>
    </row>
    <row r="20" spans="2:33" x14ac:dyDescent="0.45">
      <c r="B20" s="636" t="s">
        <v>431</v>
      </c>
      <c r="C20" s="635"/>
      <c r="D20" s="330">
        <v>0</v>
      </c>
      <c r="E20" s="351">
        <f t="shared" si="6"/>
        <v>0</v>
      </c>
      <c r="F20" s="332">
        <f t="shared" si="6"/>
        <v>0</v>
      </c>
      <c r="G20" s="333">
        <f t="shared" si="7"/>
        <v>0</v>
      </c>
      <c r="H20" s="334" t="str">
        <f t="shared" si="8"/>
        <v/>
      </c>
      <c r="I20" s="335">
        <v>5.4782608695652177</v>
      </c>
      <c r="J20" s="331">
        <f t="shared" si="9"/>
        <v>5.4782608695652177</v>
      </c>
      <c r="K20" s="332">
        <f t="shared" si="9"/>
        <v>5.4782608695652177</v>
      </c>
      <c r="L20" s="333">
        <f t="shared" si="10"/>
        <v>0</v>
      </c>
      <c r="M20" s="334">
        <f t="shared" si="11"/>
        <v>1</v>
      </c>
      <c r="N20" s="335">
        <f t="shared" si="12"/>
        <v>5.4782608695652177</v>
      </c>
      <c r="O20" s="331">
        <f t="shared" si="12"/>
        <v>5.4782608695652177</v>
      </c>
      <c r="P20" s="332">
        <f t="shared" si="12"/>
        <v>5.4782608695652177</v>
      </c>
      <c r="Q20" s="333">
        <f t="shared" si="12"/>
        <v>0</v>
      </c>
      <c r="R20" s="336">
        <f t="shared" si="13"/>
        <v>1</v>
      </c>
      <c r="S20" s="330">
        <v>0</v>
      </c>
      <c r="T20" s="331">
        <f t="shared" si="14"/>
        <v>0</v>
      </c>
      <c r="U20" s="332">
        <v>0</v>
      </c>
      <c r="V20" s="333">
        <f t="shared" si="15"/>
        <v>0</v>
      </c>
      <c r="W20" s="336" t="str">
        <f t="shared" si="16"/>
        <v/>
      </c>
      <c r="X20" s="330">
        <v>0</v>
      </c>
      <c r="Y20" s="331">
        <f t="shared" si="17"/>
        <v>0</v>
      </c>
      <c r="Z20" s="332">
        <v>0</v>
      </c>
      <c r="AA20" s="333">
        <f t="shared" si="18"/>
        <v>0</v>
      </c>
      <c r="AB20" s="336" t="str">
        <f t="shared" si="19"/>
        <v/>
      </c>
      <c r="AC20" s="333">
        <f t="shared" si="20"/>
        <v>5.4782608695652177</v>
      </c>
      <c r="AD20" s="331">
        <f t="shared" si="20"/>
        <v>5.4782608695652177</v>
      </c>
      <c r="AE20" s="332">
        <f t="shared" si="20"/>
        <v>5.4782608695652177</v>
      </c>
      <c r="AF20" s="333">
        <f t="shared" si="21"/>
        <v>0</v>
      </c>
      <c r="AG20" s="334">
        <f t="shared" si="22"/>
        <v>1</v>
      </c>
    </row>
    <row r="21" spans="2:33" x14ac:dyDescent="0.45">
      <c r="B21" s="636" t="s">
        <v>432</v>
      </c>
      <c r="C21" s="635"/>
      <c r="D21" s="330">
        <v>1.8695652173913044</v>
      </c>
      <c r="E21" s="331">
        <f t="shared" si="6"/>
        <v>1.8695652173913044</v>
      </c>
      <c r="F21" s="332">
        <f t="shared" si="6"/>
        <v>1.8695652173913044</v>
      </c>
      <c r="G21" s="333">
        <f t="shared" si="7"/>
        <v>0</v>
      </c>
      <c r="H21" s="334">
        <f t="shared" si="8"/>
        <v>1</v>
      </c>
      <c r="I21" s="335">
        <v>0.52173913043478259</v>
      </c>
      <c r="J21" s="331">
        <f t="shared" si="9"/>
        <v>0.52173913043478259</v>
      </c>
      <c r="K21" s="332">
        <f t="shared" si="9"/>
        <v>0.52173913043478259</v>
      </c>
      <c r="L21" s="333">
        <f t="shared" si="10"/>
        <v>0</v>
      </c>
      <c r="M21" s="334">
        <f t="shared" si="11"/>
        <v>1</v>
      </c>
      <c r="N21" s="335">
        <f t="shared" si="12"/>
        <v>2.3913043478260869</v>
      </c>
      <c r="O21" s="331">
        <f t="shared" si="12"/>
        <v>2.3913043478260869</v>
      </c>
      <c r="P21" s="332">
        <f t="shared" si="12"/>
        <v>2.3913043478260869</v>
      </c>
      <c r="Q21" s="333">
        <f t="shared" si="12"/>
        <v>0</v>
      </c>
      <c r="R21" s="336">
        <f t="shared" si="13"/>
        <v>1</v>
      </c>
      <c r="S21" s="330">
        <v>0</v>
      </c>
      <c r="T21" s="331">
        <f t="shared" si="14"/>
        <v>0</v>
      </c>
      <c r="U21" s="332">
        <v>0</v>
      </c>
      <c r="V21" s="333">
        <f t="shared" si="15"/>
        <v>0</v>
      </c>
      <c r="W21" s="336" t="str">
        <f t="shared" si="16"/>
        <v/>
      </c>
      <c r="X21" s="330">
        <v>0</v>
      </c>
      <c r="Y21" s="331">
        <f t="shared" si="17"/>
        <v>0</v>
      </c>
      <c r="Z21" s="332">
        <v>0</v>
      </c>
      <c r="AA21" s="333">
        <f t="shared" si="18"/>
        <v>0</v>
      </c>
      <c r="AB21" s="336" t="str">
        <f t="shared" si="19"/>
        <v/>
      </c>
      <c r="AC21" s="333">
        <f t="shared" si="20"/>
        <v>2.3913043478260869</v>
      </c>
      <c r="AD21" s="331">
        <f t="shared" si="20"/>
        <v>2.3913043478260869</v>
      </c>
      <c r="AE21" s="332">
        <f t="shared" si="20"/>
        <v>2.3913043478260869</v>
      </c>
      <c r="AF21" s="333">
        <f t="shared" si="21"/>
        <v>0</v>
      </c>
      <c r="AG21" s="334">
        <f t="shared" si="22"/>
        <v>1</v>
      </c>
    </row>
    <row r="22" spans="2:33" x14ac:dyDescent="0.45">
      <c r="B22" s="636" t="s">
        <v>433</v>
      </c>
      <c r="C22" s="635"/>
      <c r="D22" s="330">
        <v>0.60869565217391308</v>
      </c>
      <c r="E22" s="331">
        <f t="shared" si="6"/>
        <v>0.60869565217391308</v>
      </c>
      <c r="F22" s="332">
        <f t="shared" si="6"/>
        <v>0.60869565217391308</v>
      </c>
      <c r="G22" s="333">
        <f t="shared" si="7"/>
        <v>0</v>
      </c>
      <c r="H22" s="334">
        <f t="shared" si="8"/>
        <v>1</v>
      </c>
      <c r="I22" s="335">
        <v>2.2826086956521738</v>
      </c>
      <c r="J22" s="331">
        <f t="shared" si="9"/>
        <v>2.2826086956521738</v>
      </c>
      <c r="K22" s="332">
        <f t="shared" si="9"/>
        <v>2.2826086956521738</v>
      </c>
      <c r="L22" s="333">
        <f t="shared" si="10"/>
        <v>0</v>
      </c>
      <c r="M22" s="334">
        <f t="shared" si="11"/>
        <v>1</v>
      </c>
      <c r="N22" s="335">
        <f t="shared" si="12"/>
        <v>2.8913043478260869</v>
      </c>
      <c r="O22" s="331">
        <f t="shared" si="12"/>
        <v>2.8913043478260869</v>
      </c>
      <c r="P22" s="332">
        <f t="shared" si="12"/>
        <v>2.8913043478260869</v>
      </c>
      <c r="Q22" s="333">
        <f t="shared" si="12"/>
        <v>0</v>
      </c>
      <c r="R22" s="336">
        <f t="shared" si="13"/>
        <v>1</v>
      </c>
      <c r="S22" s="330">
        <v>0</v>
      </c>
      <c r="T22" s="331">
        <f t="shared" si="14"/>
        <v>0</v>
      </c>
      <c r="U22" s="332">
        <v>0</v>
      </c>
      <c r="V22" s="333">
        <f t="shared" si="15"/>
        <v>0</v>
      </c>
      <c r="W22" s="336" t="str">
        <f t="shared" si="16"/>
        <v/>
      </c>
      <c r="X22" s="330">
        <v>0</v>
      </c>
      <c r="Y22" s="331">
        <f t="shared" si="17"/>
        <v>0</v>
      </c>
      <c r="Z22" s="332">
        <v>0</v>
      </c>
      <c r="AA22" s="333">
        <f t="shared" si="18"/>
        <v>0</v>
      </c>
      <c r="AB22" s="336" t="str">
        <f t="shared" si="19"/>
        <v/>
      </c>
      <c r="AC22" s="333">
        <f t="shared" si="20"/>
        <v>2.8913043478260869</v>
      </c>
      <c r="AD22" s="331">
        <f t="shared" si="20"/>
        <v>2.8913043478260869</v>
      </c>
      <c r="AE22" s="332">
        <f t="shared" si="20"/>
        <v>2.8913043478260869</v>
      </c>
      <c r="AF22" s="333">
        <f t="shared" si="21"/>
        <v>0</v>
      </c>
      <c r="AG22" s="334">
        <f t="shared" si="22"/>
        <v>1</v>
      </c>
    </row>
    <row r="23" spans="2:33" ht="18.600000000000001" thickBot="1" x14ac:dyDescent="0.5">
      <c r="B23" s="637" t="s">
        <v>434</v>
      </c>
      <c r="C23" s="638"/>
      <c r="D23" s="337">
        <v>0</v>
      </c>
      <c r="E23" s="338">
        <f t="shared" si="6"/>
        <v>0</v>
      </c>
      <c r="F23" s="339">
        <f t="shared" si="6"/>
        <v>0</v>
      </c>
      <c r="G23" s="340">
        <f t="shared" si="7"/>
        <v>0</v>
      </c>
      <c r="H23" s="341" t="str">
        <f t="shared" si="8"/>
        <v/>
      </c>
      <c r="I23" s="342">
        <v>0</v>
      </c>
      <c r="J23" s="338">
        <f t="shared" si="9"/>
        <v>0</v>
      </c>
      <c r="K23" s="339">
        <f t="shared" si="9"/>
        <v>0</v>
      </c>
      <c r="L23" s="340">
        <f t="shared" si="10"/>
        <v>0</v>
      </c>
      <c r="M23" s="341" t="str">
        <f t="shared" si="11"/>
        <v/>
      </c>
      <c r="N23" s="342">
        <f t="shared" si="12"/>
        <v>0</v>
      </c>
      <c r="O23" s="338">
        <f t="shared" si="12"/>
        <v>0</v>
      </c>
      <c r="P23" s="339">
        <f t="shared" si="12"/>
        <v>0</v>
      </c>
      <c r="Q23" s="340">
        <f t="shared" si="12"/>
        <v>0</v>
      </c>
      <c r="R23" s="343" t="str">
        <f t="shared" si="13"/>
        <v/>
      </c>
      <c r="S23" s="337">
        <v>0</v>
      </c>
      <c r="T23" s="338">
        <f t="shared" si="14"/>
        <v>0</v>
      </c>
      <c r="U23" s="339">
        <v>0</v>
      </c>
      <c r="V23" s="340">
        <f t="shared" si="15"/>
        <v>0</v>
      </c>
      <c r="W23" s="343" t="str">
        <f t="shared" si="16"/>
        <v/>
      </c>
      <c r="X23" s="337">
        <v>0</v>
      </c>
      <c r="Y23" s="338">
        <f t="shared" si="17"/>
        <v>0</v>
      </c>
      <c r="Z23" s="339">
        <v>0</v>
      </c>
      <c r="AA23" s="340">
        <f t="shared" si="18"/>
        <v>0</v>
      </c>
      <c r="AB23" s="343" t="str">
        <f t="shared" si="19"/>
        <v/>
      </c>
      <c r="AC23" s="340">
        <f t="shared" si="20"/>
        <v>0</v>
      </c>
      <c r="AD23" s="338">
        <f t="shared" si="20"/>
        <v>0</v>
      </c>
      <c r="AE23" s="339">
        <f t="shared" si="20"/>
        <v>0</v>
      </c>
      <c r="AF23" s="340">
        <f t="shared" si="21"/>
        <v>0</v>
      </c>
      <c r="AG23" s="341" t="str">
        <f t="shared" si="22"/>
        <v/>
      </c>
    </row>
    <row r="24" spans="2:33" ht="18.600000000000001" thickBot="1" x14ac:dyDescent="0.5">
      <c r="B24" s="639" t="s">
        <v>435</v>
      </c>
      <c r="C24" s="640"/>
      <c r="D24" s="314">
        <f>SUM(D17:D23)</f>
        <v>9.608695652173914</v>
      </c>
      <c r="E24" s="315">
        <f>SUM(E17:E23)</f>
        <v>9.608695652173914</v>
      </c>
      <c r="F24" s="316">
        <f>SUM(F17:F23)</f>
        <v>9.608695652173914</v>
      </c>
      <c r="G24" s="317">
        <f t="shared" si="7"/>
        <v>0</v>
      </c>
      <c r="H24" s="318">
        <f t="shared" si="8"/>
        <v>1</v>
      </c>
      <c r="I24" s="319">
        <f>SUM(I17:I23)</f>
        <v>26.760869565217391</v>
      </c>
      <c r="J24" s="315">
        <f>SUM(J17:J23)</f>
        <v>26.760869565217391</v>
      </c>
      <c r="K24" s="316">
        <f>SUM(K17:K23)</f>
        <v>26.760869565217391</v>
      </c>
      <c r="L24" s="317">
        <f t="shared" si="10"/>
        <v>0</v>
      </c>
      <c r="M24" s="318">
        <f t="shared" si="11"/>
        <v>1</v>
      </c>
      <c r="N24" s="319">
        <f t="shared" si="12"/>
        <v>36.369565217391305</v>
      </c>
      <c r="O24" s="315">
        <f t="shared" si="12"/>
        <v>36.369565217391305</v>
      </c>
      <c r="P24" s="316">
        <f t="shared" si="12"/>
        <v>36.369565217391305</v>
      </c>
      <c r="Q24" s="317">
        <f t="shared" si="12"/>
        <v>0</v>
      </c>
      <c r="R24" s="320">
        <f t="shared" si="13"/>
        <v>1</v>
      </c>
      <c r="S24" s="314">
        <f>SUM(S17:S23)</f>
        <v>0</v>
      </c>
      <c r="T24" s="315">
        <f>SUM(T17:T23)</f>
        <v>0</v>
      </c>
      <c r="U24" s="316">
        <f>SUM(U17:U23)</f>
        <v>0</v>
      </c>
      <c r="V24" s="317">
        <f t="shared" si="15"/>
        <v>0</v>
      </c>
      <c r="W24" s="320" t="str">
        <f t="shared" si="16"/>
        <v/>
      </c>
      <c r="X24" s="314">
        <f>SUM(X17:X23)</f>
        <v>0</v>
      </c>
      <c r="Y24" s="315">
        <f>SUM(Y17:Y23)</f>
        <v>0</v>
      </c>
      <c r="Z24" s="316">
        <f>SUM(Z17:Z23)</f>
        <v>0</v>
      </c>
      <c r="AA24" s="317">
        <f t="shared" si="18"/>
        <v>0</v>
      </c>
      <c r="AB24" s="320" t="str">
        <f t="shared" si="19"/>
        <v/>
      </c>
      <c r="AC24" s="317">
        <f t="shared" si="20"/>
        <v>36.369565217391305</v>
      </c>
      <c r="AD24" s="315">
        <f t="shared" si="20"/>
        <v>36.369565217391305</v>
      </c>
      <c r="AE24" s="316">
        <f t="shared" si="20"/>
        <v>36.369565217391305</v>
      </c>
      <c r="AF24" s="317">
        <f t="shared" si="21"/>
        <v>0</v>
      </c>
      <c r="AG24" s="320">
        <f t="shared" si="22"/>
        <v>1</v>
      </c>
    </row>
    <row r="25" spans="2:33" ht="18.600000000000001" thickBot="1" x14ac:dyDescent="0.5">
      <c r="B25" s="641" t="s">
        <v>436</v>
      </c>
      <c r="C25" s="642"/>
      <c r="D25" s="314">
        <f>+D10+D15+D24</f>
        <v>261.17650586956529</v>
      </c>
      <c r="E25" s="315">
        <f>+E10+E15+E24</f>
        <v>261.17650586956529</v>
      </c>
      <c r="F25" s="316">
        <f>+F10+F15+F24</f>
        <v>275.36233954130438</v>
      </c>
      <c r="G25" s="317">
        <f t="shared" si="7"/>
        <v>14.18583367173909</v>
      </c>
      <c r="H25" s="318">
        <f t="shared" si="8"/>
        <v>1.0543151215861035</v>
      </c>
      <c r="I25" s="319">
        <f>+I10+I15+I24</f>
        <v>275.93959069565221</v>
      </c>
      <c r="J25" s="315">
        <f>+J10+J15+J24</f>
        <v>275.93959069565221</v>
      </c>
      <c r="K25" s="316">
        <f>+K10+K15+K24</f>
        <v>288.64797074000006</v>
      </c>
      <c r="L25" s="317">
        <f t="shared" si="10"/>
        <v>12.708380044347848</v>
      </c>
      <c r="M25" s="318">
        <f t="shared" si="11"/>
        <v>1.0460549354744988</v>
      </c>
      <c r="N25" s="319">
        <f t="shared" si="12"/>
        <v>537.1160965652175</v>
      </c>
      <c r="O25" s="315">
        <f t="shared" si="12"/>
        <v>537.1160965652175</v>
      </c>
      <c r="P25" s="316">
        <f t="shared" si="12"/>
        <v>564.01031028130444</v>
      </c>
      <c r="Q25" s="317">
        <f t="shared" si="12"/>
        <v>26.894213716086938</v>
      </c>
      <c r="R25" s="320">
        <f t="shared" si="13"/>
        <v>1.0500715094708046</v>
      </c>
      <c r="S25" s="314">
        <f>+S10+S15+S24</f>
        <v>0</v>
      </c>
      <c r="T25" s="315">
        <f>+T10+T15+T24</f>
        <v>0</v>
      </c>
      <c r="U25" s="316">
        <f>+U10+U15+U24</f>
        <v>0</v>
      </c>
      <c r="V25" s="317">
        <f t="shared" si="15"/>
        <v>0</v>
      </c>
      <c r="W25" s="320" t="str">
        <f t="shared" si="16"/>
        <v/>
      </c>
      <c r="X25" s="314">
        <f>+X10+X15+X24</f>
        <v>0</v>
      </c>
      <c r="Y25" s="315">
        <f>+Y10+Y15+Y24</f>
        <v>0</v>
      </c>
      <c r="Z25" s="316">
        <f>+Z10+Z15+Z24</f>
        <v>0</v>
      </c>
      <c r="AA25" s="317">
        <f t="shared" si="18"/>
        <v>0</v>
      </c>
      <c r="AB25" s="320" t="str">
        <f t="shared" si="19"/>
        <v/>
      </c>
      <c r="AC25" s="317">
        <f t="shared" si="20"/>
        <v>537.1160965652175</v>
      </c>
      <c r="AD25" s="315">
        <f t="shared" si="20"/>
        <v>537.1160965652175</v>
      </c>
      <c r="AE25" s="316">
        <f t="shared" si="20"/>
        <v>564.01031028130444</v>
      </c>
      <c r="AF25" s="317">
        <f t="shared" si="21"/>
        <v>26.894213716086938</v>
      </c>
      <c r="AG25" s="320">
        <f t="shared" si="22"/>
        <v>1.0500715094708046</v>
      </c>
    </row>
    <row r="26" spans="2:33" ht="7.2" customHeight="1" thickBot="1" x14ac:dyDescent="0.5">
      <c r="D26" s="352"/>
      <c r="E26" s="352"/>
      <c r="F26" s="352"/>
      <c r="G26" s="352"/>
      <c r="H26" s="353"/>
      <c r="I26" s="352"/>
      <c r="J26" s="352"/>
      <c r="K26" s="352"/>
      <c r="L26" s="352"/>
      <c r="M26" s="353"/>
      <c r="N26" s="352"/>
      <c r="O26" s="352"/>
      <c r="P26" s="352"/>
      <c r="Q26" s="352"/>
      <c r="R26" s="353"/>
      <c r="S26" s="352"/>
      <c r="T26" s="352"/>
      <c r="U26" s="352"/>
      <c r="V26" s="352"/>
      <c r="W26" s="353"/>
      <c r="X26" s="352"/>
      <c r="Y26" s="352"/>
      <c r="Z26" s="352"/>
      <c r="AA26" s="352"/>
      <c r="AB26" s="353"/>
      <c r="AC26" s="354"/>
      <c r="AD26" s="354"/>
      <c r="AE26" s="354"/>
      <c r="AF26" s="354"/>
      <c r="AG26" s="355"/>
    </row>
    <row r="27" spans="2:33" ht="18.600000000000001" thickBot="1" x14ac:dyDescent="0.5">
      <c r="B27" s="292" t="s">
        <v>437</v>
      </c>
      <c r="D27" s="356" t="s">
        <v>401</v>
      </c>
      <c r="E27" s="357"/>
      <c r="F27" s="358"/>
      <c r="G27" s="357"/>
      <c r="H27" s="359"/>
      <c r="I27" s="360" t="s">
        <v>402</v>
      </c>
      <c r="J27" s="357"/>
      <c r="K27" s="358"/>
      <c r="L27" s="357"/>
      <c r="M27" s="359"/>
      <c r="N27" s="360" t="s">
        <v>403</v>
      </c>
      <c r="O27" s="357"/>
      <c r="P27" s="358"/>
      <c r="Q27" s="357"/>
      <c r="R27" s="361"/>
      <c r="S27" s="362" t="s">
        <v>438</v>
      </c>
      <c r="T27" s="363"/>
      <c r="U27" s="364"/>
      <c r="V27" s="363"/>
      <c r="W27" s="363"/>
      <c r="X27" s="362" t="s">
        <v>405</v>
      </c>
      <c r="Y27" s="363"/>
      <c r="Z27" s="364"/>
      <c r="AA27" s="363"/>
      <c r="AB27" s="365"/>
      <c r="AC27" s="366" t="s">
        <v>406</v>
      </c>
      <c r="AD27" s="366"/>
      <c r="AE27" s="367"/>
      <c r="AF27" s="366"/>
      <c r="AG27" s="368"/>
    </row>
    <row r="28" spans="2:33" x14ac:dyDescent="0.45">
      <c r="B28" s="296" t="s">
        <v>407</v>
      </c>
      <c r="C28" s="296"/>
      <c r="D28" s="369" t="s">
        <v>408</v>
      </c>
      <c r="E28" s="370" t="s">
        <v>409</v>
      </c>
      <c r="F28" s="371" t="s">
        <v>410</v>
      </c>
      <c r="G28" s="372" t="s">
        <v>411</v>
      </c>
      <c r="H28" s="373" t="s">
        <v>412</v>
      </c>
      <c r="I28" s="374" t="s">
        <v>408</v>
      </c>
      <c r="J28" s="370" t="s">
        <v>409</v>
      </c>
      <c r="K28" s="371" t="s">
        <v>410</v>
      </c>
      <c r="L28" s="372" t="s">
        <v>411</v>
      </c>
      <c r="M28" s="373" t="s">
        <v>412</v>
      </c>
      <c r="N28" s="374" t="s">
        <v>408</v>
      </c>
      <c r="O28" s="370" t="s">
        <v>409</v>
      </c>
      <c r="P28" s="371" t="s">
        <v>410</v>
      </c>
      <c r="Q28" s="372" t="s">
        <v>411</v>
      </c>
      <c r="R28" s="375" t="s">
        <v>412</v>
      </c>
      <c r="S28" s="369" t="s">
        <v>408</v>
      </c>
      <c r="T28" s="370" t="s">
        <v>409</v>
      </c>
      <c r="U28" s="371" t="s">
        <v>410</v>
      </c>
      <c r="V28" s="372" t="s">
        <v>411</v>
      </c>
      <c r="W28" s="376" t="s">
        <v>412</v>
      </c>
      <c r="X28" s="369" t="s">
        <v>408</v>
      </c>
      <c r="Y28" s="370" t="s">
        <v>409</v>
      </c>
      <c r="Z28" s="371" t="s">
        <v>410</v>
      </c>
      <c r="AA28" s="372" t="s">
        <v>411</v>
      </c>
      <c r="AB28" s="375" t="s">
        <v>412</v>
      </c>
      <c r="AC28" s="372" t="s">
        <v>408</v>
      </c>
      <c r="AD28" s="370" t="s">
        <v>409</v>
      </c>
      <c r="AE28" s="371" t="s">
        <v>410</v>
      </c>
      <c r="AF28" s="372" t="s">
        <v>411</v>
      </c>
      <c r="AG28" s="373" t="s">
        <v>412</v>
      </c>
    </row>
    <row r="29" spans="2:33" ht="18.600000000000001" thickBot="1" x14ac:dyDescent="0.5">
      <c r="B29" s="296"/>
      <c r="C29" s="296"/>
      <c r="D29" s="377" t="s">
        <v>413</v>
      </c>
      <c r="E29" s="378" t="s">
        <v>414</v>
      </c>
      <c r="F29" s="379" t="s">
        <v>415</v>
      </c>
      <c r="G29" s="380" t="s">
        <v>416</v>
      </c>
      <c r="H29" s="381"/>
      <c r="I29" s="382" t="s">
        <v>413</v>
      </c>
      <c r="J29" s="378" t="s">
        <v>414</v>
      </c>
      <c r="K29" s="379" t="s">
        <v>415</v>
      </c>
      <c r="L29" s="380" t="s">
        <v>416</v>
      </c>
      <c r="M29" s="381"/>
      <c r="N29" s="382" t="s">
        <v>413</v>
      </c>
      <c r="O29" s="378" t="s">
        <v>414</v>
      </c>
      <c r="P29" s="379" t="s">
        <v>415</v>
      </c>
      <c r="Q29" s="380" t="s">
        <v>416</v>
      </c>
      <c r="R29" s="383"/>
      <c r="S29" s="377" t="s">
        <v>413</v>
      </c>
      <c r="T29" s="378" t="s">
        <v>414</v>
      </c>
      <c r="U29" s="379" t="s">
        <v>415</v>
      </c>
      <c r="V29" s="380" t="s">
        <v>416</v>
      </c>
      <c r="W29" s="384"/>
      <c r="X29" s="377" t="s">
        <v>413</v>
      </c>
      <c r="Y29" s="378" t="s">
        <v>414</v>
      </c>
      <c r="Z29" s="379" t="s">
        <v>415</v>
      </c>
      <c r="AA29" s="380" t="s">
        <v>416</v>
      </c>
      <c r="AB29" s="383"/>
      <c r="AC29" s="380" t="s">
        <v>413</v>
      </c>
      <c r="AD29" s="378" t="s">
        <v>414</v>
      </c>
      <c r="AE29" s="379" t="s">
        <v>415</v>
      </c>
      <c r="AF29" s="380" t="s">
        <v>416</v>
      </c>
      <c r="AG29" s="381" t="s">
        <v>417</v>
      </c>
    </row>
    <row r="30" spans="2:33" ht="18.600000000000001" thickBot="1" x14ac:dyDescent="0.5">
      <c r="B30" s="639" t="s">
        <v>418</v>
      </c>
      <c r="C30" s="640"/>
      <c r="D30" s="314">
        <v>2</v>
      </c>
      <c r="E30" s="315">
        <f>D30</f>
        <v>2</v>
      </c>
      <c r="F30" s="316">
        <v>1</v>
      </c>
      <c r="G30" s="317">
        <f>+F30-E30</f>
        <v>-1</v>
      </c>
      <c r="H30" s="318">
        <f>IF(E30=0,"",F30/E30)</f>
        <v>0.5</v>
      </c>
      <c r="I30" s="319">
        <v>3</v>
      </c>
      <c r="J30" s="315">
        <f>I30</f>
        <v>3</v>
      </c>
      <c r="K30" s="316">
        <v>1</v>
      </c>
      <c r="L30" s="317">
        <f>+K30-J30</f>
        <v>-2</v>
      </c>
      <c r="M30" s="318">
        <f>IF(J30=0,"",K30/J30)</f>
        <v>0.33333333333333331</v>
      </c>
      <c r="N30" s="319">
        <f>+I30+D30</f>
        <v>5</v>
      </c>
      <c r="O30" s="315">
        <f>+J30+E30</f>
        <v>5</v>
      </c>
      <c r="P30" s="316">
        <f>+K30+F30</f>
        <v>2</v>
      </c>
      <c r="Q30" s="317">
        <f>+L30+G30</f>
        <v>-3</v>
      </c>
      <c r="R30" s="320">
        <f>IF(O30=0,"",P30/O30)</f>
        <v>0.4</v>
      </c>
      <c r="S30" s="314">
        <v>0</v>
      </c>
      <c r="T30" s="315">
        <f>S30</f>
        <v>0</v>
      </c>
      <c r="U30" s="316">
        <v>3</v>
      </c>
      <c r="V30" s="317">
        <f>+U30-T30</f>
        <v>3</v>
      </c>
      <c r="W30" s="385" t="str">
        <f>IF(T30=0,"",U30/T30)</f>
        <v/>
      </c>
      <c r="X30" s="314">
        <v>1</v>
      </c>
      <c r="Y30" s="315">
        <f>X30</f>
        <v>1</v>
      </c>
      <c r="Z30" s="316">
        <v>3</v>
      </c>
      <c r="AA30" s="317">
        <f>+Z30-Y30</f>
        <v>2</v>
      </c>
      <c r="AB30" s="320">
        <f>IF(Y30=0,"",Z30/Y30)</f>
        <v>3</v>
      </c>
      <c r="AC30" s="317">
        <f>+N30+S30+X30</f>
        <v>6</v>
      </c>
      <c r="AD30" s="315">
        <f>+O30+T30+Y30</f>
        <v>6</v>
      </c>
      <c r="AE30" s="316">
        <f>+P30+U30+Z30</f>
        <v>8</v>
      </c>
      <c r="AF30" s="317">
        <f>AE30-AD30</f>
        <v>2</v>
      </c>
      <c r="AG30" s="320">
        <f>IF(AD30=0,"",AE30/AD30)</f>
        <v>1.3333333333333333</v>
      </c>
    </row>
    <row r="31" spans="2:33" s="329" customFormat="1" ht="17.399999999999999" customHeight="1" x14ac:dyDescent="0.45">
      <c r="B31" s="386"/>
      <c r="C31" s="387"/>
      <c r="D31" s="388" t="s">
        <v>439</v>
      </c>
      <c r="E31" s="324"/>
      <c r="F31" s="389"/>
      <c r="G31" s="324"/>
      <c r="H31" s="326"/>
      <c r="I31" s="390" t="s">
        <v>440</v>
      </c>
      <c r="J31" s="324"/>
      <c r="K31" s="324"/>
      <c r="L31" s="324"/>
      <c r="M31" s="326"/>
      <c r="N31" s="327"/>
      <c r="O31" s="324"/>
      <c r="P31" s="324"/>
      <c r="Q31" s="324"/>
      <c r="R31" s="328"/>
      <c r="S31" s="323"/>
      <c r="T31" s="324"/>
      <c r="U31" s="325" t="s">
        <v>441</v>
      </c>
      <c r="V31" s="324"/>
      <c r="W31" s="391"/>
      <c r="X31" s="323"/>
      <c r="Y31" s="324"/>
      <c r="Z31" s="325" t="s">
        <v>442</v>
      </c>
      <c r="AA31" s="324"/>
      <c r="AB31" s="328"/>
      <c r="AC31" s="347"/>
      <c r="AD31" s="347"/>
      <c r="AE31" s="347"/>
      <c r="AF31" s="347"/>
      <c r="AG31" s="348"/>
    </row>
    <row r="32" spans="2:33" x14ac:dyDescent="0.45">
      <c r="B32" s="636" t="s">
        <v>443</v>
      </c>
      <c r="C32" s="635"/>
      <c r="D32" s="330">
        <v>254.05435876173911</v>
      </c>
      <c r="E32" s="331">
        <f>D32</f>
        <v>254.05435876173911</v>
      </c>
      <c r="F32" s="332">
        <v>50.4</v>
      </c>
      <c r="G32" s="333">
        <f>+F32-E32</f>
        <v>-203.6543587617391</v>
      </c>
      <c r="H32" s="334">
        <f>IF(E32=0,"",F32/E32)</f>
        <v>0.19838274078685203</v>
      </c>
      <c r="I32" s="335">
        <v>202.179</v>
      </c>
      <c r="J32" s="331">
        <f>I32</f>
        <v>202.179</v>
      </c>
      <c r="K32" s="332">
        <v>57.6</v>
      </c>
      <c r="L32" s="333">
        <f t="shared" ref="L32:L37" si="23">+K32-J32</f>
        <v>-144.57900000000001</v>
      </c>
      <c r="M32" s="334">
        <f>IF(J32=0,"",K32/J32)</f>
        <v>0.28489605745403823</v>
      </c>
      <c r="N32" s="335">
        <f t="shared" ref="N32:Q35" si="24">+I32+D32</f>
        <v>456.23335876173911</v>
      </c>
      <c r="O32" s="331">
        <f t="shared" si="24"/>
        <v>456.23335876173911</v>
      </c>
      <c r="P32" s="332">
        <f t="shared" si="24"/>
        <v>108</v>
      </c>
      <c r="Q32" s="333">
        <f t="shared" si="24"/>
        <v>-348.23335876173911</v>
      </c>
      <c r="R32" s="336">
        <f>IF(O32=0,"",P32/O32)</f>
        <v>0.2367209629149484</v>
      </c>
      <c r="S32" s="330">
        <v>0</v>
      </c>
      <c r="T32" s="331">
        <f>S32</f>
        <v>0</v>
      </c>
      <c r="U32" s="392">
        <v>160</v>
      </c>
      <c r="V32" s="333"/>
      <c r="W32" s="393" t="str">
        <f>IF(T32=0,"",U32/T32)</f>
        <v/>
      </c>
      <c r="X32" s="330">
        <v>118.85049279999998</v>
      </c>
      <c r="Y32" s="331">
        <f>X32</f>
        <v>118.85049279999998</v>
      </c>
      <c r="Z32" s="392">
        <f>(E32+Y32)*1.0563</f>
        <v>393.89939470466499</v>
      </c>
      <c r="AA32" s="333"/>
      <c r="AB32" s="336">
        <f>IF(Y32=0,"",Z32/Y32)</f>
        <v>3.3142428392578362</v>
      </c>
      <c r="AC32" s="333">
        <f t="shared" ref="AC32:AE35" si="25">+N32+S32+X32</f>
        <v>575.08385156173904</v>
      </c>
      <c r="AD32" s="331">
        <f t="shared" si="25"/>
        <v>575.08385156173904</v>
      </c>
      <c r="AE32" s="332">
        <f t="shared" si="25"/>
        <v>661.89939470466493</v>
      </c>
      <c r="AF32" s="333">
        <f>AE32-AD32</f>
        <v>86.81554314292589</v>
      </c>
      <c r="AG32" s="334">
        <f>IF(AD32=0,"",AE32/AD32)</f>
        <v>1.1509615387515462</v>
      </c>
    </row>
    <row r="33" spans="2:33" x14ac:dyDescent="0.45">
      <c r="B33" s="636" t="s">
        <v>444</v>
      </c>
      <c r="C33" s="635"/>
      <c r="D33" s="330">
        <v>87.648753772799992</v>
      </c>
      <c r="E33" s="331">
        <f>D33</f>
        <v>87.648753772799992</v>
      </c>
      <c r="F33" s="332">
        <f>(F32+F37)*0.345</f>
        <v>19.457999999999998</v>
      </c>
      <c r="G33" s="333">
        <f>+F33-E33</f>
        <v>-68.190753772799994</v>
      </c>
      <c r="H33" s="334">
        <f>IF(E33=0,"",F33/E33)</f>
        <v>0.22199973373766774</v>
      </c>
      <c r="I33" s="335">
        <v>69.751999999999995</v>
      </c>
      <c r="J33" s="331">
        <f>I33</f>
        <v>69.751999999999995</v>
      </c>
      <c r="K33" s="332">
        <f>(K32+K37)*0.345</f>
        <v>21.942</v>
      </c>
      <c r="L33" s="333">
        <f t="shared" si="23"/>
        <v>-47.809999999999995</v>
      </c>
      <c r="M33" s="334">
        <f>IF(J33=0,"",K33/J33)</f>
        <v>0.3145716251863746</v>
      </c>
      <c r="N33" s="335">
        <f t="shared" si="24"/>
        <v>157.40075377279999</v>
      </c>
      <c r="O33" s="331">
        <f t="shared" si="24"/>
        <v>157.40075377279999</v>
      </c>
      <c r="P33" s="332">
        <f t="shared" si="24"/>
        <v>41.4</v>
      </c>
      <c r="Q33" s="333">
        <f t="shared" si="24"/>
        <v>-116.00075377279998</v>
      </c>
      <c r="R33" s="336">
        <f>IF(O33=0,"",P33/O33)</f>
        <v>0.2630228827223966</v>
      </c>
      <c r="S33" s="330">
        <v>0</v>
      </c>
      <c r="T33" s="331">
        <f>S33</f>
        <v>0</v>
      </c>
      <c r="U33" s="392">
        <f>(U32+U37)*0.345</f>
        <v>62.099999999999994</v>
      </c>
      <c r="V33" s="333"/>
      <c r="W33" s="393" t="str">
        <f>IF(T33=0,"",U33/T33)</f>
        <v/>
      </c>
      <c r="X33" s="330">
        <v>50.11142001599999</v>
      </c>
      <c r="Y33" s="331">
        <f>X33</f>
        <v>50.11142001599999</v>
      </c>
      <c r="Z33" s="392">
        <f>(Z32+Z37)*0.345</f>
        <v>160.7352911731094</v>
      </c>
      <c r="AA33" s="333"/>
      <c r="AB33" s="336">
        <f>IF(Y33=0,"",Z33/Y33)</f>
        <v>3.2075580999658064</v>
      </c>
      <c r="AC33" s="333">
        <f t="shared" si="25"/>
        <v>207.51217378879997</v>
      </c>
      <c r="AD33" s="331">
        <f t="shared" si="25"/>
        <v>207.51217378879997</v>
      </c>
      <c r="AE33" s="332">
        <f t="shared" si="25"/>
        <v>264.23529117310943</v>
      </c>
      <c r="AF33" s="333">
        <f>AE33-AD33</f>
        <v>56.723117384309461</v>
      </c>
      <c r="AG33" s="334">
        <f>IF(AD33=0,"",AE33/AD33)</f>
        <v>1.2733483840906636</v>
      </c>
    </row>
    <row r="34" spans="2:33" x14ac:dyDescent="0.45">
      <c r="B34" s="636" t="s">
        <v>445</v>
      </c>
      <c r="C34" s="635"/>
      <c r="D34" s="394"/>
      <c r="E34" s="395"/>
      <c r="F34" s="332">
        <v>17.712</v>
      </c>
      <c r="G34" s="330">
        <f>+F34-E34</f>
        <v>17.712</v>
      </c>
      <c r="H34" s="334" t="str">
        <f>IF(E34=0,"",F34/E34)</f>
        <v/>
      </c>
      <c r="I34" s="335">
        <v>46.825000000000003</v>
      </c>
      <c r="J34" s="396">
        <f>I34</f>
        <v>46.825000000000003</v>
      </c>
      <c r="K34" s="332">
        <v>10.512</v>
      </c>
      <c r="L34" s="333">
        <f t="shared" si="23"/>
        <v>-36.313000000000002</v>
      </c>
      <c r="M34" s="334">
        <f>IF(J34=0,"",K34/J34)</f>
        <v>0.22449546182594768</v>
      </c>
      <c r="N34" s="335">
        <f t="shared" si="24"/>
        <v>46.825000000000003</v>
      </c>
      <c r="O34" s="331">
        <f t="shared" si="24"/>
        <v>46.825000000000003</v>
      </c>
      <c r="P34" s="332">
        <f t="shared" si="24"/>
        <v>28.224</v>
      </c>
      <c r="Q34" s="333">
        <f t="shared" si="24"/>
        <v>-18.601000000000003</v>
      </c>
      <c r="R34" s="336">
        <f>IF(O34=0,"",P34/O34)</f>
        <v>0.60275493860117457</v>
      </c>
      <c r="S34" s="330"/>
      <c r="T34" s="331"/>
      <c r="U34" s="332"/>
      <c r="V34" s="333"/>
      <c r="W34" s="393" t="str">
        <f>IF(T34=0,"",U34/T34)</f>
        <v/>
      </c>
      <c r="X34" s="330"/>
      <c r="Y34" s="331"/>
      <c r="Z34" s="332"/>
      <c r="AA34" s="333"/>
      <c r="AB34" s="336" t="str">
        <f>IF(Y34=0,"",Z34/Y34)</f>
        <v/>
      </c>
      <c r="AC34" s="333">
        <f t="shared" si="25"/>
        <v>46.825000000000003</v>
      </c>
      <c r="AD34" s="331">
        <f t="shared" si="25"/>
        <v>46.825000000000003</v>
      </c>
      <c r="AE34" s="332">
        <f t="shared" si="25"/>
        <v>28.224</v>
      </c>
      <c r="AF34" s="333">
        <f>AE34-AD34</f>
        <v>-18.601000000000003</v>
      </c>
      <c r="AG34" s="334">
        <f>IF(AD34=0,"",AE34/AD34)</f>
        <v>0.60275493860117457</v>
      </c>
    </row>
    <row r="35" spans="2:33" x14ac:dyDescent="0.45">
      <c r="B35" s="636" t="s">
        <v>446</v>
      </c>
      <c r="C35" s="635"/>
      <c r="D35" s="394"/>
      <c r="E35" s="395"/>
      <c r="F35" s="332">
        <v>10.109</v>
      </c>
      <c r="G35" s="330">
        <f>+F35-E35</f>
        <v>10.109</v>
      </c>
      <c r="H35" s="334" t="str">
        <f>IF(E35=0,"",F35/E35)</f>
        <v/>
      </c>
      <c r="I35" s="335">
        <v>34.643999999999998</v>
      </c>
      <c r="J35" s="331">
        <f>I35</f>
        <v>34.643999999999998</v>
      </c>
      <c r="K35" s="332">
        <v>10.377000000000001</v>
      </c>
      <c r="L35" s="333">
        <f t="shared" si="23"/>
        <v>-24.266999999999996</v>
      </c>
      <c r="M35" s="334">
        <f>IF(J35=0,"",K35/J35)</f>
        <v>0.2995323865604434</v>
      </c>
      <c r="N35" s="335">
        <f t="shared" si="24"/>
        <v>34.643999999999998</v>
      </c>
      <c r="O35" s="331">
        <f t="shared" si="24"/>
        <v>34.643999999999998</v>
      </c>
      <c r="P35" s="332">
        <f t="shared" si="24"/>
        <v>20.486000000000001</v>
      </c>
      <c r="Q35" s="333">
        <f t="shared" si="24"/>
        <v>-14.157999999999996</v>
      </c>
      <c r="R35" s="336">
        <f>IF(O35=0,"",P35/O35)</f>
        <v>0.59132894584920914</v>
      </c>
      <c r="S35" s="330"/>
      <c r="T35" s="331"/>
      <c r="U35" s="332"/>
      <c r="V35" s="333"/>
      <c r="W35" s="393" t="str">
        <f>IF(T35=0,"",U35/T35)</f>
        <v/>
      </c>
      <c r="X35" s="330"/>
      <c r="Y35" s="331"/>
      <c r="Z35" s="332"/>
      <c r="AA35" s="333"/>
      <c r="AB35" s="336" t="str">
        <f>IF(Y35=0,"",Z35/Y35)</f>
        <v/>
      </c>
      <c r="AC35" s="333">
        <f t="shared" si="25"/>
        <v>34.643999999999998</v>
      </c>
      <c r="AD35" s="331">
        <f t="shared" si="25"/>
        <v>34.643999999999998</v>
      </c>
      <c r="AE35" s="332">
        <f t="shared" si="25"/>
        <v>20.486000000000001</v>
      </c>
      <c r="AF35" s="333">
        <f>AE35-AD35</f>
        <v>-14.157999999999998</v>
      </c>
      <c r="AG35" s="334">
        <f>IF(AD35=0,"",AE35/AD35)</f>
        <v>0.59132894584920914</v>
      </c>
    </row>
    <row r="36" spans="2:33" x14ac:dyDescent="0.45">
      <c r="D36" s="397"/>
      <c r="E36" s="398"/>
      <c r="F36" s="398">
        <f>SUM(F32:F35)</f>
        <v>97.679000000000002</v>
      </c>
      <c r="G36" s="398"/>
      <c r="H36" s="399"/>
      <c r="I36" s="398">
        <f>SUM(I32:I35)</f>
        <v>353.4</v>
      </c>
      <c r="J36" s="398">
        <f>SUM(J32:J35)</f>
        <v>353.4</v>
      </c>
      <c r="K36" s="398">
        <f>SUM(K32:K35)</f>
        <v>100.431</v>
      </c>
      <c r="L36" s="398">
        <f t="shared" si="23"/>
        <v>-252.96899999999999</v>
      </c>
      <c r="M36" s="399"/>
      <c r="N36" s="398"/>
      <c r="O36" s="398"/>
      <c r="P36" s="398">
        <f>SUM(P32:P35)</f>
        <v>198.10999999999999</v>
      </c>
      <c r="Q36" s="398"/>
      <c r="R36" s="400"/>
      <c r="S36" s="397"/>
      <c r="T36" s="398"/>
      <c r="U36" s="398">
        <f>SUM(U32:U35)</f>
        <v>222.1</v>
      </c>
      <c r="V36" s="398"/>
      <c r="W36" s="399"/>
      <c r="X36" s="397"/>
      <c r="Y36" s="398"/>
      <c r="Z36" s="398">
        <f>SUM(Z32:Z35)</f>
        <v>554.63468587777436</v>
      </c>
      <c r="AA36" s="398"/>
      <c r="AB36" s="400"/>
      <c r="AC36" s="352"/>
      <c r="AD36" s="352"/>
      <c r="AE36" s="398">
        <f>SUM(AE32:AE35)</f>
        <v>974.8446858777744</v>
      </c>
      <c r="AF36" s="352"/>
      <c r="AG36" s="353"/>
    </row>
    <row r="37" spans="2:33" ht="18.600000000000001" thickBot="1" x14ac:dyDescent="0.5">
      <c r="B37" s="637" t="s">
        <v>447</v>
      </c>
      <c r="C37" s="638"/>
      <c r="D37" s="337">
        <v>17.565217391304348</v>
      </c>
      <c r="E37" s="338">
        <f>D37</f>
        <v>17.565217391304348</v>
      </c>
      <c r="F37" s="339">
        <v>6</v>
      </c>
      <c r="G37" s="340">
        <f>+F37-E37</f>
        <v>-11.565217391304348</v>
      </c>
      <c r="H37" s="341">
        <f>IF(E37=0,"",F37/E37)</f>
        <v>0.34158415841584161</v>
      </c>
      <c r="I37" s="342">
        <v>55</v>
      </c>
      <c r="J37" s="338">
        <f>I37</f>
        <v>55</v>
      </c>
      <c r="K37" s="339">
        <v>6</v>
      </c>
      <c r="L37" s="340">
        <f t="shared" si="23"/>
        <v>-49</v>
      </c>
      <c r="M37" s="341">
        <f>IF(J37=0,"",K37/J37)</f>
        <v>0.10909090909090909</v>
      </c>
      <c r="N37" s="342">
        <f>+I37+D37</f>
        <v>72.565217391304344</v>
      </c>
      <c r="O37" s="338">
        <f>+J37+E37</f>
        <v>72.565217391304344</v>
      </c>
      <c r="P37" s="339">
        <f>+K37+F37</f>
        <v>12</v>
      </c>
      <c r="Q37" s="340">
        <f>+L37+G37</f>
        <v>-60.565217391304344</v>
      </c>
      <c r="R37" s="343">
        <f>IF(O37=0,"",P37/O37)</f>
        <v>0.16536848412222888</v>
      </c>
      <c r="S37" s="342">
        <v>0</v>
      </c>
      <c r="T37" s="338">
        <f>S37</f>
        <v>0</v>
      </c>
      <c r="U37" s="401">
        <v>20</v>
      </c>
      <c r="V37" s="340">
        <f>+U37-T37</f>
        <v>20</v>
      </c>
      <c r="W37" s="402" t="str">
        <f>IF(T37=0,"",U37/T37)</f>
        <v/>
      </c>
      <c r="X37" s="337">
        <v>26.4</v>
      </c>
      <c r="Y37" s="338">
        <f>X37</f>
        <v>26.4</v>
      </c>
      <c r="Z37" s="401">
        <v>72</v>
      </c>
      <c r="AA37" s="340">
        <f>+Z37-Y37</f>
        <v>45.6</v>
      </c>
      <c r="AB37" s="343">
        <f>IF(Y37=0,"",Z37/Y37)</f>
        <v>2.7272727272727275</v>
      </c>
      <c r="AC37" s="340">
        <f t="shared" ref="AC37:AE38" si="26">+N37+S37+X37</f>
        <v>98.96521739130435</v>
      </c>
      <c r="AD37" s="338">
        <f t="shared" si="26"/>
        <v>98.96521739130435</v>
      </c>
      <c r="AE37" s="339">
        <f t="shared" si="26"/>
        <v>104</v>
      </c>
      <c r="AF37" s="340">
        <f>AE37-AD37</f>
        <v>5.0347826086956502</v>
      </c>
      <c r="AG37" s="341">
        <f>IF(AD37=0,"",AE37/AD37)</f>
        <v>1.050874264124418</v>
      </c>
    </row>
    <row r="38" spans="2:33" ht="18.600000000000001" thickBot="1" x14ac:dyDescent="0.5">
      <c r="B38" s="639" t="s">
        <v>448</v>
      </c>
      <c r="C38" s="640"/>
      <c r="D38" s="314">
        <f>SUM(D32:D35,D37)</f>
        <v>359.26832992584349</v>
      </c>
      <c r="E38" s="315">
        <f>SUM(E32:E35,E37)</f>
        <v>359.26832992584349</v>
      </c>
      <c r="F38" s="316">
        <f>SUM(F32:F35,F37)</f>
        <v>103.679</v>
      </c>
      <c r="G38" s="317">
        <f>SUM(G32:G35,G37)</f>
        <v>-255.58932992584346</v>
      </c>
      <c r="H38" s="318">
        <f>IF(E38=0,"",F38/E38)</f>
        <v>0.28858374469411308</v>
      </c>
      <c r="I38" s="319">
        <f>SUM(I32:I35,I37)</f>
        <v>408.4</v>
      </c>
      <c r="J38" s="315">
        <f>SUM(J32:J35,J37)</f>
        <v>408.4</v>
      </c>
      <c r="K38" s="316">
        <f>SUM(K32:K35,K37)</f>
        <v>106.431</v>
      </c>
      <c r="L38" s="317">
        <f>SUM(L32:L35,L37)</f>
        <v>-301.96899999999999</v>
      </c>
      <c r="M38" s="318">
        <f>IF(J38=0,"",K38/J38)</f>
        <v>0.26060479921645446</v>
      </c>
      <c r="N38" s="319">
        <f>SUM(N32:N35,N37)</f>
        <v>767.66832992584352</v>
      </c>
      <c r="O38" s="315">
        <f>SUM(O32:O35,O37)</f>
        <v>767.66832992584352</v>
      </c>
      <c r="P38" s="316">
        <f>SUM(P32:P35,P37)</f>
        <v>210.10999999999999</v>
      </c>
      <c r="Q38" s="317">
        <f>SUM(Q32:Q35,Q37)</f>
        <v>-557.55832992584351</v>
      </c>
      <c r="R38" s="320">
        <f>IF(O38=0,"",P38/O38)</f>
        <v>0.27369892935442125</v>
      </c>
      <c r="S38" s="319">
        <f>SUM(S32:S35,S37)</f>
        <v>0</v>
      </c>
      <c r="T38" s="315">
        <f>SUM(T32:T35,T37)</f>
        <v>0</v>
      </c>
      <c r="U38" s="316">
        <f>SUM(U32:U35,U37)</f>
        <v>242.1</v>
      </c>
      <c r="V38" s="317">
        <f>SUM(V32:V35,V37)</f>
        <v>20</v>
      </c>
      <c r="W38" s="385" t="str">
        <f>IF(T38=0,"",U38/T38)</f>
        <v/>
      </c>
      <c r="X38" s="314">
        <f>SUM(X32:X35,X37)</f>
        <v>195.36191281599997</v>
      </c>
      <c r="Y38" s="315">
        <f>SUM(Y32:Y35,Y37)</f>
        <v>195.36191281599997</v>
      </c>
      <c r="Z38" s="316">
        <f>SUM(Z32:Z35,Z37)</f>
        <v>626.63468587777436</v>
      </c>
      <c r="AA38" s="317">
        <f>SUM(AA32:AA35,AA37)</f>
        <v>45.6</v>
      </c>
      <c r="AB38" s="320">
        <f>IF(Y38=0,"",Z38/Y38)</f>
        <v>3.2075580999658064</v>
      </c>
      <c r="AC38" s="317">
        <f t="shared" si="26"/>
        <v>963.03024274184349</v>
      </c>
      <c r="AD38" s="315">
        <f t="shared" si="26"/>
        <v>963.03024274184349</v>
      </c>
      <c r="AE38" s="316">
        <f t="shared" si="26"/>
        <v>1078.8446858777743</v>
      </c>
      <c r="AF38" s="317">
        <f>AE38-AD38</f>
        <v>115.81444313593079</v>
      </c>
      <c r="AG38" s="320">
        <f>IF(AD38=0,"",AE38/AD38)</f>
        <v>1.1202604425030263</v>
      </c>
    </row>
    <row r="39" spans="2:33" x14ac:dyDescent="0.45">
      <c r="B39" s="403"/>
      <c r="C39" s="404"/>
      <c r="D39" s="346"/>
      <c r="E39" s="347"/>
      <c r="F39" s="347"/>
      <c r="G39" s="347"/>
      <c r="H39" s="348"/>
      <c r="I39" s="349"/>
      <c r="J39" s="347"/>
      <c r="K39" s="347"/>
      <c r="L39" s="347"/>
      <c r="M39" s="348"/>
      <c r="N39" s="349"/>
      <c r="O39" s="347"/>
      <c r="P39" s="347"/>
      <c r="Q39" s="347"/>
      <c r="R39" s="350"/>
      <c r="S39" s="346"/>
      <c r="T39" s="347"/>
      <c r="U39" s="347"/>
      <c r="V39" s="347"/>
      <c r="W39" s="405"/>
      <c r="X39" s="346"/>
      <c r="Y39" s="347"/>
      <c r="Z39" s="347"/>
      <c r="AA39" s="347"/>
      <c r="AB39" s="350"/>
      <c r="AC39" s="347"/>
      <c r="AD39" s="347"/>
      <c r="AE39" s="347"/>
      <c r="AF39" s="347"/>
      <c r="AG39" s="348"/>
    </row>
    <row r="40" spans="2:33" x14ac:dyDescent="0.45">
      <c r="B40" s="636" t="s">
        <v>424</v>
      </c>
      <c r="C40" s="635"/>
      <c r="D40" s="330">
        <v>10</v>
      </c>
      <c r="E40" s="331">
        <f>D40</f>
        <v>10</v>
      </c>
      <c r="F40" s="332">
        <v>0</v>
      </c>
      <c r="G40" s="333">
        <f>+F40-E40</f>
        <v>-10</v>
      </c>
      <c r="H40" s="334">
        <f>IF(E40=0,"",F40/E40)</f>
        <v>0</v>
      </c>
      <c r="I40" s="335">
        <v>0</v>
      </c>
      <c r="J40" s="331">
        <f>I40</f>
        <v>0</v>
      </c>
      <c r="K40" s="332">
        <f>J40</f>
        <v>0</v>
      </c>
      <c r="L40" s="333">
        <f>+K40-J40</f>
        <v>0</v>
      </c>
      <c r="M40" s="334" t="str">
        <f>IF(J40=0,"",K40/J40)</f>
        <v/>
      </c>
      <c r="N40" s="335">
        <f t="shared" ref="N40:Q43" si="27">+I40+D40</f>
        <v>10</v>
      </c>
      <c r="O40" s="331">
        <f t="shared" si="27"/>
        <v>10</v>
      </c>
      <c r="P40" s="332">
        <f t="shared" si="27"/>
        <v>0</v>
      </c>
      <c r="Q40" s="333">
        <f t="shared" si="27"/>
        <v>-10</v>
      </c>
      <c r="R40" s="336">
        <f>IF(O40=0,"",P40/O40)</f>
        <v>0</v>
      </c>
      <c r="S40" s="335">
        <v>0</v>
      </c>
      <c r="T40" s="331">
        <f>S40</f>
        <v>0</v>
      </c>
      <c r="U40" s="332">
        <f>T40*2</f>
        <v>0</v>
      </c>
      <c r="V40" s="333">
        <f>+U40-T40</f>
        <v>0</v>
      </c>
      <c r="W40" s="393" t="str">
        <f>IF(T40=0,"",U40/T40)</f>
        <v/>
      </c>
      <c r="X40" s="330">
        <v>3.456</v>
      </c>
      <c r="Y40" s="331">
        <f>X40</f>
        <v>3.456</v>
      </c>
      <c r="Z40" s="332">
        <v>6</v>
      </c>
      <c r="AA40" s="333">
        <f>+Z40-Y40</f>
        <v>2.544</v>
      </c>
      <c r="AB40" s="336">
        <f>IF(Y40=0,"",Z40/Y40)</f>
        <v>1.7361111111111112</v>
      </c>
      <c r="AC40" s="333">
        <f t="shared" ref="AC40:AE43" si="28">+N40+S40+X40</f>
        <v>13.456</v>
      </c>
      <c r="AD40" s="331">
        <f t="shared" si="28"/>
        <v>13.456</v>
      </c>
      <c r="AE40" s="392">
        <f t="shared" si="28"/>
        <v>6</v>
      </c>
      <c r="AF40" s="333">
        <f>AE40-AD40</f>
        <v>-7.4559999999999995</v>
      </c>
      <c r="AG40" s="334">
        <f>IF(AD40=0,"",AE40/AD40)</f>
        <v>0.44589774078478006</v>
      </c>
    </row>
    <row r="41" spans="2:33" x14ac:dyDescent="0.45">
      <c r="B41" s="636" t="s">
        <v>425</v>
      </c>
      <c r="C41" s="635"/>
      <c r="D41" s="330">
        <v>12</v>
      </c>
      <c r="E41" s="331">
        <f>D41</f>
        <v>12</v>
      </c>
      <c r="F41" s="332">
        <v>3</v>
      </c>
      <c r="G41" s="333">
        <f>+F41-E41</f>
        <v>-9</v>
      </c>
      <c r="H41" s="334">
        <f>IF(E41=0,"",F41/E41)</f>
        <v>0.25</v>
      </c>
      <c r="I41" s="335">
        <v>5</v>
      </c>
      <c r="J41" s="331">
        <f>I41</f>
        <v>5</v>
      </c>
      <c r="K41" s="332">
        <v>3</v>
      </c>
      <c r="L41" s="333">
        <f>+K41-J41</f>
        <v>-2</v>
      </c>
      <c r="M41" s="334">
        <f>IF(J41=0,"",K41/J41)</f>
        <v>0.6</v>
      </c>
      <c r="N41" s="335">
        <f t="shared" si="27"/>
        <v>17</v>
      </c>
      <c r="O41" s="331">
        <f t="shared" si="27"/>
        <v>17</v>
      </c>
      <c r="P41" s="332">
        <f t="shared" si="27"/>
        <v>6</v>
      </c>
      <c r="Q41" s="333">
        <f t="shared" si="27"/>
        <v>-11</v>
      </c>
      <c r="R41" s="336">
        <f>IF(O41=0,"",P41/O41)</f>
        <v>0.35294117647058826</v>
      </c>
      <c r="S41" s="335">
        <v>0</v>
      </c>
      <c r="T41" s="331">
        <f>S41</f>
        <v>0</v>
      </c>
      <c r="U41" s="332">
        <v>9</v>
      </c>
      <c r="V41" s="333">
        <f>+U41-T41</f>
        <v>9</v>
      </c>
      <c r="W41" s="393" t="str">
        <f>IF(T41=0,"",U41/T41)</f>
        <v/>
      </c>
      <c r="X41" s="330">
        <v>8.2940000000000005</v>
      </c>
      <c r="Y41" s="331">
        <f>X41</f>
        <v>8.2940000000000005</v>
      </c>
      <c r="Z41" s="332">
        <f>Y41*2</f>
        <v>16.588000000000001</v>
      </c>
      <c r="AA41" s="333">
        <f>+Z41-Y41</f>
        <v>8.2940000000000005</v>
      </c>
      <c r="AB41" s="336">
        <f>IF(Y41=0,"",Z41/Y41)</f>
        <v>2</v>
      </c>
      <c r="AC41" s="333">
        <f t="shared" si="28"/>
        <v>25.294</v>
      </c>
      <c r="AD41" s="331">
        <f t="shared" si="28"/>
        <v>25.294</v>
      </c>
      <c r="AE41" s="392">
        <f t="shared" si="28"/>
        <v>31.588000000000001</v>
      </c>
      <c r="AF41" s="333">
        <f>AE41-AD41</f>
        <v>6.2940000000000005</v>
      </c>
      <c r="AG41" s="334">
        <f>IF(AD41=0,"",AE41/AD41)</f>
        <v>1.2488337155056535</v>
      </c>
    </row>
    <row r="42" spans="2:33" ht="18.600000000000001" thickBot="1" x14ac:dyDescent="0.5">
      <c r="B42" s="636" t="s">
        <v>426</v>
      </c>
      <c r="C42" s="635"/>
      <c r="D42" s="330">
        <v>1.3043478260869565</v>
      </c>
      <c r="E42" s="331">
        <f>D42</f>
        <v>1.3043478260869565</v>
      </c>
      <c r="F42" s="332">
        <v>0</v>
      </c>
      <c r="G42" s="333">
        <f>+F42-E42</f>
        <v>-1.3043478260869565</v>
      </c>
      <c r="H42" s="334">
        <f>IF(E42=0,"",F42/E42)</f>
        <v>0</v>
      </c>
      <c r="I42" s="335">
        <v>0.43478260869565216</v>
      </c>
      <c r="J42" s="331">
        <f>I42</f>
        <v>0.43478260869565216</v>
      </c>
      <c r="K42" s="332">
        <f>J42</f>
        <v>0.43478260869565216</v>
      </c>
      <c r="L42" s="333">
        <f>+K42-J42</f>
        <v>0</v>
      </c>
      <c r="M42" s="334">
        <f>IF(J42=0,"",K42/J42)</f>
        <v>1</v>
      </c>
      <c r="N42" s="335">
        <f t="shared" si="27"/>
        <v>1.7391304347826086</v>
      </c>
      <c r="O42" s="331">
        <f t="shared" si="27"/>
        <v>1.7391304347826086</v>
      </c>
      <c r="P42" s="332">
        <f t="shared" si="27"/>
        <v>0.43478260869565216</v>
      </c>
      <c r="Q42" s="333">
        <f t="shared" si="27"/>
        <v>-1.3043478260869565</v>
      </c>
      <c r="R42" s="336">
        <f>IF(O42=0,"",P42/O42)</f>
        <v>0.25</v>
      </c>
      <c r="S42" s="335">
        <v>0</v>
      </c>
      <c r="T42" s="331">
        <f>S42</f>
        <v>0</v>
      </c>
      <c r="U42" s="332">
        <f>T42*2</f>
        <v>0</v>
      </c>
      <c r="V42" s="333">
        <f>+U42-T42</f>
        <v>0</v>
      </c>
      <c r="W42" s="393" t="str">
        <f>IF(T42=0,"",U42/T42)</f>
        <v/>
      </c>
      <c r="X42" s="330">
        <v>3.11</v>
      </c>
      <c r="Y42" s="331">
        <f>X42</f>
        <v>3.11</v>
      </c>
      <c r="Z42" s="332">
        <v>6</v>
      </c>
      <c r="AA42" s="333">
        <f>+Z42-Y42</f>
        <v>2.89</v>
      </c>
      <c r="AB42" s="336">
        <f>IF(Y42=0,"",Z42/Y42)</f>
        <v>1.9292604501607717</v>
      </c>
      <c r="AC42" s="333">
        <f t="shared" si="28"/>
        <v>4.8491304347826087</v>
      </c>
      <c r="AD42" s="331">
        <f t="shared" si="28"/>
        <v>4.8491304347826087</v>
      </c>
      <c r="AE42" s="392">
        <f t="shared" si="28"/>
        <v>6.4347826086956523</v>
      </c>
      <c r="AF42" s="333">
        <f>AE42-AD42</f>
        <v>1.5856521739130436</v>
      </c>
      <c r="AG42" s="334">
        <f>IF(AD42=0,"",AE42/AD42)</f>
        <v>1.326997220478795</v>
      </c>
    </row>
    <row r="43" spans="2:33" ht="18.600000000000001" thickBot="1" x14ac:dyDescent="0.5">
      <c r="B43" s="639" t="s">
        <v>427</v>
      </c>
      <c r="C43" s="640"/>
      <c r="D43" s="314">
        <f>SUM(D40:D42)</f>
        <v>23.304347826086957</v>
      </c>
      <c r="E43" s="315">
        <f>SUM(E40:E42)</f>
        <v>23.304347826086957</v>
      </c>
      <c r="F43" s="316">
        <f>SUM(F40:F42)</f>
        <v>3</v>
      </c>
      <c r="G43" s="317">
        <f>+F43-E43</f>
        <v>-20.304347826086957</v>
      </c>
      <c r="H43" s="318">
        <f>IF(E43=0,"",F43/E43)</f>
        <v>0.1287313432835821</v>
      </c>
      <c r="I43" s="319">
        <f>SUM(I40:I42)</f>
        <v>5.4347826086956523</v>
      </c>
      <c r="J43" s="315">
        <f>SUM(J40:J42)</f>
        <v>5.4347826086956523</v>
      </c>
      <c r="K43" s="316">
        <f>SUM(K40:K42)</f>
        <v>3.4347826086956523</v>
      </c>
      <c r="L43" s="317">
        <f>+K43-J43</f>
        <v>-2</v>
      </c>
      <c r="M43" s="318">
        <f>IF(J43=0,"",K43/J43)</f>
        <v>0.63200000000000001</v>
      </c>
      <c r="N43" s="319">
        <f t="shared" si="27"/>
        <v>28.739130434782609</v>
      </c>
      <c r="O43" s="315">
        <f t="shared" si="27"/>
        <v>28.739130434782609</v>
      </c>
      <c r="P43" s="316">
        <f t="shared" si="27"/>
        <v>6.4347826086956523</v>
      </c>
      <c r="Q43" s="317">
        <f t="shared" si="27"/>
        <v>-22.304347826086957</v>
      </c>
      <c r="R43" s="320">
        <f>IF(O43=0,"",P43/O43)</f>
        <v>0.22390317700453857</v>
      </c>
      <c r="S43" s="319">
        <f>SUM(S40:S42)</f>
        <v>0</v>
      </c>
      <c r="T43" s="315">
        <f>SUM(T40:T42)</f>
        <v>0</v>
      </c>
      <c r="U43" s="316">
        <f>SUM(U40:U42)</f>
        <v>9</v>
      </c>
      <c r="V43" s="317">
        <f>+U43-T43</f>
        <v>9</v>
      </c>
      <c r="W43" s="385" t="str">
        <f>IF(T43=0,"",U43/T43)</f>
        <v/>
      </c>
      <c r="X43" s="314">
        <f>SUM(X40:X42)</f>
        <v>14.86</v>
      </c>
      <c r="Y43" s="315">
        <f>SUM(Y40:Y42)</f>
        <v>14.86</v>
      </c>
      <c r="Z43" s="316">
        <f>SUM(Z40:Z42)</f>
        <v>28.588000000000001</v>
      </c>
      <c r="AA43" s="317">
        <f>+Z43-Y43</f>
        <v>13.728000000000002</v>
      </c>
      <c r="AB43" s="320">
        <f>IF(Y43=0,"",Z43/Y43)</f>
        <v>1.9238223418573352</v>
      </c>
      <c r="AC43" s="317">
        <f t="shared" si="28"/>
        <v>43.599130434782609</v>
      </c>
      <c r="AD43" s="315">
        <f t="shared" si="28"/>
        <v>43.599130434782609</v>
      </c>
      <c r="AE43" s="316">
        <f t="shared" si="28"/>
        <v>44.02278260869565</v>
      </c>
      <c r="AF43" s="317">
        <f>AE43-AD43</f>
        <v>0.423652173913041</v>
      </c>
      <c r="AG43" s="320">
        <f>IF(AD43=0,"",AE43/AD43)</f>
        <v>1.0097169867767606</v>
      </c>
    </row>
    <row r="44" spans="2:33" x14ac:dyDescent="0.45">
      <c r="B44" s="344"/>
      <c r="C44" s="345"/>
      <c r="D44" s="346"/>
      <c r="E44" s="347"/>
      <c r="F44" s="347"/>
      <c r="G44" s="347"/>
      <c r="H44" s="348"/>
      <c r="I44" s="349"/>
      <c r="J44" s="347"/>
      <c r="K44" s="347"/>
      <c r="L44" s="347"/>
      <c r="M44" s="348"/>
      <c r="N44" s="349"/>
      <c r="O44" s="347"/>
      <c r="P44" s="347"/>
      <c r="Q44" s="347"/>
      <c r="R44" s="350"/>
      <c r="S44" s="346"/>
      <c r="T44" s="347"/>
      <c r="U44" s="347"/>
      <c r="V44" s="347"/>
      <c r="W44" s="405"/>
      <c r="X44" s="346"/>
      <c r="Y44" s="347"/>
      <c r="Z44" s="347"/>
      <c r="AA44" s="347"/>
      <c r="AB44" s="350"/>
      <c r="AC44" s="347"/>
      <c r="AD44" s="347"/>
      <c r="AE44" s="347"/>
      <c r="AF44" s="347"/>
      <c r="AG44" s="348"/>
    </row>
    <row r="45" spans="2:33" x14ac:dyDescent="0.45">
      <c r="B45" s="636" t="s">
        <v>428</v>
      </c>
      <c r="C45" s="635"/>
      <c r="D45" s="330">
        <v>1.3913043478260869</v>
      </c>
      <c r="E45" s="331">
        <f>D45</f>
        <v>1.3913043478260869</v>
      </c>
      <c r="F45" s="332">
        <f>E45</f>
        <v>1.3913043478260869</v>
      </c>
      <c r="G45" s="333">
        <f t="shared" ref="G45:G53" si="29">+F45-E45</f>
        <v>0</v>
      </c>
      <c r="H45" s="334">
        <f t="shared" ref="H45:H54" si="30">IF(E45=0,"",F45/E45)</f>
        <v>1</v>
      </c>
      <c r="I45" s="335">
        <v>2.5217391304347827</v>
      </c>
      <c r="J45" s="331">
        <f t="shared" ref="J45:J52" si="31">I45</f>
        <v>2.5217391304347827</v>
      </c>
      <c r="K45" s="332">
        <v>1</v>
      </c>
      <c r="L45" s="333">
        <f t="shared" ref="L45:L53" si="32">+K45-J45</f>
        <v>-1.5217391304347827</v>
      </c>
      <c r="M45" s="334">
        <f t="shared" ref="M45:M54" si="33">IF(J45=0,"",K45/J45)</f>
        <v>0.39655172413793099</v>
      </c>
      <c r="N45" s="335">
        <f t="shared" ref="N45:Q53" si="34">+I45+D45</f>
        <v>3.9130434782608696</v>
      </c>
      <c r="O45" s="331">
        <f t="shared" si="34"/>
        <v>3.9130434782608696</v>
      </c>
      <c r="P45" s="332">
        <f t="shared" si="34"/>
        <v>2.3913043478260869</v>
      </c>
      <c r="Q45" s="333">
        <f t="shared" si="34"/>
        <v>-1.5217391304347827</v>
      </c>
      <c r="R45" s="336">
        <f t="shared" ref="R45:R54" si="35">IF(O45=0,"",P45/O45)</f>
        <v>0.61111111111111105</v>
      </c>
      <c r="S45" s="330">
        <v>0</v>
      </c>
      <c r="T45" s="331">
        <f t="shared" ref="T45:T52" si="36">S45</f>
        <v>0</v>
      </c>
      <c r="U45" s="332">
        <v>3</v>
      </c>
      <c r="V45" s="333">
        <f t="shared" ref="V45:V54" si="37">+U45-T45</f>
        <v>3</v>
      </c>
      <c r="W45" s="393" t="str">
        <f t="shared" ref="W45:W54" si="38">IF(T45=0,"",U45/T45)</f>
        <v/>
      </c>
      <c r="X45" s="330">
        <v>3.21</v>
      </c>
      <c r="Y45" s="331">
        <f t="shared" ref="Y45:Y52" si="39">X45</f>
        <v>3.21</v>
      </c>
      <c r="Z45" s="332">
        <v>3</v>
      </c>
      <c r="AA45" s="333">
        <f t="shared" ref="AA45:AA54" si="40">+Z45-Y45</f>
        <v>-0.20999999999999996</v>
      </c>
      <c r="AB45" s="336">
        <f t="shared" ref="AB45:AB54" si="41">IF(Y45=0,"",Z45/Y45)</f>
        <v>0.93457943925233644</v>
      </c>
      <c r="AC45" s="333">
        <f t="shared" ref="AC45:AE54" si="42">+N45+S45+X45</f>
        <v>7.12304347826087</v>
      </c>
      <c r="AD45" s="331">
        <f t="shared" si="42"/>
        <v>7.12304347826087</v>
      </c>
      <c r="AE45" s="332">
        <f t="shared" si="42"/>
        <v>8.391304347826086</v>
      </c>
      <c r="AF45" s="333">
        <f t="shared" ref="AF45:AF54" si="43">AE45-AD45</f>
        <v>1.268260869565216</v>
      </c>
      <c r="AG45" s="334">
        <f t="shared" ref="AG45:AG54" si="44">IF(AD45=0,"",AE45/AD45)</f>
        <v>1.1780504181163398</v>
      </c>
    </row>
    <row r="46" spans="2:33" x14ac:dyDescent="0.45">
      <c r="B46" s="636" t="s">
        <v>429</v>
      </c>
      <c r="C46" s="635"/>
      <c r="D46" s="330">
        <v>2</v>
      </c>
      <c r="E46" s="396">
        <f t="shared" ref="E46:E52" si="45">D46</f>
        <v>2</v>
      </c>
      <c r="F46" s="332">
        <v>2</v>
      </c>
      <c r="G46" s="333">
        <f t="shared" si="29"/>
        <v>0</v>
      </c>
      <c r="H46" s="334">
        <f t="shared" si="30"/>
        <v>1</v>
      </c>
      <c r="I46" s="335">
        <v>6</v>
      </c>
      <c r="J46" s="331">
        <f t="shared" si="31"/>
        <v>6</v>
      </c>
      <c r="K46" s="332">
        <f>J46</f>
        <v>6</v>
      </c>
      <c r="L46" s="333">
        <f t="shared" si="32"/>
        <v>0</v>
      </c>
      <c r="M46" s="334">
        <f t="shared" si="33"/>
        <v>1</v>
      </c>
      <c r="N46" s="335">
        <f t="shared" si="34"/>
        <v>8</v>
      </c>
      <c r="O46" s="331">
        <f t="shared" si="34"/>
        <v>8</v>
      </c>
      <c r="P46" s="332">
        <f t="shared" si="34"/>
        <v>8</v>
      </c>
      <c r="Q46" s="333">
        <f t="shared" si="34"/>
        <v>0</v>
      </c>
      <c r="R46" s="336">
        <f t="shared" si="35"/>
        <v>1</v>
      </c>
      <c r="S46" s="330">
        <v>0</v>
      </c>
      <c r="T46" s="331">
        <f t="shared" si="36"/>
        <v>0</v>
      </c>
      <c r="U46" s="332"/>
      <c r="V46" s="333">
        <f t="shared" si="37"/>
        <v>0</v>
      </c>
      <c r="W46" s="393" t="str">
        <f t="shared" si="38"/>
        <v/>
      </c>
      <c r="X46" s="330"/>
      <c r="Y46" s="331">
        <f t="shared" si="39"/>
        <v>0</v>
      </c>
      <c r="Z46" s="332"/>
      <c r="AA46" s="333">
        <f t="shared" si="40"/>
        <v>0</v>
      </c>
      <c r="AB46" s="336" t="str">
        <f t="shared" si="41"/>
        <v/>
      </c>
      <c r="AC46" s="333">
        <f t="shared" si="42"/>
        <v>8</v>
      </c>
      <c r="AD46" s="331">
        <f t="shared" si="42"/>
        <v>8</v>
      </c>
      <c r="AE46" s="332">
        <f t="shared" si="42"/>
        <v>8</v>
      </c>
      <c r="AF46" s="333">
        <f t="shared" si="43"/>
        <v>0</v>
      </c>
      <c r="AG46" s="334">
        <f t="shared" si="44"/>
        <v>1</v>
      </c>
    </row>
    <row r="47" spans="2:33" x14ac:dyDescent="0.45">
      <c r="B47" s="636" t="s">
        <v>430</v>
      </c>
      <c r="C47" s="635"/>
      <c r="D47" s="330">
        <v>0</v>
      </c>
      <c r="E47" s="331">
        <f t="shared" si="45"/>
        <v>0</v>
      </c>
      <c r="F47" s="332">
        <f>E47</f>
        <v>0</v>
      </c>
      <c r="G47" s="333">
        <f t="shared" si="29"/>
        <v>0</v>
      </c>
      <c r="H47" s="334" t="str">
        <f t="shared" si="30"/>
        <v/>
      </c>
      <c r="I47" s="335">
        <v>0</v>
      </c>
      <c r="J47" s="331">
        <f t="shared" si="31"/>
        <v>0</v>
      </c>
      <c r="K47" s="332">
        <f>J47</f>
        <v>0</v>
      </c>
      <c r="L47" s="333">
        <f t="shared" si="32"/>
        <v>0</v>
      </c>
      <c r="M47" s="334" t="str">
        <f t="shared" si="33"/>
        <v/>
      </c>
      <c r="N47" s="335">
        <f t="shared" si="34"/>
        <v>0</v>
      </c>
      <c r="O47" s="331">
        <f t="shared" si="34"/>
        <v>0</v>
      </c>
      <c r="P47" s="332">
        <f t="shared" si="34"/>
        <v>0</v>
      </c>
      <c r="Q47" s="333">
        <f t="shared" si="34"/>
        <v>0</v>
      </c>
      <c r="R47" s="336" t="str">
        <f t="shared" si="35"/>
        <v/>
      </c>
      <c r="S47" s="330">
        <v>0</v>
      </c>
      <c r="T47" s="331">
        <f t="shared" si="36"/>
        <v>0</v>
      </c>
      <c r="U47" s="332"/>
      <c r="V47" s="333">
        <f t="shared" si="37"/>
        <v>0</v>
      </c>
      <c r="W47" s="393" t="str">
        <f t="shared" si="38"/>
        <v/>
      </c>
      <c r="X47" s="330"/>
      <c r="Y47" s="331">
        <f t="shared" si="39"/>
        <v>0</v>
      </c>
      <c r="Z47" s="332"/>
      <c r="AA47" s="333">
        <f t="shared" si="40"/>
        <v>0</v>
      </c>
      <c r="AB47" s="336" t="str">
        <f t="shared" si="41"/>
        <v/>
      </c>
      <c r="AC47" s="333">
        <f t="shared" si="42"/>
        <v>0</v>
      </c>
      <c r="AD47" s="331">
        <f t="shared" si="42"/>
        <v>0</v>
      </c>
      <c r="AE47" s="332">
        <f t="shared" si="42"/>
        <v>0</v>
      </c>
      <c r="AF47" s="333">
        <f t="shared" si="43"/>
        <v>0</v>
      </c>
      <c r="AG47" s="334" t="str">
        <f t="shared" si="44"/>
        <v/>
      </c>
    </row>
    <row r="48" spans="2:33" x14ac:dyDescent="0.45">
      <c r="B48" s="636" t="s">
        <v>449</v>
      </c>
      <c r="C48" s="635"/>
      <c r="D48" s="330">
        <v>0</v>
      </c>
      <c r="E48" s="331">
        <f t="shared" si="45"/>
        <v>0</v>
      </c>
      <c r="F48" s="332">
        <f>E48</f>
        <v>0</v>
      </c>
      <c r="G48" s="333">
        <f t="shared" si="29"/>
        <v>0</v>
      </c>
      <c r="H48" s="334" t="str">
        <f t="shared" si="30"/>
        <v/>
      </c>
      <c r="I48" s="335">
        <v>0</v>
      </c>
      <c r="J48" s="331">
        <f t="shared" si="31"/>
        <v>0</v>
      </c>
      <c r="K48" s="332">
        <f>J48</f>
        <v>0</v>
      </c>
      <c r="L48" s="333">
        <f t="shared" si="32"/>
        <v>0</v>
      </c>
      <c r="M48" s="334" t="str">
        <f t="shared" si="33"/>
        <v/>
      </c>
      <c r="N48" s="335">
        <f t="shared" si="34"/>
        <v>0</v>
      </c>
      <c r="O48" s="331">
        <f t="shared" si="34"/>
        <v>0</v>
      </c>
      <c r="P48" s="332">
        <f t="shared" si="34"/>
        <v>0</v>
      </c>
      <c r="Q48" s="333">
        <f t="shared" si="34"/>
        <v>0</v>
      </c>
      <c r="R48" s="336" t="str">
        <f t="shared" si="35"/>
        <v/>
      </c>
      <c r="S48" s="330">
        <v>0</v>
      </c>
      <c r="T48" s="331">
        <f t="shared" si="36"/>
        <v>0</v>
      </c>
      <c r="U48" s="332">
        <f>T48*2</f>
        <v>0</v>
      </c>
      <c r="V48" s="333">
        <f t="shared" si="37"/>
        <v>0</v>
      </c>
      <c r="W48" s="393" t="str">
        <f t="shared" si="38"/>
        <v/>
      </c>
      <c r="X48" s="330">
        <v>10.366</v>
      </c>
      <c r="Y48" s="331">
        <f t="shared" si="39"/>
        <v>10.366</v>
      </c>
      <c r="Z48" s="332">
        <v>10</v>
      </c>
      <c r="AA48" s="333">
        <f t="shared" si="40"/>
        <v>-0.36599999999999966</v>
      </c>
      <c r="AB48" s="336">
        <f t="shared" si="41"/>
        <v>0.96469226316804946</v>
      </c>
      <c r="AC48" s="333">
        <f t="shared" si="42"/>
        <v>10.366</v>
      </c>
      <c r="AD48" s="331">
        <f t="shared" si="42"/>
        <v>10.366</v>
      </c>
      <c r="AE48" s="332">
        <f t="shared" si="42"/>
        <v>10</v>
      </c>
      <c r="AF48" s="333">
        <f t="shared" si="43"/>
        <v>-0.36599999999999966</v>
      </c>
      <c r="AG48" s="334">
        <f t="shared" si="44"/>
        <v>0.96469226316804946</v>
      </c>
    </row>
    <row r="49" spans="2:34" x14ac:dyDescent="0.45">
      <c r="B49" s="636" t="s">
        <v>432</v>
      </c>
      <c r="C49" s="635"/>
      <c r="D49" s="330">
        <v>0</v>
      </c>
      <c r="E49" s="331">
        <f t="shared" si="45"/>
        <v>0</v>
      </c>
      <c r="F49" s="332">
        <f>E49</f>
        <v>0</v>
      </c>
      <c r="G49" s="333">
        <f t="shared" si="29"/>
        <v>0</v>
      </c>
      <c r="H49" s="334" t="str">
        <f t="shared" si="30"/>
        <v/>
      </c>
      <c r="I49" s="335">
        <v>0</v>
      </c>
      <c r="J49" s="331">
        <f t="shared" si="31"/>
        <v>0</v>
      </c>
      <c r="K49" s="332">
        <f>J49</f>
        <v>0</v>
      </c>
      <c r="L49" s="333">
        <f t="shared" si="32"/>
        <v>0</v>
      </c>
      <c r="M49" s="334" t="str">
        <f t="shared" si="33"/>
        <v/>
      </c>
      <c r="N49" s="335">
        <f t="shared" si="34"/>
        <v>0</v>
      </c>
      <c r="O49" s="331">
        <f t="shared" si="34"/>
        <v>0</v>
      </c>
      <c r="P49" s="332">
        <f t="shared" si="34"/>
        <v>0</v>
      </c>
      <c r="Q49" s="333">
        <f t="shared" si="34"/>
        <v>0</v>
      </c>
      <c r="R49" s="336" t="str">
        <f t="shared" si="35"/>
        <v/>
      </c>
      <c r="S49" s="330">
        <v>0</v>
      </c>
      <c r="T49" s="331">
        <f t="shared" si="36"/>
        <v>0</v>
      </c>
      <c r="U49" s="332"/>
      <c r="V49" s="333">
        <f t="shared" si="37"/>
        <v>0</v>
      </c>
      <c r="W49" s="393" t="str">
        <f t="shared" si="38"/>
        <v/>
      </c>
      <c r="X49" s="330"/>
      <c r="Y49" s="331">
        <f t="shared" si="39"/>
        <v>0</v>
      </c>
      <c r="Z49" s="332"/>
      <c r="AA49" s="333">
        <f t="shared" si="40"/>
        <v>0</v>
      </c>
      <c r="AB49" s="336" t="str">
        <f t="shared" si="41"/>
        <v/>
      </c>
      <c r="AC49" s="333">
        <f t="shared" si="42"/>
        <v>0</v>
      </c>
      <c r="AD49" s="331">
        <f t="shared" si="42"/>
        <v>0</v>
      </c>
      <c r="AE49" s="332">
        <f t="shared" si="42"/>
        <v>0</v>
      </c>
      <c r="AF49" s="333">
        <f t="shared" si="43"/>
        <v>0</v>
      </c>
      <c r="AG49" s="334" t="str">
        <f t="shared" si="44"/>
        <v/>
      </c>
    </row>
    <row r="50" spans="2:34" x14ac:dyDescent="0.45">
      <c r="B50" s="636" t="s">
        <v>433</v>
      </c>
      <c r="C50" s="635"/>
      <c r="D50" s="330">
        <v>0</v>
      </c>
      <c r="E50" s="331">
        <f t="shared" si="45"/>
        <v>0</v>
      </c>
      <c r="F50" s="332">
        <f>E50</f>
        <v>0</v>
      </c>
      <c r="G50" s="333">
        <f t="shared" si="29"/>
        <v>0</v>
      </c>
      <c r="H50" s="334" t="str">
        <f t="shared" si="30"/>
        <v/>
      </c>
      <c r="I50" s="335">
        <v>0</v>
      </c>
      <c r="J50" s="331">
        <f t="shared" si="31"/>
        <v>0</v>
      </c>
      <c r="K50" s="332">
        <f>J50</f>
        <v>0</v>
      </c>
      <c r="L50" s="333">
        <f t="shared" si="32"/>
        <v>0</v>
      </c>
      <c r="M50" s="334" t="str">
        <f t="shared" si="33"/>
        <v/>
      </c>
      <c r="N50" s="335">
        <f t="shared" si="34"/>
        <v>0</v>
      </c>
      <c r="O50" s="331">
        <f t="shared" si="34"/>
        <v>0</v>
      </c>
      <c r="P50" s="332">
        <f t="shared" si="34"/>
        <v>0</v>
      </c>
      <c r="Q50" s="333">
        <f t="shared" si="34"/>
        <v>0</v>
      </c>
      <c r="R50" s="336" t="str">
        <f t="shared" si="35"/>
        <v/>
      </c>
      <c r="S50" s="330">
        <v>0</v>
      </c>
      <c r="T50" s="331">
        <f t="shared" si="36"/>
        <v>0</v>
      </c>
      <c r="U50" s="332"/>
      <c r="V50" s="333">
        <f t="shared" si="37"/>
        <v>0</v>
      </c>
      <c r="W50" s="393" t="str">
        <f t="shared" si="38"/>
        <v/>
      </c>
      <c r="X50" s="330"/>
      <c r="Y50" s="331">
        <f t="shared" si="39"/>
        <v>0</v>
      </c>
      <c r="Z50" s="332"/>
      <c r="AA50" s="333">
        <f t="shared" si="40"/>
        <v>0</v>
      </c>
      <c r="AB50" s="336" t="str">
        <f t="shared" si="41"/>
        <v/>
      </c>
      <c r="AC50" s="333">
        <f t="shared" si="42"/>
        <v>0</v>
      </c>
      <c r="AD50" s="331">
        <f t="shared" si="42"/>
        <v>0</v>
      </c>
      <c r="AE50" s="332">
        <f t="shared" si="42"/>
        <v>0</v>
      </c>
      <c r="AF50" s="333">
        <f t="shared" si="43"/>
        <v>0</v>
      </c>
      <c r="AG50" s="334" t="str">
        <f t="shared" si="44"/>
        <v/>
      </c>
    </row>
    <row r="51" spans="2:34" x14ac:dyDescent="0.45">
      <c r="B51" s="636" t="s">
        <v>450</v>
      </c>
      <c r="C51" s="635"/>
      <c r="D51" s="330">
        <v>3.9347826086956523</v>
      </c>
      <c r="E51" s="331">
        <f t="shared" si="45"/>
        <v>3.9347826086956523</v>
      </c>
      <c r="F51" s="332">
        <v>2</v>
      </c>
      <c r="G51" s="333">
        <f t="shared" si="29"/>
        <v>-1.9347826086956523</v>
      </c>
      <c r="H51" s="334">
        <f t="shared" si="30"/>
        <v>0.50828729281767959</v>
      </c>
      <c r="I51" s="335">
        <v>3.652173913043478</v>
      </c>
      <c r="J51" s="331">
        <f t="shared" si="31"/>
        <v>3.652173913043478</v>
      </c>
      <c r="K51" s="332">
        <v>2</v>
      </c>
      <c r="L51" s="333">
        <f t="shared" si="32"/>
        <v>-1.652173913043478</v>
      </c>
      <c r="M51" s="334">
        <f t="shared" si="33"/>
        <v>0.54761904761904767</v>
      </c>
      <c r="N51" s="335">
        <f t="shared" si="34"/>
        <v>7.5869565217391308</v>
      </c>
      <c r="O51" s="331">
        <f t="shared" si="34"/>
        <v>7.5869565217391308</v>
      </c>
      <c r="P51" s="332">
        <f t="shared" si="34"/>
        <v>4</v>
      </c>
      <c r="Q51" s="333">
        <f t="shared" si="34"/>
        <v>-3.5869565217391304</v>
      </c>
      <c r="R51" s="336">
        <f t="shared" si="35"/>
        <v>0.52722063037249278</v>
      </c>
      <c r="S51" s="330">
        <v>0</v>
      </c>
      <c r="T51" s="331">
        <f t="shared" si="36"/>
        <v>0</v>
      </c>
      <c r="U51" s="332">
        <v>6</v>
      </c>
      <c r="V51" s="333">
        <f t="shared" si="37"/>
        <v>6</v>
      </c>
      <c r="W51" s="393" t="str">
        <f t="shared" si="38"/>
        <v/>
      </c>
      <c r="X51" s="330">
        <v>4.7519999999999998</v>
      </c>
      <c r="Y51" s="331">
        <f t="shared" si="39"/>
        <v>4.7519999999999998</v>
      </c>
      <c r="Z51" s="332">
        <v>6</v>
      </c>
      <c r="AA51" s="333">
        <f t="shared" si="40"/>
        <v>1.2480000000000002</v>
      </c>
      <c r="AB51" s="336">
        <f t="shared" si="41"/>
        <v>1.2626262626262628</v>
      </c>
      <c r="AC51" s="333">
        <f t="shared" si="42"/>
        <v>12.338956521739131</v>
      </c>
      <c r="AD51" s="331">
        <f t="shared" si="42"/>
        <v>12.338956521739131</v>
      </c>
      <c r="AE51" s="332">
        <f t="shared" si="42"/>
        <v>16</v>
      </c>
      <c r="AF51" s="333">
        <f t="shared" si="43"/>
        <v>3.6610434782608685</v>
      </c>
      <c r="AG51" s="334">
        <f t="shared" si="44"/>
        <v>1.2967060846523557</v>
      </c>
    </row>
    <row r="52" spans="2:34" ht="18.600000000000001" thickBot="1" x14ac:dyDescent="0.5">
      <c r="B52" s="637" t="s">
        <v>434</v>
      </c>
      <c r="C52" s="638"/>
      <c r="D52" s="337">
        <v>0</v>
      </c>
      <c r="E52" s="338">
        <f t="shared" si="45"/>
        <v>0</v>
      </c>
      <c r="F52" s="339">
        <f>E52</f>
        <v>0</v>
      </c>
      <c r="G52" s="340">
        <f t="shared" si="29"/>
        <v>0</v>
      </c>
      <c r="H52" s="341" t="str">
        <f t="shared" si="30"/>
        <v/>
      </c>
      <c r="I52" s="342">
        <v>0</v>
      </c>
      <c r="J52" s="338">
        <f t="shared" si="31"/>
        <v>0</v>
      </c>
      <c r="K52" s="339">
        <f>J52</f>
        <v>0</v>
      </c>
      <c r="L52" s="340">
        <f t="shared" si="32"/>
        <v>0</v>
      </c>
      <c r="M52" s="341" t="str">
        <f t="shared" si="33"/>
        <v/>
      </c>
      <c r="N52" s="342">
        <f t="shared" si="34"/>
        <v>0</v>
      </c>
      <c r="O52" s="338">
        <f t="shared" si="34"/>
        <v>0</v>
      </c>
      <c r="P52" s="339">
        <f t="shared" si="34"/>
        <v>0</v>
      </c>
      <c r="Q52" s="340">
        <f t="shared" si="34"/>
        <v>0</v>
      </c>
      <c r="R52" s="343" t="str">
        <f t="shared" si="35"/>
        <v/>
      </c>
      <c r="S52" s="337">
        <v>0</v>
      </c>
      <c r="T52" s="338">
        <f t="shared" si="36"/>
        <v>0</v>
      </c>
      <c r="U52" s="339">
        <f>T52*2</f>
        <v>0</v>
      </c>
      <c r="V52" s="340">
        <f t="shared" si="37"/>
        <v>0</v>
      </c>
      <c r="W52" s="402" t="str">
        <f t="shared" si="38"/>
        <v/>
      </c>
      <c r="X52" s="337">
        <v>0.45400000000000001</v>
      </c>
      <c r="Y52" s="338">
        <f t="shared" si="39"/>
        <v>0.45400000000000001</v>
      </c>
      <c r="Z52" s="339">
        <f>Y52*2</f>
        <v>0.90800000000000003</v>
      </c>
      <c r="AA52" s="340">
        <f t="shared" si="40"/>
        <v>0.45400000000000001</v>
      </c>
      <c r="AB52" s="343">
        <f t="shared" si="41"/>
        <v>2</v>
      </c>
      <c r="AC52" s="340">
        <f t="shared" si="42"/>
        <v>0.45400000000000001</v>
      </c>
      <c r="AD52" s="338">
        <f t="shared" si="42"/>
        <v>0.45400000000000001</v>
      </c>
      <c r="AE52" s="339">
        <f t="shared" si="42"/>
        <v>0.90800000000000003</v>
      </c>
      <c r="AF52" s="340">
        <f t="shared" si="43"/>
        <v>0.45400000000000001</v>
      </c>
      <c r="AG52" s="341">
        <f t="shared" si="44"/>
        <v>2</v>
      </c>
    </row>
    <row r="53" spans="2:34" ht="18.600000000000001" thickBot="1" x14ac:dyDescent="0.5">
      <c r="B53" s="639" t="s">
        <v>435</v>
      </c>
      <c r="C53" s="640"/>
      <c r="D53" s="314">
        <f>SUM(D45:D52)</f>
        <v>7.3260869565217392</v>
      </c>
      <c r="E53" s="319">
        <f>SUM(E45:E52)</f>
        <v>7.3260869565217392</v>
      </c>
      <c r="F53" s="316">
        <f>SUM(F45:F52)</f>
        <v>5.3913043478260869</v>
      </c>
      <c r="G53" s="317">
        <f t="shared" si="29"/>
        <v>-1.9347826086956523</v>
      </c>
      <c r="H53" s="318">
        <f t="shared" si="30"/>
        <v>0.73590504451038574</v>
      </c>
      <c r="I53" s="319">
        <f>SUM(I45:I52)</f>
        <v>12.173913043478262</v>
      </c>
      <c r="J53" s="315">
        <f>SUM(J45:J52)</f>
        <v>12.173913043478262</v>
      </c>
      <c r="K53" s="316">
        <f>SUM(K45:K52)</f>
        <v>9</v>
      </c>
      <c r="L53" s="317">
        <f t="shared" si="32"/>
        <v>-3.1739130434782616</v>
      </c>
      <c r="M53" s="318">
        <f t="shared" si="33"/>
        <v>0.73928571428571421</v>
      </c>
      <c r="N53" s="319">
        <f t="shared" si="34"/>
        <v>19.5</v>
      </c>
      <c r="O53" s="315">
        <f t="shared" si="34"/>
        <v>19.5</v>
      </c>
      <c r="P53" s="316">
        <f t="shared" si="34"/>
        <v>14.391304347826086</v>
      </c>
      <c r="Q53" s="317">
        <f t="shared" si="34"/>
        <v>-5.108695652173914</v>
      </c>
      <c r="R53" s="320">
        <f t="shared" si="35"/>
        <v>0.73801560758082496</v>
      </c>
      <c r="S53" s="314">
        <f>SUM(S45:S52)</f>
        <v>0</v>
      </c>
      <c r="T53" s="315">
        <f>SUM(T45:T52)</f>
        <v>0</v>
      </c>
      <c r="U53" s="316">
        <f>SUM(U45:U52)</f>
        <v>9</v>
      </c>
      <c r="V53" s="317">
        <f t="shared" si="37"/>
        <v>9</v>
      </c>
      <c r="W53" s="385" t="str">
        <f t="shared" si="38"/>
        <v/>
      </c>
      <c r="X53" s="314">
        <f>SUM(X45:X52)</f>
        <v>18.782</v>
      </c>
      <c r="Y53" s="315">
        <f>SUM(Y45:Y52)</f>
        <v>18.782</v>
      </c>
      <c r="Z53" s="316">
        <f>SUM(Z45:Z52)</f>
        <v>19.908000000000001</v>
      </c>
      <c r="AA53" s="317">
        <f t="shared" si="40"/>
        <v>1.1260000000000012</v>
      </c>
      <c r="AB53" s="320">
        <f t="shared" si="41"/>
        <v>1.0599510169311044</v>
      </c>
      <c r="AC53" s="317">
        <f t="shared" si="42"/>
        <v>38.281999999999996</v>
      </c>
      <c r="AD53" s="315">
        <f t="shared" si="42"/>
        <v>38.281999999999996</v>
      </c>
      <c r="AE53" s="316">
        <f t="shared" si="42"/>
        <v>43.299304347826087</v>
      </c>
      <c r="AF53" s="317">
        <f t="shared" si="43"/>
        <v>5.0173043478260908</v>
      </c>
      <c r="AG53" s="320">
        <f t="shared" si="44"/>
        <v>1.1310617091015644</v>
      </c>
    </row>
    <row r="54" spans="2:34" ht="18.600000000000001" thickBot="1" x14ac:dyDescent="0.5">
      <c r="B54" s="641" t="s">
        <v>436</v>
      </c>
      <c r="C54" s="642"/>
      <c r="D54" s="314">
        <f>+D38+D43+D53</f>
        <v>389.89876470845218</v>
      </c>
      <c r="E54" s="319">
        <f>+E38+E43+E53</f>
        <v>389.89876470845218</v>
      </c>
      <c r="F54" s="316">
        <f>+F38+F43+F53</f>
        <v>112.0703043478261</v>
      </c>
      <c r="G54" s="317">
        <f>+G38+G43+G53</f>
        <v>-277.82846036062602</v>
      </c>
      <c r="H54" s="318">
        <f t="shared" si="30"/>
        <v>0.2874343662812755</v>
      </c>
      <c r="I54" s="319">
        <f>+I38+I43+I53</f>
        <v>426.00869565217386</v>
      </c>
      <c r="J54" s="315">
        <f>+J38+J43+J53</f>
        <v>426.00869565217386</v>
      </c>
      <c r="K54" s="316">
        <f>+K38+K43+K53</f>
        <v>118.86578260869565</v>
      </c>
      <c r="L54" s="317">
        <f>+L38+L43+L53</f>
        <v>-307.14291304347825</v>
      </c>
      <c r="M54" s="318">
        <f t="shared" si="33"/>
        <v>0.27902196321773393</v>
      </c>
      <c r="N54" s="319">
        <f>+N38+N43+N53</f>
        <v>815.90746036062615</v>
      </c>
      <c r="O54" s="315">
        <f>+O38+O43+O53</f>
        <v>815.90746036062615</v>
      </c>
      <c r="P54" s="316">
        <f>+P38+P43+P53</f>
        <v>230.93608695652173</v>
      </c>
      <c r="Q54" s="317">
        <f>+Q38+Q43+Q53</f>
        <v>-584.97137340410438</v>
      </c>
      <c r="R54" s="320">
        <f t="shared" si="35"/>
        <v>0.2830420092671409</v>
      </c>
      <c r="S54" s="314">
        <f>+S38+S43+S53</f>
        <v>0</v>
      </c>
      <c r="T54" s="315">
        <f>+T38+T43+T53</f>
        <v>0</v>
      </c>
      <c r="U54" s="316">
        <f>+U38+U43+U53</f>
        <v>260.10000000000002</v>
      </c>
      <c r="V54" s="317">
        <f t="shared" si="37"/>
        <v>260.10000000000002</v>
      </c>
      <c r="W54" s="385" t="str">
        <f t="shared" si="38"/>
        <v/>
      </c>
      <c r="X54" s="314">
        <f>+X38+X43+X53</f>
        <v>229.003912816</v>
      </c>
      <c r="Y54" s="315">
        <f>+Y38+Y43+Y53</f>
        <v>229.003912816</v>
      </c>
      <c r="Z54" s="316">
        <f>+Z38+Z43+Z53</f>
        <v>675.13068587777434</v>
      </c>
      <c r="AA54" s="317">
        <f t="shared" si="40"/>
        <v>446.12677306177432</v>
      </c>
      <c r="AB54" s="320">
        <f t="shared" si="41"/>
        <v>2.9481185608397364</v>
      </c>
      <c r="AC54" s="317">
        <f t="shared" si="42"/>
        <v>1044.9113731766261</v>
      </c>
      <c r="AD54" s="315">
        <f t="shared" si="42"/>
        <v>1044.9113731766261</v>
      </c>
      <c r="AE54" s="316">
        <f t="shared" si="42"/>
        <v>1166.1667728342961</v>
      </c>
      <c r="AF54" s="317">
        <f t="shared" si="43"/>
        <v>121.25539965767007</v>
      </c>
      <c r="AG54" s="320">
        <f t="shared" si="44"/>
        <v>1.1160437169795967</v>
      </c>
    </row>
    <row r="55" spans="2:34" ht="6" customHeight="1" thickBot="1" x14ac:dyDescent="0.5">
      <c r="D55" s="352"/>
      <c r="E55" s="352"/>
      <c r="F55" s="352"/>
      <c r="G55" s="352"/>
      <c r="H55" s="399"/>
      <c r="I55" s="352"/>
      <c r="J55" s="352"/>
      <c r="K55" s="352"/>
      <c r="L55" s="352"/>
      <c r="M55" s="399"/>
      <c r="N55" s="352"/>
      <c r="O55" s="352"/>
      <c r="P55" s="352"/>
      <c r="Q55" s="352"/>
      <c r="R55" s="399"/>
      <c r="S55" s="352"/>
      <c r="T55" s="352"/>
      <c r="U55" s="352"/>
      <c r="V55" s="352"/>
      <c r="W55" s="399"/>
      <c r="X55" s="352"/>
      <c r="Y55" s="352"/>
      <c r="Z55" s="352"/>
      <c r="AA55" s="352"/>
      <c r="AB55" s="399"/>
      <c r="AC55" s="398"/>
      <c r="AD55" s="398"/>
      <c r="AE55" s="398"/>
      <c r="AF55" s="398"/>
      <c r="AG55" s="399"/>
    </row>
    <row r="56" spans="2:34" x14ac:dyDescent="0.45">
      <c r="B56" s="643" t="s">
        <v>451</v>
      </c>
      <c r="C56" s="644"/>
      <c r="D56" s="406">
        <f>+D10+D38</f>
        <v>607.3578792736696</v>
      </c>
      <c r="E56" s="407">
        <f>+E10+E38</f>
        <v>607.3578792736696</v>
      </c>
      <c r="F56" s="408">
        <f>+F10+F38</f>
        <v>365.95438301956528</v>
      </c>
      <c r="G56" s="409">
        <f>+G10+G38</f>
        <v>-241.40349625410434</v>
      </c>
      <c r="H56" s="410">
        <f>IF(E56=0,"",F56/E56)</f>
        <v>0.60253500532042947</v>
      </c>
      <c r="I56" s="407">
        <f>+I10+I38</f>
        <v>652.99176460869569</v>
      </c>
      <c r="J56" s="411">
        <f>+J10+J38</f>
        <v>652.99176460869569</v>
      </c>
      <c r="K56" s="408">
        <f>+K10+K38</f>
        <v>363.73114465304354</v>
      </c>
      <c r="L56" s="409">
        <f>+L10+L38</f>
        <v>-289.26061995565215</v>
      </c>
      <c r="M56" s="410">
        <f>IF(J56=0,"",K56/J56)</f>
        <v>0.55702256041622344</v>
      </c>
      <c r="N56" s="407">
        <f>+N10+N38</f>
        <v>1260.3496438823654</v>
      </c>
      <c r="O56" s="411">
        <f>+O10+O38</f>
        <v>1260.3496438823654</v>
      </c>
      <c r="P56" s="408">
        <f>+P10+P38</f>
        <v>729.68552767260883</v>
      </c>
      <c r="Q56" s="409">
        <f>+Q10+Q38</f>
        <v>-530.66411620975646</v>
      </c>
      <c r="R56" s="412">
        <f>IF(O56=0,"",P56/O56)</f>
        <v>0.57895484099546746</v>
      </c>
      <c r="S56" s="406">
        <f>+S10+S38</f>
        <v>0</v>
      </c>
      <c r="T56" s="411">
        <f>+T10+T38</f>
        <v>0</v>
      </c>
      <c r="U56" s="408">
        <f>+U10+U38</f>
        <v>242.1</v>
      </c>
      <c r="V56" s="409">
        <f>+U56-T56</f>
        <v>242.1</v>
      </c>
      <c r="W56" s="412" t="str">
        <f>IF(T56=0,"",U56/T56)</f>
        <v/>
      </c>
      <c r="X56" s="406">
        <f>+X10+X38</f>
        <v>195.36191281599997</v>
      </c>
      <c r="Y56" s="411">
        <f>+Y10+Y38</f>
        <v>195.36191281599997</v>
      </c>
      <c r="Z56" s="408">
        <f>+Z10+Z38</f>
        <v>626.63468587777436</v>
      </c>
      <c r="AA56" s="409">
        <f>+Z56-Y56</f>
        <v>431.27277306177439</v>
      </c>
      <c r="AB56" s="412">
        <f>IF(Y56=0,"",Z56/Y56)</f>
        <v>3.2075580999658064</v>
      </c>
      <c r="AC56" s="409">
        <f t="shared" ref="AC56:AE59" si="46">+N56+S56+X56</f>
        <v>1455.7115566983653</v>
      </c>
      <c r="AD56" s="411">
        <f t="shared" si="46"/>
        <v>1455.7115566983653</v>
      </c>
      <c r="AE56" s="408">
        <f t="shared" si="46"/>
        <v>1598.4202135503833</v>
      </c>
      <c r="AF56" s="409">
        <f>AE56-AD56</f>
        <v>142.70865685201807</v>
      </c>
      <c r="AG56" s="412">
        <f>IF(AD56=0,"",AE56/AD56)</f>
        <v>1.0980336085094284</v>
      </c>
    </row>
    <row r="57" spans="2:34" x14ac:dyDescent="0.45">
      <c r="B57" s="633" t="s">
        <v>452</v>
      </c>
      <c r="C57" s="635"/>
      <c r="D57" s="330">
        <f>+D15+D43</f>
        <v>26.782608695652176</v>
      </c>
      <c r="E57" s="335">
        <f>+E15+E43</f>
        <v>26.782608695652176</v>
      </c>
      <c r="F57" s="332">
        <f>+F15+F43</f>
        <v>6.4782608695652177</v>
      </c>
      <c r="G57" s="333">
        <f>+G15+G43</f>
        <v>-20.304347826086957</v>
      </c>
      <c r="H57" s="334">
        <f>IF(E57=0,"",F57/E57)</f>
        <v>0.24188311688311689</v>
      </c>
      <c r="I57" s="335">
        <f>+I15+I43</f>
        <v>10.021739130434783</v>
      </c>
      <c r="J57" s="331">
        <f>+J15+J43</f>
        <v>10.021739130434783</v>
      </c>
      <c r="K57" s="332">
        <f>+K15+K43</f>
        <v>8.0217391304347831</v>
      </c>
      <c r="L57" s="333">
        <f>+L15+L43</f>
        <v>-2</v>
      </c>
      <c r="M57" s="334">
        <f>IF(J57=0,"",K57/J57)</f>
        <v>0.80043383947939262</v>
      </c>
      <c r="N57" s="335">
        <f>+N15+N43</f>
        <v>36.804347826086953</v>
      </c>
      <c r="O57" s="331">
        <f>+O15+O43</f>
        <v>36.804347826086953</v>
      </c>
      <c r="P57" s="332">
        <f>+P15+P43</f>
        <v>14.5</v>
      </c>
      <c r="Q57" s="333">
        <f>+Q15+Q43</f>
        <v>-22.304347826086957</v>
      </c>
      <c r="R57" s="336">
        <f>IF(O57=0,"",P57/O57)</f>
        <v>0.39397519196692266</v>
      </c>
      <c r="S57" s="330">
        <f>+S15+S43</f>
        <v>0</v>
      </c>
      <c r="T57" s="331">
        <f>+T15+T43</f>
        <v>0</v>
      </c>
      <c r="U57" s="332">
        <f>+U15+U43</f>
        <v>9</v>
      </c>
      <c r="V57" s="333">
        <f>+U57-T57</f>
        <v>9</v>
      </c>
      <c r="W57" s="336" t="str">
        <f>IF(T57=0,"",U57/T57)</f>
        <v/>
      </c>
      <c r="X57" s="330">
        <f>+X15+X43</f>
        <v>14.86</v>
      </c>
      <c r="Y57" s="331">
        <f>+Y15+Y43</f>
        <v>14.86</v>
      </c>
      <c r="Z57" s="332">
        <f>+Z15+Z43</f>
        <v>28.588000000000001</v>
      </c>
      <c r="AA57" s="333">
        <f>+Z57-Y57</f>
        <v>13.728000000000002</v>
      </c>
      <c r="AB57" s="336">
        <f>IF(Y57=0,"",Z57/Y57)</f>
        <v>1.9238223418573352</v>
      </c>
      <c r="AC57" s="333">
        <f t="shared" si="46"/>
        <v>51.664347826086953</v>
      </c>
      <c r="AD57" s="331">
        <f t="shared" si="46"/>
        <v>51.664347826086953</v>
      </c>
      <c r="AE57" s="332">
        <f t="shared" si="46"/>
        <v>52.088000000000001</v>
      </c>
      <c r="AF57" s="333">
        <f>AE57-AD57</f>
        <v>0.4236521739130481</v>
      </c>
      <c r="AG57" s="336">
        <f>IF(AD57=0,"",AE57/AD57)</f>
        <v>1.0082000875214596</v>
      </c>
    </row>
    <row r="58" spans="2:34" x14ac:dyDescent="0.45">
      <c r="B58" s="633" t="s">
        <v>453</v>
      </c>
      <c r="C58" s="635"/>
      <c r="D58" s="330">
        <f>+D24+D53</f>
        <v>16.934782608695652</v>
      </c>
      <c r="E58" s="335">
        <f>+E24+E53</f>
        <v>16.934782608695652</v>
      </c>
      <c r="F58" s="332">
        <f>+F24+F53</f>
        <v>15</v>
      </c>
      <c r="G58" s="333">
        <f>+G24+G53</f>
        <v>-1.9347826086956523</v>
      </c>
      <c r="H58" s="334">
        <f>IF(E58=0,"",F58/E58)</f>
        <v>0.88575096277278564</v>
      </c>
      <c r="I58" s="335">
        <f>+I24+I53</f>
        <v>38.934782608695656</v>
      </c>
      <c r="J58" s="331">
        <f>+J24+J53</f>
        <v>38.934782608695656</v>
      </c>
      <c r="K58" s="332">
        <f>+K24+K53</f>
        <v>35.760869565217391</v>
      </c>
      <c r="L58" s="333">
        <f>+L24+L53</f>
        <v>-3.1739130434782616</v>
      </c>
      <c r="M58" s="334">
        <f>IF(J58=0,"",K58/J58)</f>
        <v>0.91848129536571732</v>
      </c>
      <c r="N58" s="335">
        <f>+N24+N53</f>
        <v>55.869565217391305</v>
      </c>
      <c r="O58" s="331">
        <f>+O24+O53</f>
        <v>55.869565217391305</v>
      </c>
      <c r="P58" s="332">
        <f>+P24+P53</f>
        <v>50.760869565217391</v>
      </c>
      <c r="Q58" s="333">
        <f>+Q24+Q53</f>
        <v>-5.108695652173914</v>
      </c>
      <c r="R58" s="336">
        <f>IF(O58=0,"",P58/O58)</f>
        <v>0.90856031128404668</v>
      </c>
      <c r="S58" s="330">
        <f>+S24+S53</f>
        <v>0</v>
      </c>
      <c r="T58" s="331">
        <f>+T24+T53</f>
        <v>0</v>
      </c>
      <c r="U58" s="332">
        <f>+U24+U53</f>
        <v>9</v>
      </c>
      <c r="V58" s="333">
        <f>+U58-T58</f>
        <v>9</v>
      </c>
      <c r="W58" s="336" t="str">
        <f>IF(T58=0,"",U58/T58)</f>
        <v/>
      </c>
      <c r="X58" s="330">
        <f>+X24+X53</f>
        <v>18.782</v>
      </c>
      <c r="Y58" s="331">
        <f>+Y24+Y53</f>
        <v>18.782</v>
      </c>
      <c r="Z58" s="332">
        <f>+Z24+Z53</f>
        <v>19.908000000000001</v>
      </c>
      <c r="AA58" s="333">
        <f>+Z58-Y58</f>
        <v>1.1260000000000012</v>
      </c>
      <c r="AB58" s="336">
        <f>IF(Y58=0,"",Z58/Y58)</f>
        <v>1.0599510169311044</v>
      </c>
      <c r="AC58" s="333">
        <f t="shared" si="46"/>
        <v>74.651565217391308</v>
      </c>
      <c r="AD58" s="331">
        <f t="shared" si="46"/>
        <v>74.651565217391308</v>
      </c>
      <c r="AE58" s="332">
        <f t="shared" si="46"/>
        <v>79.668869565217392</v>
      </c>
      <c r="AF58" s="333">
        <f>AE58-AD58</f>
        <v>5.0173043478260837</v>
      </c>
      <c r="AG58" s="336">
        <f>IF(AD58=0,"",AE58/AD58)</f>
        <v>1.0672096336254342</v>
      </c>
    </row>
    <row r="59" spans="2:34" ht="18.600000000000001" thickBot="1" x14ac:dyDescent="0.5">
      <c r="B59" s="625" t="s">
        <v>454</v>
      </c>
      <c r="C59" s="626"/>
      <c r="D59" s="413">
        <f>SUM(D56:D58)</f>
        <v>651.07527057801735</v>
      </c>
      <c r="E59" s="414">
        <f>SUM(E56:E58)</f>
        <v>651.07527057801735</v>
      </c>
      <c r="F59" s="415">
        <f>SUM(F56:F58)</f>
        <v>387.43264388913047</v>
      </c>
      <c r="G59" s="416">
        <f>SUM(G56:G58)</f>
        <v>-263.64262668888693</v>
      </c>
      <c r="H59" s="417">
        <f>IF(E59=0,"",F59/E59)</f>
        <v>0.59506582632937677</v>
      </c>
      <c r="I59" s="414">
        <f>SUM(I56:I58)</f>
        <v>701.94828634782607</v>
      </c>
      <c r="J59" s="418">
        <f>SUM(J56:J58)</f>
        <v>701.94828634782607</v>
      </c>
      <c r="K59" s="415">
        <f>SUM(K56:K58)</f>
        <v>407.51375334869573</v>
      </c>
      <c r="L59" s="416">
        <f>SUM(L56:L58)</f>
        <v>-294.4345329991304</v>
      </c>
      <c r="M59" s="417">
        <f>IF(J59=0,"",K59/J59)</f>
        <v>0.58054668880089899</v>
      </c>
      <c r="N59" s="414">
        <f>SUM(N56:N58)</f>
        <v>1353.0235569258436</v>
      </c>
      <c r="O59" s="418">
        <f>SUM(O56:O58)</f>
        <v>1353.0235569258436</v>
      </c>
      <c r="P59" s="415">
        <f>SUM(P56:P58)</f>
        <v>794.9463972378262</v>
      </c>
      <c r="Q59" s="416">
        <f>SUM(Q56:Q58)</f>
        <v>-558.07715968801733</v>
      </c>
      <c r="R59" s="419">
        <f>IF(O59=0,"",P59/O59)</f>
        <v>0.5875333013742905</v>
      </c>
      <c r="S59" s="413">
        <f>SUM(S56:S58)</f>
        <v>0</v>
      </c>
      <c r="T59" s="418">
        <f>SUM(T56:T58)</f>
        <v>0</v>
      </c>
      <c r="U59" s="415">
        <f>SUM(U56:U58)</f>
        <v>260.10000000000002</v>
      </c>
      <c r="V59" s="416">
        <f>+U59-T59</f>
        <v>260.10000000000002</v>
      </c>
      <c r="W59" s="419" t="str">
        <f>IF(T59=0,"",U59/T59)</f>
        <v/>
      </c>
      <c r="X59" s="413">
        <f>SUM(X56:X58)</f>
        <v>229.003912816</v>
      </c>
      <c r="Y59" s="418">
        <f>SUM(Y56:Y58)</f>
        <v>229.003912816</v>
      </c>
      <c r="Z59" s="415">
        <f>SUM(Z56:Z58)</f>
        <v>675.13068587777434</v>
      </c>
      <c r="AA59" s="416">
        <f>+Z59-Y59</f>
        <v>446.12677306177432</v>
      </c>
      <c r="AB59" s="419">
        <f>IF(Y59=0,"",Z59/Y59)</f>
        <v>2.9481185608397364</v>
      </c>
      <c r="AC59" s="416">
        <f t="shared" si="46"/>
        <v>1582.0274697418436</v>
      </c>
      <c r="AD59" s="418">
        <f t="shared" si="46"/>
        <v>1582.0274697418436</v>
      </c>
      <c r="AE59" s="415">
        <f t="shared" si="46"/>
        <v>1730.1770831156005</v>
      </c>
      <c r="AF59" s="416">
        <f>AE59-AD59</f>
        <v>148.14961337375689</v>
      </c>
      <c r="AG59" s="419">
        <f>IF(AD59=0,"",AE59/AD59)</f>
        <v>1.0936454114781788</v>
      </c>
    </row>
    <row r="60" spans="2:34" ht="6" customHeight="1" thickBot="1" x14ac:dyDescent="0.5">
      <c r="B60" s="420"/>
      <c r="C60" s="421"/>
      <c r="D60" s="422"/>
      <c r="E60" s="423"/>
      <c r="F60" s="423"/>
      <c r="G60" s="423"/>
      <c r="H60" s="424"/>
      <c r="I60" s="423"/>
      <c r="J60" s="423"/>
      <c r="K60" s="423"/>
      <c r="L60" s="423"/>
      <c r="M60" s="424"/>
      <c r="N60" s="423"/>
      <c r="O60" s="423"/>
      <c r="P60" s="423"/>
      <c r="Q60" s="423"/>
      <c r="R60" s="424"/>
      <c r="S60" s="423"/>
      <c r="T60" s="423"/>
      <c r="U60" s="423"/>
      <c r="V60" s="423"/>
      <c r="W60" s="424"/>
      <c r="X60" s="423"/>
      <c r="Y60" s="423"/>
      <c r="Z60" s="423"/>
      <c r="AA60" s="423"/>
      <c r="AB60" s="424"/>
      <c r="AC60" s="423"/>
      <c r="AD60" s="423"/>
      <c r="AE60" s="423"/>
      <c r="AF60" s="423"/>
      <c r="AG60" s="424"/>
    </row>
    <row r="61" spans="2:34" x14ac:dyDescent="0.45">
      <c r="B61" s="425" t="s">
        <v>455</v>
      </c>
      <c r="C61" s="627" t="s">
        <v>456</v>
      </c>
      <c r="D61" s="407">
        <f>+$AH61*D62</f>
        <v>15.814814814814813</v>
      </c>
      <c r="E61" s="407">
        <f>+$AH61*E62</f>
        <v>15.814814814814813</v>
      </c>
      <c r="F61" s="426">
        <f>+AH61*F62</f>
        <v>16.520833333333332</v>
      </c>
      <c r="G61" s="407"/>
      <c r="H61" s="410"/>
      <c r="I61" s="407">
        <f>+$AH61*I62</f>
        <v>14.685185185185185</v>
      </c>
      <c r="J61" s="407">
        <f>+$AH61*J62</f>
        <v>14.685185185185185</v>
      </c>
      <c r="K61" s="426">
        <f>+AH61*K62</f>
        <v>13.979166666666666</v>
      </c>
      <c r="L61" s="407"/>
      <c r="M61" s="410"/>
      <c r="N61" s="407">
        <f>+$AH61*N62</f>
        <v>30.5</v>
      </c>
      <c r="O61" s="407">
        <f>+$AH61*O62</f>
        <v>30.5</v>
      </c>
      <c r="P61" s="426">
        <f>+AH61*P62</f>
        <v>30.5</v>
      </c>
      <c r="Q61" s="407"/>
      <c r="R61" s="410"/>
      <c r="S61" s="407"/>
      <c r="T61" s="407"/>
      <c r="U61" s="426">
        <v>9.6890000000000001</v>
      </c>
      <c r="V61" s="407"/>
      <c r="W61" s="410"/>
      <c r="X61" s="407">
        <v>9.6890000000000001</v>
      </c>
      <c r="Y61" s="407">
        <v>9.6890000000000001</v>
      </c>
      <c r="Z61" s="426">
        <v>9.6890000000000001</v>
      </c>
      <c r="AA61" s="407"/>
      <c r="AB61" s="410"/>
      <c r="AC61" s="407">
        <f t="shared" ref="AC61:AE64" si="47">SUM(N61,X61)</f>
        <v>40.189</v>
      </c>
      <c r="AD61" s="411">
        <f t="shared" si="47"/>
        <v>40.189</v>
      </c>
      <c r="AE61" s="427">
        <f t="shared" si="47"/>
        <v>40.189</v>
      </c>
      <c r="AF61" s="409"/>
      <c r="AG61" s="412"/>
      <c r="AH61" s="426">
        <v>30.5</v>
      </c>
    </row>
    <row r="62" spans="2:34" s="293" customFormat="1" x14ac:dyDescent="0.45">
      <c r="B62" s="428" t="s">
        <v>457</v>
      </c>
      <c r="C62" s="628"/>
      <c r="D62" s="429">
        <f>SUM(D5,D30)/SUM(N5,N30)</f>
        <v>0.51851851851851849</v>
      </c>
      <c r="E62" s="429">
        <f>SUM(E5,E30)/SUM(O5,O30)</f>
        <v>0.51851851851851849</v>
      </c>
      <c r="F62" s="430">
        <f>SUM(F5,F30)/SUM(P5,P30)</f>
        <v>0.54166666666666663</v>
      </c>
      <c r="G62" s="429"/>
      <c r="H62" s="431"/>
      <c r="I62" s="429">
        <f>SUM(I5,I30)/SUM(N5,N30)</f>
        <v>0.48148148148148145</v>
      </c>
      <c r="J62" s="429">
        <f>SUM(J5,J30)/SUM(O5,O30)</f>
        <v>0.48148148148148145</v>
      </c>
      <c r="K62" s="429">
        <f>SUM(K5,K30)/SUM(P5,P30)</f>
        <v>0.45833333333333331</v>
      </c>
      <c r="L62" s="429"/>
      <c r="M62" s="431"/>
      <c r="N62" s="429">
        <f>D62+I62</f>
        <v>1</v>
      </c>
      <c r="O62" s="429">
        <f>E62+J62</f>
        <v>1</v>
      </c>
      <c r="P62" s="430">
        <f>F62+K62</f>
        <v>1</v>
      </c>
      <c r="Q62" s="429"/>
      <c r="R62" s="431"/>
      <c r="S62" s="429"/>
      <c r="T62" s="429"/>
      <c r="U62" s="430"/>
      <c r="V62" s="429"/>
      <c r="W62" s="431"/>
      <c r="X62" s="429"/>
      <c r="Y62" s="429"/>
      <c r="Z62" s="430"/>
      <c r="AA62" s="429"/>
      <c r="AB62" s="431"/>
      <c r="AC62" s="429">
        <f t="shared" si="47"/>
        <v>1</v>
      </c>
      <c r="AD62" s="432">
        <f t="shared" si="47"/>
        <v>1</v>
      </c>
      <c r="AE62" s="430">
        <f t="shared" si="47"/>
        <v>1</v>
      </c>
      <c r="AF62" s="433"/>
      <c r="AG62" s="434"/>
    </row>
    <row r="63" spans="2:34" x14ac:dyDescent="0.45">
      <c r="B63" s="435" t="s">
        <v>455</v>
      </c>
      <c r="C63" s="629" t="s">
        <v>458</v>
      </c>
      <c r="D63" s="335">
        <f>+$AH63*D64</f>
        <v>15.814814814814813</v>
      </c>
      <c r="E63" s="335">
        <f>+$AH63*E64</f>
        <v>15.814814814814813</v>
      </c>
      <c r="F63" s="436">
        <f>+AH63*F64</f>
        <v>16.520833333333332</v>
      </c>
      <c r="G63" s="335"/>
      <c r="H63" s="334"/>
      <c r="I63" s="335">
        <f>+$AH63*I64</f>
        <v>14.685185185185185</v>
      </c>
      <c r="J63" s="335">
        <f>+$AH63*J64</f>
        <v>14.685185185185185</v>
      </c>
      <c r="K63" s="436">
        <f>+AH63*K64</f>
        <v>13.979166666666666</v>
      </c>
      <c r="L63" s="335"/>
      <c r="M63" s="334"/>
      <c r="N63" s="335">
        <f>+$AH63*N64</f>
        <v>30.5</v>
      </c>
      <c r="O63" s="335">
        <f>+$AH63*O64</f>
        <v>30.5</v>
      </c>
      <c r="P63" s="436">
        <f>+AH63*P64</f>
        <v>30.5</v>
      </c>
      <c r="Q63" s="335"/>
      <c r="R63" s="334"/>
      <c r="S63" s="335"/>
      <c r="T63" s="335"/>
      <c r="U63" s="436">
        <v>9.6890000000000001</v>
      </c>
      <c r="V63" s="335"/>
      <c r="W63" s="334"/>
      <c r="X63" s="335">
        <v>9.6890000000000001</v>
      </c>
      <c r="Y63" s="335">
        <v>9.6890000000000001</v>
      </c>
      <c r="Z63" s="436">
        <v>9.6890000000000001</v>
      </c>
      <c r="AA63" s="335"/>
      <c r="AB63" s="334"/>
      <c r="AC63" s="335">
        <f t="shared" si="47"/>
        <v>40.189</v>
      </c>
      <c r="AD63" s="331">
        <f t="shared" si="47"/>
        <v>40.189</v>
      </c>
      <c r="AE63" s="437">
        <f t="shared" si="47"/>
        <v>40.189</v>
      </c>
      <c r="AF63" s="333"/>
      <c r="AG63" s="336"/>
      <c r="AH63" s="436">
        <v>30.5</v>
      </c>
    </row>
    <row r="64" spans="2:34" ht="18.600000000000001" thickBot="1" x14ac:dyDescent="0.5">
      <c r="B64" s="438" t="s">
        <v>457</v>
      </c>
      <c r="C64" s="630"/>
      <c r="D64" s="439">
        <f>SUM(D5,D30)/SUM(N5,N30)</f>
        <v>0.51851851851851849</v>
      </c>
      <c r="E64" s="439">
        <f>SUM(E5,E30)/SUM(O5,O30)</f>
        <v>0.51851851851851849</v>
      </c>
      <c r="F64" s="440">
        <f>SUM(F5,F30)/SUM(P5,P30)</f>
        <v>0.54166666666666663</v>
      </c>
      <c r="G64" s="439"/>
      <c r="H64" s="441"/>
      <c r="I64" s="439">
        <f>SUM(I5,I30)/SUM(N5,N30)</f>
        <v>0.48148148148148145</v>
      </c>
      <c r="J64" s="439">
        <f>SUM(J5,J30)/SUM(O5,O30)</f>
        <v>0.48148148148148145</v>
      </c>
      <c r="K64" s="440">
        <f>SUM(K5,K30)/SUM(P5,P30)</f>
        <v>0.45833333333333331</v>
      </c>
      <c r="L64" s="439"/>
      <c r="M64" s="441"/>
      <c r="N64" s="439">
        <f>D64+I64</f>
        <v>1</v>
      </c>
      <c r="O64" s="439">
        <f>E64+J64</f>
        <v>1</v>
      </c>
      <c r="P64" s="440">
        <f>F64+K64</f>
        <v>1</v>
      </c>
      <c r="Q64" s="439"/>
      <c r="R64" s="441"/>
      <c r="S64" s="439"/>
      <c r="T64" s="439"/>
      <c r="U64" s="440"/>
      <c r="V64" s="439"/>
      <c r="W64" s="441"/>
      <c r="X64" s="439"/>
      <c r="Y64" s="439"/>
      <c r="Z64" s="440"/>
      <c r="AA64" s="439"/>
      <c r="AB64" s="441"/>
      <c r="AC64" s="439">
        <f t="shared" si="47"/>
        <v>1</v>
      </c>
      <c r="AD64" s="442">
        <f t="shared" si="47"/>
        <v>1</v>
      </c>
      <c r="AE64" s="443">
        <f t="shared" si="47"/>
        <v>1</v>
      </c>
      <c r="AF64" s="444"/>
      <c r="AG64" s="445"/>
    </row>
    <row r="65" spans="2:33" s="447" customFormat="1" ht="18.600000000000001" thickBot="1" x14ac:dyDescent="0.5">
      <c r="B65" s="631" t="s">
        <v>459</v>
      </c>
      <c r="C65" s="632"/>
      <c r="D65" s="315">
        <f>+D61+D63</f>
        <v>31.629629629629626</v>
      </c>
      <c r="E65" s="315">
        <f>+E61+E63</f>
        <v>31.629629629629626</v>
      </c>
      <c r="F65" s="446">
        <f>+F61+F63</f>
        <v>33.041666666666664</v>
      </c>
      <c r="G65" s="317"/>
      <c r="H65" s="318"/>
      <c r="I65" s="315">
        <f>+I61+I63</f>
        <v>29.37037037037037</v>
      </c>
      <c r="J65" s="315">
        <f>+J61+J63</f>
        <v>29.37037037037037</v>
      </c>
      <c r="K65" s="446">
        <f>+K61+K63</f>
        <v>27.958333333333332</v>
      </c>
      <c r="L65" s="317"/>
      <c r="M65" s="318"/>
      <c r="N65" s="315">
        <f>+N61+N63</f>
        <v>61</v>
      </c>
      <c r="O65" s="315">
        <f>+O61+O63</f>
        <v>61</v>
      </c>
      <c r="P65" s="446">
        <f>+P61+P63</f>
        <v>61</v>
      </c>
      <c r="Q65" s="317"/>
      <c r="R65" s="318"/>
      <c r="S65" s="315">
        <f>+S61+S63</f>
        <v>0</v>
      </c>
      <c r="T65" s="315">
        <f>+T61+T63</f>
        <v>0</v>
      </c>
      <c r="U65" s="446">
        <f>+U61+U63</f>
        <v>19.378</v>
      </c>
      <c r="V65" s="317"/>
      <c r="W65" s="318"/>
      <c r="X65" s="315">
        <f>+X61+X63</f>
        <v>19.378</v>
      </c>
      <c r="Y65" s="315">
        <f>+Y61+Y63</f>
        <v>19.378</v>
      </c>
      <c r="Z65" s="446">
        <f>+Z61+Z63</f>
        <v>19.378</v>
      </c>
      <c r="AA65" s="317"/>
      <c r="AB65" s="318"/>
      <c r="AC65" s="315">
        <f>+AC61+AC63</f>
        <v>80.378</v>
      </c>
      <c r="AD65" s="315">
        <f>+AD61+AD63</f>
        <v>80.378</v>
      </c>
      <c r="AE65" s="446">
        <f>SUM(P65,Z65)</f>
        <v>80.378</v>
      </c>
      <c r="AF65" s="317"/>
      <c r="AG65" s="320"/>
    </row>
    <row r="66" spans="2:33" ht="5.4" customHeight="1" thickBot="1" x14ac:dyDescent="0.5">
      <c r="B66" s="448"/>
      <c r="C66" s="449"/>
      <c r="D66" s="450"/>
      <c r="E66" s="398"/>
      <c r="F66" s="398"/>
      <c r="G66" s="398"/>
      <c r="H66" s="399"/>
      <c r="I66" s="398"/>
      <c r="J66" s="398"/>
      <c r="K66" s="398"/>
      <c r="L66" s="398"/>
      <c r="M66" s="399"/>
      <c r="N66" s="398"/>
      <c r="O66" s="398"/>
      <c r="P66" s="398"/>
      <c r="Q66" s="398"/>
      <c r="R66" s="399"/>
      <c r="S66" s="398"/>
      <c r="T66" s="398"/>
      <c r="U66" s="398"/>
      <c r="V66" s="398"/>
      <c r="W66" s="399"/>
      <c r="X66" s="398"/>
      <c r="Y66" s="398"/>
      <c r="Z66" s="398"/>
      <c r="AA66" s="398"/>
      <c r="AB66" s="399"/>
      <c r="AC66" s="398"/>
      <c r="AD66" s="398"/>
      <c r="AE66" s="398"/>
      <c r="AF66" s="398"/>
      <c r="AG66" s="399"/>
    </row>
    <row r="67" spans="2:33" ht="21" customHeight="1" thickBot="1" x14ac:dyDescent="0.5">
      <c r="B67" s="623" t="s">
        <v>113</v>
      </c>
      <c r="C67" s="624"/>
      <c r="D67" s="331">
        <f>+D59+D65</f>
        <v>682.70490020764703</v>
      </c>
      <c r="E67" s="331">
        <f>+E59+E65</f>
        <v>682.70490020764703</v>
      </c>
      <c r="F67" s="451">
        <f>F65+F59</f>
        <v>420.47431055579716</v>
      </c>
      <c r="G67" s="333"/>
      <c r="H67" s="334"/>
      <c r="I67" s="331">
        <f>+I59+I65</f>
        <v>731.31865671819639</v>
      </c>
      <c r="J67" s="331">
        <f>+J59+J65</f>
        <v>731.31865671819639</v>
      </c>
      <c r="K67" s="451">
        <f>K65+K59</f>
        <v>435.47208668202904</v>
      </c>
      <c r="L67" s="333"/>
      <c r="M67" s="334"/>
      <c r="N67" s="331">
        <f>+N59+N65</f>
        <v>1414.0235569258436</v>
      </c>
      <c r="O67" s="331">
        <f>+O59+O65</f>
        <v>1414.0235569258436</v>
      </c>
      <c r="P67" s="451">
        <f>P65+P59</f>
        <v>855.9463972378262</v>
      </c>
      <c r="Q67" s="333"/>
      <c r="R67" s="334"/>
      <c r="S67" s="331">
        <f>+S59+S65</f>
        <v>0</v>
      </c>
      <c r="T67" s="331">
        <f>+T59+T65</f>
        <v>0</v>
      </c>
      <c r="U67" s="451">
        <f>U65+U59</f>
        <v>279.47800000000001</v>
      </c>
      <c r="V67" s="333">
        <f>+U67-T67</f>
        <v>279.47800000000001</v>
      </c>
      <c r="W67" s="334"/>
      <c r="X67" s="331">
        <f>+X59+X65</f>
        <v>248.38191281600001</v>
      </c>
      <c r="Y67" s="331">
        <f>+Y59+Y65</f>
        <v>248.38191281600001</v>
      </c>
      <c r="Z67" s="451">
        <f>Z65+Z59</f>
        <v>694.50868587777438</v>
      </c>
      <c r="AA67" s="333">
        <f>+Z67-Y67</f>
        <v>446.12677306177437</v>
      </c>
      <c r="AB67" s="334"/>
      <c r="AC67" s="331">
        <f>+AC59+AC65</f>
        <v>1662.4054697418435</v>
      </c>
      <c r="AD67" s="331">
        <f>+AD59+AD65</f>
        <v>1662.4054697418435</v>
      </c>
      <c r="AE67" s="451">
        <f>AE65+AE59</f>
        <v>1810.5550831156004</v>
      </c>
      <c r="AF67" s="333"/>
      <c r="AG67" s="334"/>
    </row>
    <row r="68" spans="2:33" ht="5.4" customHeight="1" thickBot="1" x14ac:dyDescent="0.5">
      <c r="B68" s="448"/>
      <c r="C68" s="448"/>
      <c r="D68" s="398"/>
      <c r="E68" s="398"/>
      <c r="F68" s="398"/>
      <c r="G68" s="398"/>
      <c r="H68" s="399"/>
      <c r="I68" s="398"/>
      <c r="J68" s="398"/>
      <c r="K68" s="398"/>
      <c r="L68" s="398"/>
      <c r="M68" s="399"/>
      <c r="N68" s="398"/>
      <c r="O68" s="398"/>
      <c r="P68" s="398"/>
      <c r="Q68" s="398"/>
      <c r="R68" s="399"/>
      <c r="S68" s="398"/>
      <c r="T68" s="398"/>
      <c r="U68" s="398"/>
      <c r="V68" s="398"/>
      <c r="W68" s="399"/>
      <c r="X68" s="398"/>
      <c r="Y68" s="398"/>
      <c r="Z68" s="398"/>
      <c r="AA68" s="398"/>
      <c r="AB68" s="399"/>
      <c r="AC68" s="354"/>
      <c r="AD68" s="354"/>
      <c r="AE68" s="398"/>
      <c r="AF68" s="354"/>
      <c r="AG68" s="355"/>
    </row>
    <row r="69" spans="2:33" x14ac:dyDescent="0.45">
      <c r="B69" s="452" t="s">
        <v>460</v>
      </c>
      <c r="C69" s="453">
        <v>0.02</v>
      </c>
      <c r="D69" s="411">
        <f>+D67*$C69</f>
        <v>13.654098004152941</v>
      </c>
      <c r="E69" s="411">
        <f>+E67*$C69</f>
        <v>13.654098004152941</v>
      </c>
      <c r="F69" s="408">
        <f>+F67*$C69</f>
        <v>8.4094862111159436</v>
      </c>
      <c r="G69" s="409">
        <f>+G59*$C69</f>
        <v>-5.2728525337777388</v>
      </c>
      <c r="H69" s="410">
        <f>IF(E69=0,"",F69/E69)</f>
        <v>0.61589467195549419</v>
      </c>
      <c r="I69" s="411">
        <f>+I67*$C69</f>
        <v>14.626373134363929</v>
      </c>
      <c r="J69" s="411">
        <f>+J67*$C69</f>
        <v>14.626373134363929</v>
      </c>
      <c r="K69" s="408">
        <f>+K67*$C69</f>
        <v>8.7094417336405812</v>
      </c>
      <c r="L69" s="409">
        <f>+L59*$C69</f>
        <v>-5.8886906599826077</v>
      </c>
      <c r="M69" s="410">
        <f>IF(J69=0,"",K69/J69)</f>
        <v>0.5954614758991883</v>
      </c>
      <c r="N69" s="411">
        <f>+N67*$C69</f>
        <v>28.280471138516873</v>
      </c>
      <c r="O69" s="411">
        <f>+O67*$C69</f>
        <v>28.280471138516873</v>
      </c>
      <c r="P69" s="408">
        <f>+P67*$C69</f>
        <v>17.118927944756525</v>
      </c>
      <c r="Q69" s="409">
        <f>+Q59*$C69</f>
        <v>-11.161543193760346</v>
      </c>
      <c r="R69" s="454">
        <f>IF(O69=0,"",P69/O69)</f>
        <v>0.60532682998485232</v>
      </c>
      <c r="S69" s="407"/>
      <c r="T69" s="411"/>
      <c r="U69" s="408">
        <v>13.2</v>
      </c>
      <c r="V69" s="409">
        <f>+U69-T69</f>
        <v>13.2</v>
      </c>
      <c r="W69" s="454" t="str">
        <f>IF(T69=0,"",U69/T69)</f>
        <v/>
      </c>
      <c r="X69" s="407">
        <v>13.2</v>
      </c>
      <c r="Y69" s="411">
        <v>13.2</v>
      </c>
      <c r="Z69" s="408">
        <v>13.2</v>
      </c>
      <c r="AA69" s="409">
        <f>+Z69-Y69</f>
        <v>0</v>
      </c>
      <c r="AB69" s="412">
        <f>IF(Y69=0,"",Z69/Y69)</f>
        <v>1</v>
      </c>
      <c r="AC69" s="333">
        <f t="shared" ref="AC69:AE72" si="48">+N69+S69+X69</f>
        <v>41.480471138516876</v>
      </c>
      <c r="AD69" s="331">
        <f t="shared" si="48"/>
        <v>41.480471138516876</v>
      </c>
      <c r="AE69" s="408">
        <f t="shared" si="48"/>
        <v>43.518927944756527</v>
      </c>
      <c r="AF69" s="333">
        <f>AE69-AD69</f>
        <v>2.0384568062396511</v>
      </c>
      <c r="AG69" s="334">
        <f>IF(AD69=0,"",AE69/AD69)</f>
        <v>1.0491425663761769</v>
      </c>
    </row>
    <row r="70" spans="2:33" x14ac:dyDescent="0.45">
      <c r="B70" s="633" t="s">
        <v>127</v>
      </c>
      <c r="C70" s="634"/>
      <c r="D70" s="331">
        <f>+D67+D69</f>
        <v>696.35899821179999</v>
      </c>
      <c r="E70" s="331">
        <f>+E67+E69</f>
        <v>696.35899821179999</v>
      </c>
      <c r="F70" s="332">
        <f>+F67+F69</f>
        <v>428.88379676691312</v>
      </c>
      <c r="G70" s="333">
        <f>+G59+G69</f>
        <v>-268.91547922266466</v>
      </c>
      <c r="H70" s="334">
        <f>IF(E70=0,"",F70/E70)</f>
        <v>0.61589467195549419</v>
      </c>
      <c r="I70" s="331">
        <f>+I67+I69</f>
        <v>745.94502985256031</v>
      </c>
      <c r="J70" s="331">
        <f>+J67+J69</f>
        <v>745.94502985256031</v>
      </c>
      <c r="K70" s="332">
        <f>+K67+K69</f>
        <v>444.18152841566962</v>
      </c>
      <c r="L70" s="333">
        <f>+L59+L69</f>
        <v>-300.32322365911301</v>
      </c>
      <c r="M70" s="334">
        <f>IF(J70=0,"",K70/J70)</f>
        <v>0.5954614758991883</v>
      </c>
      <c r="N70" s="331">
        <f>+N67+N69</f>
        <v>1442.3040280643604</v>
      </c>
      <c r="O70" s="331">
        <f>+O67+O69</f>
        <v>1442.3040280643604</v>
      </c>
      <c r="P70" s="332">
        <f>+P67+P69</f>
        <v>873.06532518258268</v>
      </c>
      <c r="Q70" s="333">
        <f>+Q59+Q69</f>
        <v>-569.23870288177773</v>
      </c>
      <c r="R70" s="393">
        <f>IF(O70=0,"",P70/O70)</f>
        <v>0.60532682998485221</v>
      </c>
      <c r="S70" s="335">
        <f>+S67+S69</f>
        <v>0</v>
      </c>
      <c r="T70" s="331">
        <f>+T67+T69</f>
        <v>0</v>
      </c>
      <c r="U70" s="332">
        <f>+U67+U69</f>
        <v>292.678</v>
      </c>
      <c r="V70" s="333">
        <f>+U70-T70</f>
        <v>292.678</v>
      </c>
      <c r="W70" s="393" t="str">
        <f>IF(T70=0,"",U70/T70)</f>
        <v/>
      </c>
      <c r="X70" s="335">
        <f>+X67+X69</f>
        <v>261.581912816</v>
      </c>
      <c r="Y70" s="331">
        <f>+Y67+Y69</f>
        <v>261.581912816</v>
      </c>
      <c r="Z70" s="332">
        <f>+Z67+Z69</f>
        <v>707.70868587777443</v>
      </c>
      <c r="AA70" s="333">
        <f>+Z70-Y70</f>
        <v>446.12677306177443</v>
      </c>
      <c r="AB70" s="336">
        <f>IF(Y70=0,"",Z70/Y70)</f>
        <v>2.7054954918675342</v>
      </c>
      <c r="AC70" s="333">
        <f t="shared" si="48"/>
        <v>1703.8859408803605</v>
      </c>
      <c r="AD70" s="331">
        <f t="shared" si="48"/>
        <v>1703.8859408803605</v>
      </c>
      <c r="AE70" s="332">
        <f t="shared" si="48"/>
        <v>1873.4520110603571</v>
      </c>
      <c r="AF70" s="333">
        <f>AE70-AD70</f>
        <v>169.56607017999659</v>
      </c>
      <c r="AG70" s="334">
        <f>IF(AD70=0,"",AE70/AD70)</f>
        <v>1.0995172658636914</v>
      </c>
    </row>
    <row r="71" spans="2:33" ht="18.600000000000001" thickBot="1" x14ac:dyDescent="0.5">
      <c r="B71" s="455" t="s">
        <v>461</v>
      </c>
      <c r="C71" s="456">
        <v>0.1</v>
      </c>
      <c r="D71" s="338">
        <f>+D70*$C71</f>
        <v>69.635899821180004</v>
      </c>
      <c r="E71" s="338">
        <f>+E70*$C71</f>
        <v>69.635899821180004</v>
      </c>
      <c r="F71" s="339">
        <f>+F70*$C71</f>
        <v>42.888379676691315</v>
      </c>
      <c r="G71" s="340">
        <f>+G70*$C71</f>
        <v>-26.891547922266469</v>
      </c>
      <c r="H71" s="341">
        <f>IF(E71=0,"",F71/E71)</f>
        <v>0.61589467195549419</v>
      </c>
      <c r="I71" s="338">
        <f>+I70*$C71</f>
        <v>74.594502985256028</v>
      </c>
      <c r="J71" s="338">
        <f>+J70*$C71</f>
        <v>74.594502985256028</v>
      </c>
      <c r="K71" s="339">
        <f>+K70*$C71</f>
        <v>44.418152841566965</v>
      </c>
      <c r="L71" s="340">
        <f>+L70*$C71</f>
        <v>-30.032322365911302</v>
      </c>
      <c r="M71" s="341">
        <f>IF(J71=0,"",K71/J71)</f>
        <v>0.5954614758991883</v>
      </c>
      <c r="N71" s="338">
        <f>+N70*$C71</f>
        <v>144.23040280643605</v>
      </c>
      <c r="O71" s="338">
        <f>+O70*$C71</f>
        <v>144.23040280643605</v>
      </c>
      <c r="P71" s="339">
        <f>+P70*$C71</f>
        <v>87.30653251825828</v>
      </c>
      <c r="Q71" s="340">
        <f>+Q70*$C71</f>
        <v>-56.923870288177774</v>
      </c>
      <c r="R71" s="402">
        <f>IF(O71=0,"",P71/O71)</f>
        <v>0.60532682998485232</v>
      </c>
      <c r="S71" s="342">
        <f>+S70*$C71</f>
        <v>0</v>
      </c>
      <c r="T71" s="338">
        <f>+T70*$C71</f>
        <v>0</v>
      </c>
      <c r="U71" s="339">
        <f>+U70*$C71</f>
        <v>29.267800000000001</v>
      </c>
      <c r="V71" s="340">
        <f>+U71-T71</f>
        <v>29.267800000000001</v>
      </c>
      <c r="W71" s="402" t="str">
        <f>IF(T71=0,"",U71/T71)</f>
        <v/>
      </c>
      <c r="X71" s="342">
        <f>+X70*$C71</f>
        <v>26.158191281600001</v>
      </c>
      <c r="Y71" s="338">
        <f>+Y70*$C71</f>
        <v>26.158191281600001</v>
      </c>
      <c r="Z71" s="339">
        <f>+Z70*$C71</f>
        <v>70.770868587777443</v>
      </c>
      <c r="AA71" s="340">
        <f>+Z71-Y71</f>
        <v>44.612677306177446</v>
      </c>
      <c r="AB71" s="343">
        <f>IF(Y71=0,"",Z71/Y71)</f>
        <v>2.7054954918675342</v>
      </c>
      <c r="AC71" s="340">
        <f t="shared" si="48"/>
        <v>170.38859408803606</v>
      </c>
      <c r="AD71" s="338">
        <f t="shared" si="48"/>
        <v>170.38859408803606</v>
      </c>
      <c r="AE71" s="339">
        <f t="shared" si="48"/>
        <v>187.34520110603572</v>
      </c>
      <c r="AF71" s="340">
        <f>AE71-AD71</f>
        <v>16.956607017999659</v>
      </c>
      <c r="AG71" s="341">
        <f>IF(AD71=0,"",AE71/AD71)</f>
        <v>1.0995172658636914</v>
      </c>
    </row>
    <row r="72" spans="2:33" ht="18.600000000000001" thickBot="1" x14ac:dyDescent="0.5">
      <c r="B72" s="623" t="s">
        <v>462</v>
      </c>
      <c r="C72" s="624"/>
      <c r="D72" s="315">
        <f>+D70+D71</f>
        <v>765.99489803298002</v>
      </c>
      <c r="E72" s="315">
        <f>+E70+E71</f>
        <v>765.99489803298002</v>
      </c>
      <c r="F72" s="457">
        <f>+F70+F71</f>
        <v>471.77217644360445</v>
      </c>
      <c r="G72" s="317">
        <f>+G70+G71</f>
        <v>-295.80702714493111</v>
      </c>
      <c r="H72" s="318">
        <f>IF(E72=0,"",F72/E72)</f>
        <v>0.61589467195549419</v>
      </c>
      <c r="I72" s="315">
        <f>+I70+I71</f>
        <v>820.5395328378163</v>
      </c>
      <c r="J72" s="315">
        <f>+J70+J71</f>
        <v>820.5395328378163</v>
      </c>
      <c r="K72" s="457">
        <f>+K70+K71</f>
        <v>488.59968125723657</v>
      </c>
      <c r="L72" s="317">
        <f>+L70+L71</f>
        <v>-330.3555460250243</v>
      </c>
      <c r="M72" s="318">
        <f>IF(J72=0,"",K72/J72)</f>
        <v>0.5954614758991883</v>
      </c>
      <c r="N72" s="315">
        <f>+N70+N71</f>
        <v>1586.5344308707965</v>
      </c>
      <c r="O72" s="315">
        <f>+O70+O71</f>
        <v>1586.5344308707965</v>
      </c>
      <c r="P72" s="457">
        <f>+P70+P71</f>
        <v>960.37185770084102</v>
      </c>
      <c r="Q72" s="317">
        <f>+Q70+Q71</f>
        <v>-626.16257316995552</v>
      </c>
      <c r="R72" s="385">
        <f>IF(O72=0,"",P72/O72)</f>
        <v>0.60532682998485232</v>
      </c>
      <c r="S72" s="319">
        <f>+S70+S71</f>
        <v>0</v>
      </c>
      <c r="T72" s="315">
        <f>+T70+T71</f>
        <v>0</v>
      </c>
      <c r="U72" s="457">
        <f>+U70+U71</f>
        <v>321.94580000000002</v>
      </c>
      <c r="V72" s="317">
        <f>+U72-T72</f>
        <v>321.94580000000002</v>
      </c>
      <c r="W72" s="385" t="str">
        <f>IF(T72=0,"",U72/T72)</f>
        <v/>
      </c>
      <c r="X72" s="319">
        <f>+X70+X71</f>
        <v>287.74010409760001</v>
      </c>
      <c r="Y72" s="315">
        <f>+Y70+Y71</f>
        <v>287.74010409760001</v>
      </c>
      <c r="Z72" s="457">
        <f>+Z70+Z71</f>
        <v>778.47955446555193</v>
      </c>
      <c r="AA72" s="317">
        <f>+Z72-Y72</f>
        <v>490.73945036795192</v>
      </c>
      <c r="AB72" s="320">
        <f>IF(Y72=0,"",Z72/Y72)</f>
        <v>2.7054954918675347</v>
      </c>
      <c r="AC72" s="317">
        <f t="shared" si="48"/>
        <v>1874.2745349683964</v>
      </c>
      <c r="AD72" s="315">
        <f t="shared" si="48"/>
        <v>1874.2745349683964</v>
      </c>
      <c r="AE72" s="457">
        <f t="shared" si="48"/>
        <v>2060.7972121663929</v>
      </c>
      <c r="AF72" s="317">
        <f>AE72-AD72</f>
        <v>186.52267719799647</v>
      </c>
      <c r="AG72" s="320">
        <f>IF(AD72=0,"",AE72/AD72)</f>
        <v>1.0995172658636914</v>
      </c>
    </row>
    <row r="73" spans="2:33" x14ac:dyDescent="0.45">
      <c r="K73" s="458" t="s">
        <v>463</v>
      </c>
      <c r="Z73" s="459" t="s">
        <v>464</v>
      </c>
      <c r="AB73" s="459"/>
      <c r="AC73" s="460"/>
      <c r="AD73" s="460"/>
      <c r="AE73" s="460"/>
      <c r="AF73" s="461"/>
      <c r="AG73" s="462"/>
    </row>
    <row r="74" spans="2:33" x14ac:dyDescent="0.45">
      <c r="K74" s="458"/>
    </row>
    <row r="75" spans="2:33" x14ac:dyDescent="0.45">
      <c r="D75" s="292" t="s">
        <v>558</v>
      </c>
      <c r="F75" s="656">
        <v>387.33</v>
      </c>
      <c r="K75" s="656">
        <v>427.37</v>
      </c>
    </row>
  </sheetData>
  <mergeCells count="57">
    <mergeCell ref="B12:C12"/>
    <mergeCell ref="AE1:AG1"/>
    <mergeCell ref="AL1:AN1"/>
    <mergeCell ref="D2:H2"/>
    <mergeCell ref="I2:M2"/>
    <mergeCell ref="N2:R2"/>
    <mergeCell ref="S2:W2"/>
    <mergeCell ref="X2:AB2"/>
    <mergeCell ref="AC2:AG2"/>
    <mergeCell ref="B5:C5"/>
    <mergeCell ref="B7:C7"/>
    <mergeCell ref="B8:C8"/>
    <mergeCell ref="B9:C9"/>
    <mergeCell ref="B10:C10"/>
    <mergeCell ref="B25:C25"/>
    <mergeCell ref="B13:C13"/>
    <mergeCell ref="B14:C14"/>
    <mergeCell ref="B15:C15"/>
    <mergeCell ref="B17:C17"/>
    <mergeCell ref="B18:C18"/>
    <mergeCell ref="B19:C19"/>
    <mergeCell ref="B20:C20"/>
    <mergeCell ref="B21:C21"/>
    <mergeCell ref="B22:C22"/>
    <mergeCell ref="B23:C23"/>
    <mergeCell ref="B24:C24"/>
    <mergeCell ref="B45:C45"/>
    <mergeCell ref="B30:C30"/>
    <mergeCell ref="B32:C32"/>
    <mergeCell ref="B33:C33"/>
    <mergeCell ref="B34:C34"/>
    <mergeCell ref="B35:C35"/>
    <mergeCell ref="B37:C37"/>
    <mergeCell ref="B38:C38"/>
    <mergeCell ref="B40:C40"/>
    <mergeCell ref="B41:C41"/>
    <mergeCell ref="B42:C42"/>
    <mergeCell ref="B43:C43"/>
    <mergeCell ref="B58:C58"/>
    <mergeCell ref="B46:C46"/>
    <mergeCell ref="B47:C47"/>
    <mergeCell ref="B48:C48"/>
    <mergeCell ref="B49:C49"/>
    <mergeCell ref="B50:C50"/>
    <mergeCell ref="B51:C51"/>
    <mergeCell ref="B52:C52"/>
    <mergeCell ref="B53:C53"/>
    <mergeCell ref="B54:C54"/>
    <mergeCell ref="B56:C56"/>
    <mergeCell ref="B57:C57"/>
    <mergeCell ref="B72:C72"/>
    <mergeCell ref="B59:C59"/>
    <mergeCell ref="C61:C62"/>
    <mergeCell ref="C63:C64"/>
    <mergeCell ref="B65:C65"/>
    <mergeCell ref="B67:C67"/>
    <mergeCell ref="B70:C70"/>
  </mergeCells>
  <phoneticPr fontId="5"/>
  <pageMargins left="0.39370078740157483" right="0" top="0" bottom="0" header="0" footer="0"/>
  <pageSetup paperSize="8" scale="69" orientation="portrait" r:id="rId1"/>
  <headerFooter>
    <oddHeader xml:space="preserve">&amp;R(1)②ｃ_TIVN業務委託費予算策定資料_2023年度版
</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D587E-D2B7-4B5E-9939-26008053B7D5}">
  <dimension ref="A1:I45"/>
  <sheetViews>
    <sheetView topLeftCell="D19" zoomScale="150" zoomScaleNormal="150" workbookViewId="0">
      <selection activeCell="K25" sqref="K25"/>
    </sheetView>
  </sheetViews>
  <sheetFormatPr defaultRowHeight="18" x14ac:dyDescent="0.45"/>
  <cols>
    <col min="2" max="2" width="10.296875" bestFit="1" customWidth="1"/>
    <col min="3" max="3" width="11.69921875" bestFit="1" customWidth="1"/>
    <col min="4" max="4" width="9.3984375" bestFit="1" customWidth="1"/>
    <col min="5" max="5" width="11.69921875" bestFit="1" customWidth="1"/>
    <col min="9" max="9" width="9" bestFit="1" customWidth="1"/>
    <col min="13" max="13" width="11.69921875" bestFit="1" customWidth="1"/>
    <col min="14" max="14" width="9.3984375" bestFit="1" customWidth="1"/>
    <col min="15" max="15" width="11.69921875" bestFit="1" customWidth="1"/>
  </cols>
  <sheetData>
    <row r="1" spans="1:9" x14ac:dyDescent="0.45">
      <c r="I1" s="1">
        <v>45230</v>
      </c>
    </row>
    <row r="2" spans="1:9" ht="15" customHeight="1" x14ac:dyDescent="0.45"/>
    <row r="3" spans="1:9" x14ac:dyDescent="0.45">
      <c r="A3" s="525" t="s">
        <v>465</v>
      </c>
      <c r="B3" s="526"/>
      <c r="C3" s="526"/>
      <c r="D3" s="526"/>
      <c r="E3" s="526"/>
      <c r="F3" s="526"/>
      <c r="G3" s="526"/>
      <c r="H3" s="526"/>
      <c r="I3" s="526"/>
    </row>
    <row r="4" spans="1:9" ht="15" customHeight="1" x14ac:dyDescent="0.45"/>
    <row r="5" spans="1:9" x14ac:dyDescent="0.45">
      <c r="A5" t="s">
        <v>466</v>
      </c>
    </row>
    <row r="6" spans="1:9" x14ac:dyDescent="0.45">
      <c r="A6" t="s">
        <v>467</v>
      </c>
    </row>
    <row r="7" spans="1:9" x14ac:dyDescent="0.45">
      <c r="A7" t="s">
        <v>468</v>
      </c>
    </row>
    <row r="8" spans="1:9" x14ac:dyDescent="0.45">
      <c r="A8" t="s">
        <v>469</v>
      </c>
    </row>
    <row r="9" spans="1:9" ht="12.6" customHeight="1" x14ac:dyDescent="0.45"/>
    <row r="10" spans="1:9" x14ac:dyDescent="0.45">
      <c r="A10" s="2" t="s">
        <v>470</v>
      </c>
    </row>
    <row r="11" spans="1:9" x14ac:dyDescent="0.45">
      <c r="A11" t="s">
        <v>471</v>
      </c>
    </row>
    <row r="12" spans="1:9" x14ac:dyDescent="0.45">
      <c r="A12" s="19" t="s">
        <v>472</v>
      </c>
    </row>
    <row r="13" spans="1:9" x14ac:dyDescent="0.45">
      <c r="A13" s="19" t="s">
        <v>473</v>
      </c>
    </row>
    <row r="14" spans="1:9" x14ac:dyDescent="0.45">
      <c r="A14" s="20" t="s">
        <v>474</v>
      </c>
      <c r="B14" s="21"/>
    </row>
    <row r="15" spans="1:9" x14ac:dyDescent="0.45">
      <c r="A15" s="19" t="s">
        <v>475</v>
      </c>
    </row>
    <row r="16" spans="1:9" ht="12.6" customHeight="1" x14ac:dyDescent="0.45"/>
    <row r="17" spans="1:7" x14ac:dyDescent="0.45">
      <c r="A17" s="2" t="s">
        <v>476</v>
      </c>
    </row>
    <row r="18" spans="1:7" x14ac:dyDescent="0.45">
      <c r="A18" t="s">
        <v>46</v>
      </c>
    </row>
    <row r="26" spans="1:7" ht="12.6" customHeight="1" x14ac:dyDescent="0.45"/>
    <row r="27" spans="1:7" ht="18.600000000000001" thickBot="1" x14ac:dyDescent="0.5">
      <c r="A27" t="s">
        <v>8</v>
      </c>
      <c r="E27" t="s">
        <v>47</v>
      </c>
    </row>
    <row r="28" spans="1:7" ht="18.600000000000001" thickBot="1" x14ac:dyDescent="0.5">
      <c r="A28" t="s">
        <v>9</v>
      </c>
      <c r="B28" s="465">
        <f>'参考_APIC(2023年度) '!AV113*1000</f>
        <v>22915.058988762685</v>
      </c>
      <c r="C28" t="s">
        <v>10</v>
      </c>
      <c r="D28" t="s">
        <v>477</v>
      </c>
      <c r="E28" s="466">
        <f>B28/12</f>
        <v>1909.588249063557</v>
      </c>
      <c r="F28" s="467" t="s">
        <v>116</v>
      </c>
      <c r="G28" t="s">
        <v>478</v>
      </c>
    </row>
    <row r="29" spans="1:7" ht="18.600000000000001" thickBot="1" x14ac:dyDescent="0.5">
      <c r="A29" t="s">
        <v>12</v>
      </c>
      <c r="B29" s="464">
        <f>'参考_BTNB(2023年度) '!AT114*1000</f>
        <v>6243.823184163638</v>
      </c>
      <c r="C29" t="s">
        <v>10</v>
      </c>
      <c r="D29" t="s">
        <v>477</v>
      </c>
      <c r="E29" s="468">
        <f>B29/12</f>
        <v>520.31859868030313</v>
      </c>
      <c r="F29" s="469" t="s">
        <v>116</v>
      </c>
      <c r="G29" t="s">
        <v>478</v>
      </c>
    </row>
    <row r="30" spans="1:7" ht="12.6" customHeight="1" x14ac:dyDescent="0.45"/>
    <row r="31" spans="1:7" x14ac:dyDescent="0.45">
      <c r="A31" t="s">
        <v>53</v>
      </c>
    </row>
    <row r="32" spans="1:7" x14ac:dyDescent="0.45">
      <c r="A32" t="s">
        <v>479</v>
      </c>
    </row>
    <row r="33" spans="1:9" x14ac:dyDescent="0.45">
      <c r="A33" t="s">
        <v>55</v>
      </c>
    </row>
    <row r="34" spans="1:9" ht="12.6" customHeight="1" x14ac:dyDescent="0.45"/>
    <row r="35" spans="1:9" x14ac:dyDescent="0.45">
      <c r="A35" s="15" t="s">
        <v>480</v>
      </c>
      <c r="B35" s="16"/>
      <c r="C35" s="16"/>
      <c r="D35" s="16"/>
      <c r="E35" s="16"/>
      <c r="F35" s="16"/>
      <c r="G35" s="16"/>
      <c r="H35" s="16"/>
      <c r="I35" s="16"/>
    </row>
    <row r="36" spans="1:9" x14ac:dyDescent="0.45">
      <c r="A36" s="16" t="s">
        <v>481</v>
      </c>
      <c r="B36" s="16"/>
      <c r="C36" s="16"/>
      <c r="D36" s="16"/>
      <c r="E36" s="16"/>
      <c r="F36" s="16"/>
      <c r="G36" s="16"/>
      <c r="H36" s="16"/>
      <c r="I36" s="16"/>
    </row>
    <row r="37" spans="1:9" x14ac:dyDescent="0.45">
      <c r="A37" s="16" t="s">
        <v>482</v>
      </c>
      <c r="B37" s="16"/>
      <c r="C37" s="16"/>
      <c r="D37" s="16"/>
      <c r="E37" s="16"/>
      <c r="F37" s="16"/>
      <c r="G37" s="16"/>
      <c r="H37" s="16"/>
      <c r="I37" s="16"/>
    </row>
    <row r="38" spans="1:9" x14ac:dyDescent="0.45">
      <c r="A38" s="16" t="s">
        <v>483</v>
      </c>
      <c r="B38" s="16"/>
      <c r="C38" s="16"/>
      <c r="D38" s="16"/>
      <c r="E38" s="16"/>
      <c r="F38" s="16"/>
      <c r="G38" s="16"/>
      <c r="H38" s="16"/>
      <c r="I38" s="16"/>
    </row>
    <row r="39" spans="1:9" x14ac:dyDescent="0.45">
      <c r="A39" s="16" t="s">
        <v>484</v>
      </c>
      <c r="B39" s="16"/>
      <c r="C39" s="16"/>
      <c r="D39" s="16"/>
      <c r="E39" s="16"/>
      <c r="F39" s="16"/>
      <c r="G39" s="16"/>
      <c r="H39" s="16"/>
      <c r="I39" s="16"/>
    </row>
    <row r="40" spans="1:9" ht="8.4" customHeight="1" x14ac:dyDescent="0.45"/>
    <row r="41" spans="1:9" x14ac:dyDescent="0.45">
      <c r="A41" s="471" t="s">
        <v>485</v>
      </c>
      <c r="B41" s="470"/>
      <c r="C41" s="470"/>
      <c r="D41" s="470"/>
      <c r="E41" s="470"/>
      <c r="F41" s="470"/>
      <c r="G41" s="470"/>
      <c r="H41" s="470"/>
      <c r="I41" s="470"/>
    </row>
    <row r="42" spans="1:9" x14ac:dyDescent="0.45">
      <c r="A42" s="470" t="s">
        <v>486</v>
      </c>
      <c r="B42" s="470"/>
      <c r="C42" s="470"/>
      <c r="D42" s="470"/>
      <c r="E42" s="470"/>
      <c r="F42" s="470"/>
      <c r="G42" s="470"/>
      <c r="H42" s="470"/>
      <c r="I42" s="470"/>
    </row>
    <row r="43" spans="1:9" x14ac:dyDescent="0.45">
      <c r="A43" s="470" t="s">
        <v>487</v>
      </c>
      <c r="B43" s="470"/>
      <c r="C43" s="470"/>
      <c r="D43" s="470"/>
      <c r="E43" s="470"/>
      <c r="F43" s="470"/>
      <c r="G43" s="470"/>
      <c r="H43" s="470"/>
      <c r="I43" s="470"/>
    </row>
    <row r="45" spans="1:9" x14ac:dyDescent="0.45">
      <c r="I45" t="s">
        <v>23</v>
      </c>
    </row>
  </sheetData>
  <mergeCells count="1">
    <mergeCell ref="A3:I3"/>
  </mergeCells>
  <phoneticPr fontId="5"/>
  <pageMargins left="0.31496062992125984" right="0.31496062992125984" top="0.35433070866141736" bottom="0.35433070866141736" header="0.11811023622047245" footer="0.11811023622047245"/>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B6D6D-8474-41F4-9934-BD55D2AC82E3}">
  <dimension ref="A1:O59"/>
  <sheetViews>
    <sheetView workbookViewId="0"/>
  </sheetViews>
  <sheetFormatPr defaultRowHeight="18" x14ac:dyDescent="0.45"/>
  <cols>
    <col min="3" max="3" width="11.69921875" bestFit="1" customWidth="1"/>
    <col min="4" max="4" width="9.3984375" bestFit="1" customWidth="1"/>
    <col min="5" max="5" width="11.69921875" bestFit="1" customWidth="1"/>
    <col min="13" max="13" width="11.69921875" bestFit="1" customWidth="1"/>
    <col min="14" max="14" width="9.3984375" bestFit="1" customWidth="1"/>
    <col min="15" max="15" width="11.69921875" bestFit="1" customWidth="1"/>
  </cols>
  <sheetData>
    <row r="1" spans="1:9" x14ac:dyDescent="0.45">
      <c r="I1" s="1">
        <v>45184</v>
      </c>
    </row>
    <row r="3" spans="1:9" x14ac:dyDescent="0.45">
      <c r="A3" s="525" t="s">
        <v>465</v>
      </c>
      <c r="B3" s="526"/>
      <c r="C3" s="526"/>
      <c r="D3" s="526"/>
      <c r="E3" s="526"/>
      <c r="F3" s="526"/>
      <c r="G3" s="526"/>
      <c r="H3" s="526"/>
      <c r="I3" s="526"/>
    </row>
    <row r="5" spans="1:9" x14ac:dyDescent="0.45">
      <c r="A5" t="s">
        <v>488</v>
      </c>
    </row>
    <row r="6" spans="1:9" x14ac:dyDescent="0.45">
      <c r="A6" t="s">
        <v>489</v>
      </c>
    </row>
    <row r="7" spans="1:9" x14ac:dyDescent="0.45">
      <c r="A7" t="s">
        <v>468</v>
      </c>
    </row>
    <row r="8" spans="1:9" x14ac:dyDescent="0.45">
      <c r="A8" t="s">
        <v>490</v>
      </c>
    </row>
    <row r="10" spans="1:9" x14ac:dyDescent="0.45">
      <c r="A10" s="2" t="s">
        <v>491</v>
      </c>
    </row>
    <row r="11" spans="1:9" x14ac:dyDescent="0.45">
      <c r="A11" t="s">
        <v>492</v>
      </c>
    </row>
    <row r="12" spans="1:9" x14ac:dyDescent="0.45">
      <c r="A12" t="s">
        <v>493</v>
      </c>
    </row>
    <row r="13" spans="1:9" x14ac:dyDescent="0.45">
      <c r="A13" t="s">
        <v>494</v>
      </c>
    </row>
    <row r="14" spans="1:9" x14ac:dyDescent="0.45">
      <c r="A14" t="s">
        <v>495</v>
      </c>
    </row>
    <row r="15" spans="1:9" x14ac:dyDescent="0.45">
      <c r="A15" t="s">
        <v>496</v>
      </c>
    </row>
    <row r="16" spans="1:9" x14ac:dyDescent="0.45">
      <c r="A16" t="s">
        <v>497</v>
      </c>
    </row>
    <row r="17" spans="1:15" x14ac:dyDescent="0.45">
      <c r="A17" t="s">
        <v>498</v>
      </c>
    </row>
    <row r="18" spans="1:15" x14ac:dyDescent="0.45">
      <c r="A18" t="s">
        <v>499</v>
      </c>
    </row>
    <row r="20" spans="1:15" x14ac:dyDescent="0.45">
      <c r="A20" s="2" t="s">
        <v>500</v>
      </c>
    </row>
    <row r="21" spans="1:15" x14ac:dyDescent="0.45">
      <c r="A21" t="s">
        <v>501</v>
      </c>
    </row>
    <row r="22" spans="1:15" x14ac:dyDescent="0.45">
      <c r="A22" t="s">
        <v>502</v>
      </c>
    </row>
    <row r="23" spans="1:15" x14ac:dyDescent="0.45">
      <c r="A23" t="s">
        <v>503</v>
      </c>
    </row>
    <row r="24" spans="1:15" x14ac:dyDescent="0.45">
      <c r="A24" t="s">
        <v>504</v>
      </c>
    </row>
    <row r="25" spans="1:15" x14ac:dyDescent="0.45">
      <c r="A25" t="s">
        <v>505</v>
      </c>
    </row>
    <row r="26" spans="1:15" x14ac:dyDescent="0.45">
      <c r="A26" t="s">
        <v>506</v>
      </c>
    </row>
    <row r="27" spans="1:15" x14ac:dyDescent="0.45">
      <c r="A27" t="s">
        <v>507</v>
      </c>
      <c r="K27" t="s">
        <v>508</v>
      </c>
    </row>
    <row r="28" spans="1:15" x14ac:dyDescent="0.45">
      <c r="A28" t="s">
        <v>509</v>
      </c>
      <c r="K28" s="3" t="s">
        <v>510</v>
      </c>
      <c r="L28" s="3"/>
      <c r="M28" s="4" t="s">
        <v>511</v>
      </c>
      <c r="N28" s="4"/>
      <c r="O28" s="4"/>
    </row>
    <row r="29" spans="1:15" x14ac:dyDescent="0.45">
      <c r="A29" t="s">
        <v>512</v>
      </c>
      <c r="K29" s="5" t="s">
        <v>513</v>
      </c>
      <c r="L29" s="5" t="s">
        <v>514</v>
      </c>
      <c r="M29" s="6" t="s">
        <v>515</v>
      </c>
      <c r="N29" s="6" t="s">
        <v>516</v>
      </c>
      <c r="O29" s="5" t="s">
        <v>517</v>
      </c>
    </row>
    <row r="30" spans="1:15" x14ac:dyDescent="0.45">
      <c r="A30" t="s">
        <v>518</v>
      </c>
      <c r="K30" s="7" t="s">
        <v>519</v>
      </c>
      <c r="L30" s="8" t="s">
        <v>520</v>
      </c>
      <c r="M30" s="12">
        <v>31171.119999999999</v>
      </c>
      <c r="N30" s="12">
        <v>825.64</v>
      </c>
      <c r="O30" s="12">
        <v>31996.76</v>
      </c>
    </row>
    <row r="31" spans="1:15" x14ac:dyDescent="0.45">
      <c r="K31" s="9" t="s">
        <v>521</v>
      </c>
      <c r="L31" s="8" t="s">
        <v>522</v>
      </c>
      <c r="M31" s="12">
        <v>31171.059999999998</v>
      </c>
      <c r="N31" s="12">
        <v>825.63</v>
      </c>
      <c r="O31" s="12">
        <v>31996.69</v>
      </c>
    </row>
    <row r="32" spans="1:15" x14ac:dyDescent="0.45">
      <c r="A32" s="15" t="s">
        <v>523</v>
      </c>
      <c r="B32" s="16"/>
      <c r="C32" s="16"/>
      <c r="D32" s="16"/>
      <c r="E32" s="16"/>
      <c r="F32" s="16"/>
      <c r="G32" s="16"/>
      <c r="H32" s="16"/>
      <c r="I32" s="16"/>
      <c r="K32" s="10" t="s">
        <v>524</v>
      </c>
      <c r="L32" s="10"/>
      <c r="M32" s="13">
        <v>62342.179999999993</v>
      </c>
      <c r="N32" s="13">
        <v>1651.27</v>
      </c>
      <c r="O32" s="13">
        <v>63993.45</v>
      </c>
    </row>
    <row r="33" spans="1:15" x14ac:dyDescent="0.45">
      <c r="A33" s="16" t="s">
        <v>525</v>
      </c>
      <c r="B33" s="16"/>
      <c r="C33" s="16"/>
      <c r="D33" s="16"/>
      <c r="E33" s="16"/>
      <c r="F33" s="16"/>
      <c r="G33" s="16"/>
      <c r="H33" s="16"/>
      <c r="I33" s="16"/>
      <c r="K33" s="7" t="s">
        <v>526</v>
      </c>
      <c r="L33" s="8" t="s">
        <v>520</v>
      </c>
      <c r="M33" s="12">
        <v>35443.96</v>
      </c>
      <c r="N33" s="12"/>
      <c r="O33" s="12">
        <v>35443.96</v>
      </c>
    </row>
    <row r="34" spans="1:15" x14ac:dyDescent="0.45">
      <c r="A34" s="16" t="s">
        <v>527</v>
      </c>
      <c r="B34" s="16"/>
      <c r="C34" s="16"/>
      <c r="D34" s="16"/>
      <c r="E34" s="16"/>
      <c r="F34" s="16"/>
      <c r="G34" s="16"/>
      <c r="H34" s="16"/>
      <c r="I34" s="16"/>
      <c r="K34" s="9" t="s">
        <v>528</v>
      </c>
      <c r="L34" s="8" t="s">
        <v>522</v>
      </c>
      <c r="M34" s="12">
        <v>35443.89</v>
      </c>
      <c r="N34" s="12"/>
      <c r="O34" s="12">
        <v>35443.89</v>
      </c>
    </row>
    <row r="35" spans="1:15" x14ac:dyDescent="0.45">
      <c r="A35" s="16" t="s">
        <v>529</v>
      </c>
      <c r="B35" s="16"/>
      <c r="C35" s="16"/>
      <c r="D35" s="16"/>
      <c r="E35" s="16"/>
      <c r="F35" s="16"/>
      <c r="G35" s="16"/>
      <c r="H35" s="16"/>
      <c r="I35" s="16"/>
      <c r="K35" s="10" t="s">
        <v>530</v>
      </c>
      <c r="L35" s="10"/>
      <c r="M35" s="13">
        <v>70887.850000000006</v>
      </c>
      <c r="N35" s="13"/>
      <c r="O35" s="13">
        <v>70887.850000000006</v>
      </c>
    </row>
    <row r="36" spans="1:15" x14ac:dyDescent="0.45">
      <c r="A36" s="16" t="s">
        <v>531</v>
      </c>
      <c r="B36" s="16"/>
      <c r="C36" s="16"/>
      <c r="D36" s="16"/>
      <c r="E36" s="16"/>
      <c r="F36" s="16"/>
      <c r="G36" s="16"/>
      <c r="H36" s="16"/>
      <c r="I36" s="16"/>
      <c r="K36" s="7" t="s">
        <v>532</v>
      </c>
      <c r="L36" s="8" t="s">
        <v>520</v>
      </c>
      <c r="M36" s="12">
        <v>27121.659999999993</v>
      </c>
      <c r="N36" s="12"/>
      <c r="O36" s="12">
        <v>27121.659999999993</v>
      </c>
    </row>
    <row r="37" spans="1:15" x14ac:dyDescent="0.45">
      <c r="A37" s="16" t="s">
        <v>533</v>
      </c>
      <c r="B37" s="16"/>
      <c r="C37" s="16"/>
      <c r="D37" s="16"/>
      <c r="E37" s="16"/>
      <c r="F37" s="16"/>
      <c r="G37" s="16"/>
      <c r="H37" s="16"/>
      <c r="I37" s="16"/>
      <c r="K37" s="9" t="s">
        <v>528</v>
      </c>
      <c r="L37" s="8" t="s">
        <v>522</v>
      </c>
      <c r="M37" s="12">
        <v>27121.609999999997</v>
      </c>
      <c r="N37" s="12"/>
      <c r="O37" s="12">
        <v>27121.609999999997</v>
      </c>
    </row>
    <row r="38" spans="1:15" x14ac:dyDescent="0.45">
      <c r="A38" s="16" t="s">
        <v>534</v>
      </c>
      <c r="B38" s="16"/>
      <c r="C38" s="16"/>
      <c r="D38" s="16"/>
      <c r="E38" s="16"/>
      <c r="F38" s="16"/>
      <c r="G38" s="16"/>
      <c r="H38" s="16"/>
      <c r="I38" s="16"/>
      <c r="K38" s="10" t="s">
        <v>535</v>
      </c>
      <c r="L38" s="10"/>
      <c r="M38" s="13">
        <v>54243.26999999999</v>
      </c>
      <c r="N38" s="13"/>
      <c r="O38" s="13">
        <v>54243.26999999999</v>
      </c>
    </row>
    <row r="39" spans="1:15" x14ac:dyDescent="0.45">
      <c r="A39" s="16" t="s">
        <v>536</v>
      </c>
      <c r="B39" s="16"/>
      <c r="C39" s="16"/>
      <c r="D39" s="16"/>
      <c r="E39" s="16"/>
      <c r="F39" s="16"/>
      <c r="G39" s="16"/>
      <c r="H39" s="16"/>
      <c r="I39" s="16"/>
      <c r="K39" s="7" t="s">
        <v>537</v>
      </c>
      <c r="L39" s="8" t="s">
        <v>520</v>
      </c>
      <c r="M39" s="12">
        <v>32335.760000000002</v>
      </c>
      <c r="N39" s="12"/>
      <c r="O39" s="12">
        <v>32335.760000000002</v>
      </c>
    </row>
    <row r="40" spans="1:15" x14ac:dyDescent="0.45">
      <c r="K40" s="9" t="s">
        <v>538</v>
      </c>
      <c r="L40" s="8" t="s">
        <v>522</v>
      </c>
      <c r="M40" s="12">
        <v>6680.1200000000008</v>
      </c>
      <c r="N40" s="12"/>
      <c r="O40" s="12">
        <v>6680.1200000000008</v>
      </c>
    </row>
    <row r="41" spans="1:15" ht="18.600000000000001" thickBot="1" x14ac:dyDescent="0.5">
      <c r="I41" t="s">
        <v>539</v>
      </c>
      <c r="K41" s="10" t="s">
        <v>540</v>
      </c>
      <c r="L41" s="10"/>
      <c r="M41" s="13">
        <v>39015.880000000005</v>
      </c>
      <c r="N41" s="13"/>
      <c r="O41" s="13">
        <v>39015.880000000005</v>
      </c>
    </row>
    <row r="42" spans="1:15" ht="18.600000000000001" thickTop="1" x14ac:dyDescent="0.45">
      <c r="K42" s="11" t="s">
        <v>517</v>
      </c>
      <c r="L42" s="11"/>
      <c r="M42" s="14">
        <v>226489.17999999996</v>
      </c>
      <c r="N42" s="14">
        <v>1651.27</v>
      </c>
      <c r="O42" s="14">
        <v>228140.44999999998</v>
      </c>
    </row>
    <row r="59" spans="9:9" x14ac:dyDescent="0.45">
      <c r="I59" t="s">
        <v>541</v>
      </c>
    </row>
  </sheetData>
  <mergeCells count="1">
    <mergeCell ref="A3:I3"/>
  </mergeCells>
  <phoneticPr fontId="5"/>
  <pageMargins left="0.31496062992125984" right="0.31496062992125984" top="0.35433070866141736" bottom="0.35433070866141736" header="0.11811023622047245" footer="0.11811023622047245"/>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C0D35B3FDFF245BC811781E578D927" ma:contentTypeVersion="13" ma:contentTypeDescription="新しいドキュメントを作成します。" ma:contentTypeScope="" ma:versionID="0496fa970bf3005425ecf015f932e371">
  <xsd:schema xmlns:xsd="http://www.w3.org/2001/XMLSchema" xmlns:xs="http://www.w3.org/2001/XMLSchema" xmlns:p="http://schemas.microsoft.com/office/2006/metadata/properties" xmlns:ns2="ddb17828-5cf6-4296-bb8c-53885dd0ecd8" xmlns:ns3="75b92c42-a6b2-4630-982f-c81563264bae" targetNamespace="http://schemas.microsoft.com/office/2006/metadata/properties" ma:root="true" ma:fieldsID="e65f5a0e1fe82901be3a49ee9579be50" ns2:_="" ns3:_="">
    <xsd:import namespace="ddb17828-5cf6-4296-bb8c-53885dd0ecd8"/>
    <xsd:import namespace="75b92c42-a6b2-4630-982f-c81563264bae"/>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3:MediaLengthInSeconds" minOccurs="0"/>
                <xsd:element ref="ns3:MediaServiceLocation" minOccurs="0"/>
                <xsd:element ref="ns3:lcf76f155ced4ddcb4097134ff3c332f" minOccurs="0"/>
                <xsd:element ref="ns2:TaxCatchAll"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b17828-5cf6-4296-bb8c-53885dd0ecd8"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TaxCatchAll" ma:index="22" nillable="true" ma:displayName="Taxonomy Catch All Column" ma:hidden="true" ma:list="{b57d275c-3725-4674-934e-92c991657a27}" ma:internalName="TaxCatchAll" ma:showField="CatchAllData" ma:web="ddb17828-5cf6-4296-bb8c-53885dd0ecd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5b92c42-a6b2-4630-982f-c81563264bae"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bfd5ddeb-6a09-454e-8303-770f669cf23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ddb17828-5cf6-4296-bb8c-53885dd0ecd8">KP5DPPH4TP2U-1821442116-11794</_dlc_DocId>
    <_dlc_DocIdUrl xmlns="ddb17828-5cf6-4296-bb8c-53885dd0ecd8">
      <Url>https://toraygroup01.sharepoint.com/sites/JP-TI-00002/_layouts/15/DocIdRedir.aspx?ID=KP5DPPH4TP2U-1821442116-11794</Url>
      <Description>KP5DPPH4TP2U-1821442116-11794</Description>
    </_dlc_DocIdUrl>
    <lcf76f155ced4ddcb4097134ff3c332f xmlns="75b92c42-a6b2-4630-982f-c81563264bae">
      <Terms xmlns="http://schemas.microsoft.com/office/infopath/2007/PartnerControls"/>
    </lcf76f155ced4ddcb4097134ff3c332f>
    <TaxCatchAll xmlns="ddb17828-5cf6-4296-bb8c-53885dd0ecd8" xsi:nil="true"/>
  </documentManagement>
</p:properties>
</file>

<file path=customXml/itemProps1.xml><?xml version="1.0" encoding="utf-8"?>
<ds:datastoreItem xmlns:ds="http://schemas.openxmlformats.org/officeDocument/2006/customXml" ds:itemID="{1F983EEA-E5EC-4DBA-B6CB-56A13E2EFC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db17828-5cf6-4296-bb8c-53885dd0ecd8"/>
    <ds:schemaRef ds:uri="75b92c42-a6b2-4630-982f-c81563264b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0ADCE9-2C68-4669-B21D-93CD84121E77}">
  <ds:schemaRefs>
    <ds:schemaRef ds:uri="http://schemas.microsoft.com/sharepoint/events"/>
  </ds:schemaRefs>
</ds:datastoreItem>
</file>

<file path=customXml/itemProps3.xml><?xml version="1.0" encoding="utf-8"?>
<ds:datastoreItem xmlns:ds="http://schemas.openxmlformats.org/officeDocument/2006/customXml" ds:itemID="{473B35C7-7F07-40AC-8C3F-D1C012DF9C02}">
  <ds:schemaRefs>
    <ds:schemaRef ds:uri="http://schemas.microsoft.com/sharepoint/v3/contenttype/forms"/>
  </ds:schemaRefs>
</ds:datastoreItem>
</file>

<file path=customXml/itemProps4.xml><?xml version="1.0" encoding="utf-8"?>
<ds:datastoreItem xmlns:ds="http://schemas.openxmlformats.org/officeDocument/2006/customXml" ds:itemID="{AB1E633F-7A87-4EF9-B43F-BEBEEE222FFE}">
  <ds:schemaRefs>
    <ds:schemaRef ds:uri="http://schemas.microsoft.com/office/2006/metadata/properties"/>
    <ds:schemaRef ds:uri="http://schemas.microsoft.com/office/infopath/2007/PartnerControls"/>
    <ds:schemaRef ds:uri="ddb17828-5cf6-4296-bb8c-53885dd0ecd8"/>
    <ds:schemaRef ds:uri="75b92c42-a6b2-4630-982f-c81563264bae"/>
  </ds:schemaRefs>
</ds:datastoreItem>
</file>

<file path=docMetadata/LabelInfo.xml><?xml version="1.0" encoding="utf-8"?>
<clbl:labelList xmlns:clbl="http://schemas.microsoft.com/office/2020/mipLabelMetadata">
  <clbl:label id="{808e8e4e-335e-475c-a857-3d2d1a28a81f}" enabled="0" method="" siteId="{808e8e4e-335e-475c-a857-3d2d1a28a81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4</vt:i4>
      </vt:variant>
    </vt:vector>
  </HeadingPairs>
  <TitlesOfParts>
    <vt:vector size="18" baseType="lpstr">
      <vt:lpstr>通関業者向けレター</vt:lpstr>
      <vt:lpstr>営業部向けレター</vt:lpstr>
      <vt:lpstr>20240130 TIVN議事録</vt:lpstr>
      <vt:lpstr>参考b_APIC(2024年度)</vt:lpstr>
      <vt:lpstr>参考b_BTNB(2024年度) </vt:lpstr>
      <vt:lpstr>参考a_年間支払額(2024予算策定）USD表記</vt:lpstr>
      <vt:lpstr>20231127 TIVN議事録</vt:lpstr>
      <vt:lpstr>エビデンス例（APIC）</vt:lpstr>
      <vt:lpstr>エビデンス例 (BTNB)</vt:lpstr>
      <vt:lpstr>参考_APIC(2023年度) </vt:lpstr>
      <vt:lpstr>参考_BTNB(2023年度) </vt:lpstr>
      <vt:lpstr>参考_年間支払額(2023予算策定）</vt:lpstr>
      <vt:lpstr>20231031 アジェンダ</vt:lpstr>
      <vt:lpstr>20230915</vt:lpstr>
      <vt:lpstr>'20231127 TIVN議事録'!Print_Area</vt:lpstr>
      <vt:lpstr>'参考_BTNB(2023年度) '!Print_Area</vt:lpstr>
      <vt:lpstr>'参考_年間支払額(2023予算策定）'!Print_Area</vt:lpstr>
      <vt:lpstr>'参考b_BTNB(2024年度) '!Print_Area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Tanaka Yukari</dc:creator>
  <cp:keywords/>
  <dc:description/>
  <cp:lastModifiedBy>Tanaka, Yukari/TI(JP)/田中 友香里(アパレル事業管理室アパレル物流課)</cp:lastModifiedBy>
  <cp:revision/>
  <cp:lastPrinted>2024-01-30T04:34:26Z</cp:lastPrinted>
  <dcterms:created xsi:type="dcterms:W3CDTF">2023-09-15T02:34:14Z</dcterms:created>
  <dcterms:modified xsi:type="dcterms:W3CDTF">2024-01-30T09:21:18Z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0x0101008AC0D35B3FDFF245BC811781E578D927</vt:lpwstr>
  </property>
  <property fmtid="{D5CDD505-2E9C-101B-9397-08002B2CF9AE}" pid="4" name="_dlc_DocIdItemGuid">
    <vt:lpwstr>45be323a-3a53-4172-ae7b-687cf5eae832</vt:lpwstr>
  </property>
</Properties>
</file>