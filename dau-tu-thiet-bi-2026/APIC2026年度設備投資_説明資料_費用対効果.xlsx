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表紙" sheetId="1" state="visible" r:id="rId3"/>
    <sheet name="01_前提条件" sheetId="2" state="visible" r:id="rId4"/>
    <sheet name="02_投資総括" sheetId="3" state="visible" r:id="rId5"/>
    <sheet name="05_ロック必要台数" sheetId="4" state="visible" r:id="rId6"/>
    <sheet name="06_サーボ電力" sheetId="5" state="visible" r:id="rId7"/>
    <sheet name="07_省人効果" sheetId="6" state="visible" r:id="rId8"/>
    <sheet name="08_PS運用設計" sheetId="7" state="visible" r:id="rId9"/>
    <sheet name="09_スポットプレス" sheetId="8" state="visible" r:id="rId10"/>
    <sheet name="10_平プレス検証" sheetId="9" state="visible" r:id="rId11"/>
    <sheet name="11_縮絨試験" sheetId="10" state="visible" r:id="rId12"/>
    <sheet name="12_レンタル費" sheetId="11" state="visible" r:id="rId13"/>
    <sheet name="13_費用対効果PL" sheetId="12" state="visible" r:id="rId14"/>
    <sheet name="14_原案チェック" sheetId="13" state="visible" r:id="rId15"/>
    <sheet name="03_要確認事項" sheetId="14" state="visible" r:id="rId16"/>
    <sheet name="04_機種別比較" sheetId="15" state="visible" r:id="rId17"/>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8" authorId="0">
      <text>
        <r>
          <rPr>
            <sz val="10"/>
            <rFont val="WenQuanYi Zen Hei"/>
            <family val="2"/>
          </rPr>
          <t xml:space="preserve">記入例：工程数と工程秒（</t>
        </r>
        <r>
          <rPr>
            <sz val="10"/>
            <rFont val="Arial"/>
            <family val="2"/>
          </rPr>
          <t xml:space="preserve">340/330/310</t>
        </r>
        <r>
          <rPr>
            <sz val="10"/>
            <rFont val="WenQuanYi Zen Hei"/>
            <family val="2"/>
          </rPr>
          <t xml:space="preserve">）は工場</t>
        </r>
        <r>
          <rPr>
            <sz val="10"/>
            <rFont val="Arial"/>
            <family val="2"/>
          </rPr>
          <t xml:space="preserve">raw data</t>
        </r>
        <r>
          <rPr>
            <sz val="10"/>
            <rFont val="WenQuanYi Zen Hei"/>
            <family val="2"/>
          </rPr>
          <t xml:space="preserve">の例。年間数量・自動縫製秒・並行作業秒は仮置きのため合計に含めない。</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5" authorId="0">
      <text>
        <r>
          <rPr>
            <sz val="10"/>
            <rFont val="WenQuanYi Zen Hei"/>
            <family val="2"/>
          </rPr>
          <t xml:space="preserve">旧型の現有台数を入力</t>
        </r>
      </text>
    </comment>
  </commentList>
</comments>
</file>

<file path=xl/sharedStrings.xml><?xml version="1.0" encoding="utf-8"?>
<sst xmlns="http://schemas.openxmlformats.org/spreadsheetml/2006/main" count="1165" uniqueCount="944">
  <si>
    <r>
      <rPr>
        <b val="true"/>
        <sz val="14"/>
        <color rgb="FF1F4E78"/>
        <rFont val="Meiryo UI"/>
        <family val="0"/>
        <charset val="1"/>
      </rPr>
      <t xml:space="preserve">APIC 2026</t>
    </r>
    <r>
      <rPr>
        <b val="true"/>
        <sz val="14"/>
        <color rgb="FF1F4E78"/>
        <rFont val="WenQuanYi Zen Hei"/>
        <family val="2"/>
      </rPr>
      <t xml:space="preserve">年度設備投資 説明資料（費用対効果）</t>
    </r>
  </si>
  <si>
    <r>
      <rPr>
        <i val="true"/>
        <sz val="9"/>
        <color rgb="FF595959"/>
        <rFont val="WenQuanYi Zen Hei"/>
        <family val="2"/>
      </rPr>
      <t xml:space="preserve">対象：</t>
    </r>
    <r>
      <rPr>
        <i val="true"/>
        <sz val="9"/>
        <color rgb="FF595959"/>
        <rFont val="Meiryo UI"/>
        <family val="0"/>
        <charset val="1"/>
      </rPr>
      <t xml:space="preserve">APIC2026</t>
    </r>
    <r>
      <rPr>
        <i val="true"/>
        <sz val="9"/>
        <color rgb="FF595959"/>
        <rFont val="WenQuanYi Zen Hei"/>
        <family val="2"/>
      </rPr>
      <t xml:space="preserve">年度設備投資予算案 </t>
    </r>
    <r>
      <rPr>
        <i val="true"/>
        <sz val="9"/>
        <color rgb="FF595959"/>
        <rFont val="Meiryo UI"/>
        <family val="0"/>
        <charset val="1"/>
      </rPr>
      <t xml:space="preserve">20260403</t>
    </r>
    <r>
      <rPr>
        <i val="true"/>
        <sz val="9"/>
        <color rgb="FF595959"/>
        <rFont val="WenQuanYi Zen Hei"/>
        <family val="2"/>
      </rPr>
      <t xml:space="preserve">版／</t>
    </r>
    <r>
      <rPr>
        <i val="true"/>
        <sz val="9"/>
        <color rgb="FF595959"/>
        <rFont val="Meiryo UI"/>
        <family val="0"/>
        <charset val="1"/>
      </rPr>
      <t xml:space="preserve">APIC–TI</t>
    </r>
    <r>
      <rPr>
        <i val="true"/>
        <sz val="9"/>
        <color rgb="FF595959"/>
        <rFont val="WenQuanYi Zen Hei"/>
        <family val="2"/>
      </rPr>
      <t xml:space="preserve">契約は</t>
    </r>
    <r>
      <rPr>
        <i val="true"/>
        <sz val="9"/>
        <color rgb="FF595959"/>
        <rFont val="Meiryo UI"/>
        <family val="0"/>
        <charset val="1"/>
      </rPr>
      <t xml:space="preserve">2029</t>
    </r>
    <r>
      <rPr>
        <i val="true"/>
        <sz val="9"/>
        <color rgb="FF595959"/>
        <rFont val="WenQuanYi Zen Hei"/>
        <family val="2"/>
      </rPr>
      <t xml:space="preserve">年</t>
    </r>
    <r>
      <rPr>
        <i val="true"/>
        <sz val="9"/>
        <color rgb="FF595959"/>
        <rFont val="Meiryo UI"/>
        <family val="0"/>
        <charset val="1"/>
      </rPr>
      <t xml:space="preserve">3</t>
    </r>
    <r>
      <rPr>
        <i val="true"/>
        <sz val="9"/>
        <color rgb="FF595959"/>
        <rFont val="WenQuanYi Zen Hei"/>
        <family val="2"/>
      </rPr>
      <t xml:space="preserve">月末まで延長確定</t>
    </r>
  </si>
  <si>
    <r>
      <rPr>
        <b val="true"/>
        <sz val="11"/>
        <color rgb="FF1F4E78"/>
        <rFont val="Meiryo UI"/>
        <family val="0"/>
        <charset val="1"/>
      </rPr>
      <t xml:space="preserve">1. </t>
    </r>
    <r>
      <rPr>
        <b val="true"/>
        <sz val="11"/>
        <color rgb="FF1F4E78"/>
        <rFont val="WenQuanYi Zen Hei"/>
        <family val="2"/>
      </rPr>
      <t xml:space="preserve">目的と方針</t>
    </r>
  </si>
  <si>
    <t xml:space="preserve">本当に必要な設備だけに投資する。選定理由は定性的な説明だけでなく、数字で確認できる費用対効果で示す。</t>
  </si>
  <si>
    <t xml:space="preserve">全機種の購入を証明しようとしない。必須投資（安全・顧客要求・生産継続）／改善投資（省人・工数削減・レンタル削減・品質）／戦略・検証投資（将来案件・トライアル）に分ける。</t>
  </si>
  <si>
    <t xml:space="preserve">説明の流れ：現状 → 課題 → 数値根拠 → 導入効果 → 費用対効果 → 投資妥当性 → 優先順位</t>
  </si>
  <si>
    <r>
      <rPr>
        <sz val="10"/>
        <rFont val="WenQuanYi Zen Hei"/>
        <family val="2"/>
      </rPr>
      <t xml:space="preserve">新規条件：</t>
    </r>
    <r>
      <rPr>
        <sz val="10"/>
        <rFont val="Meiryo UI"/>
        <family val="0"/>
        <charset val="1"/>
      </rPr>
      <t xml:space="preserve">APIC</t>
    </r>
    <r>
      <rPr>
        <sz val="10"/>
        <rFont val="WenQuanYi Zen Hei"/>
        <family val="2"/>
      </rPr>
      <t xml:space="preserve">が</t>
    </r>
    <r>
      <rPr>
        <sz val="10"/>
        <rFont val="Meiryo UI"/>
        <family val="0"/>
        <charset val="1"/>
      </rPr>
      <t xml:space="preserve">50,000USD</t>
    </r>
    <r>
      <rPr>
        <sz val="10"/>
        <rFont val="WenQuanYi Zen Hei"/>
        <family val="2"/>
      </rPr>
      <t xml:space="preserve">を負担。投資額は</t>
    </r>
    <r>
      <rPr>
        <sz val="10"/>
        <rFont val="Meiryo UI"/>
        <family val="0"/>
        <charset val="1"/>
      </rPr>
      <t xml:space="preserve">Suntool</t>
    </r>
    <r>
      <rPr>
        <sz val="10"/>
        <rFont val="WenQuanYi Zen Hei"/>
        <family val="2"/>
      </rPr>
      <t xml:space="preserve">を除き概ね</t>
    </r>
    <r>
      <rPr>
        <sz val="10"/>
        <rFont val="Meiryo UI"/>
        <family val="0"/>
        <charset val="1"/>
      </rPr>
      <t xml:space="preserve">4,000</t>
    </r>
    <r>
      <rPr>
        <sz val="10"/>
        <rFont val="WenQuanYi Zen Hei"/>
        <family val="2"/>
      </rPr>
      <t xml:space="preserve">万円以下。</t>
    </r>
  </si>
  <si>
    <r>
      <rPr>
        <b val="true"/>
        <sz val="11"/>
        <color rgb="FF1F4E78"/>
        <rFont val="Meiryo UI"/>
        <family val="0"/>
        <charset val="1"/>
      </rPr>
      <t xml:space="preserve">2. </t>
    </r>
    <r>
      <rPr>
        <b val="true"/>
        <sz val="11"/>
        <color rgb="FF1F4E78"/>
        <rFont val="WenQuanYi Zen Hei"/>
        <family val="2"/>
      </rPr>
      <t xml:space="preserve">主要数値（自動計算）</t>
    </r>
  </si>
  <si>
    <t xml:space="preserve">項目</t>
  </si>
  <si>
    <t xml:space="preserve">USD</t>
  </si>
  <si>
    <t xml:space="preserve">円</t>
  </si>
  <si>
    <t xml:space="preserve">備考</t>
  </si>
  <si>
    <t xml:space="preserve">原案（優先①）合計</t>
  </si>
  <si>
    <r>
      <rPr>
        <sz val="10"/>
        <rFont val="Meiryo UI"/>
        <family val="0"/>
        <charset val="1"/>
      </rPr>
      <t xml:space="preserve">4,000</t>
    </r>
    <r>
      <rPr>
        <sz val="10"/>
        <rFont val="WenQuanYi Zen Hei"/>
        <family val="2"/>
      </rPr>
      <t xml:space="preserve">万円を超過</t>
    </r>
  </si>
  <si>
    <t xml:space="preserve">調整案 合計</t>
  </si>
  <si>
    <r>
      <rPr>
        <sz val="10"/>
        <rFont val="WenQuanYi Zen Hei"/>
        <family val="2"/>
      </rPr>
      <t xml:space="preserve">スポットプレスは暫定台数（</t>
    </r>
    <r>
      <rPr>
        <sz val="10"/>
        <rFont val="Meiryo UI"/>
        <family val="0"/>
        <charset val="1"/>
      </rPr>
      <t xml:space="preserve">09</t>
    </r>
    <r>
      <rPr>
        <sz val="10"/>
        <rFont val="WenQuanYi Zen Hei"/>
        <family val="2"/>
      </rPr>
      <t xml:space="preserve">）</t>
    </r>
  </si>
  <si>
    <r>
      <rPr>
        <b val="true"/>
        <sz val="10"/>
        <rFont val="WenQuanYi Zen Hei"/>
        <family val="2"/>
      </rPr>
      <t xml:space="preserve">上限（</t>
    </r>
    <r>
      <rPr>
        <b val="true"/>
        <sz val="10"/>
        <rFont val="Meiryo UI"/>
        <family val="0"/>
        <charset val="1"/>
      </rPr>
      <t xml:space="preserve">4,000</t>
    </r>
    <r>
      <rPr>
        <b val="true"/>
        <sz val="10"/>
        <rFont val="WenQuanYi Zen Hei"/>
        <family val="2"/>
      </rPr>
      <t xml:space="preserve">万円）との差</t>
    </r>
  </si>
  <si>
    <t xml:space="preserve">＋＝上限内</t>
  </si>
  <si>
    <r>
      <rPr>
        <b val="true"/>
        <sz val="10"/>
        <rFont val="Meiryo UI"/>
        <family val="0"/>
        <charset val="1"/>
      </rPr>
      <t xml:space="preserve">APIC</t>
    </r>
    <r>
      <rPr>
        <b val="true"/>
        <sz val="10"/>
        <rFont val="WenQuanYi Zen Hei"/>
        <family val="2"/>
      </rPr>
      <t xml:space="preserve">負担</t>
    </r>
  </si>
  <si>
    <t xml:space="preserve">対象機種・資産保有・償却処理は要確認</t>
  </si>
  <si>
    <r>
      <rPr>
        <b val="true"/>
        <sz val="10"/>
        <rFont val="Meiryo UI"/>
        <family val="0"/>
        <charset val="1"/>
      </rPr>
      <t xml:space="preserve">TI</t>
    </r>
    <r>
      <rPr>
        <b val="true"/>
        <sz val="10"/>
        <rFont val="WenQuanYi Zen Hei"/>
        <family val="2"/>
      </rPr>
      <t xml:space="preserve">負担（調整案−</t>
    </r>
    <r>
      <rPr>
        <b val="true"/>
        <sz val="10"/>
        <rFont val="Meiryo UI"/>
        <family val="0"/>
        <charset val="1"/>
      </rPr>
      <t xml:space="preserve">APIC</t>
    </r>
    <r>
      <rPr>
        <b val="true"/>
        <sz val="10"/>
        <rFont val="WenQuanYi Zen Hei"/>
        <family val="2"/>
      </rPr>
      <t xml:space="preserve">負担）</t>
    </r>
  </si>
  <si>
    <r>
      <rPr>
        <b val="true"/>
        <sz val="11"/>
        <color rgb="FF1F4E78"/>
        <rFont val="Meiryo UI"/>
        <family val="0"/>
        <charset val="1"/>
      </rPr>
      <t xml:space="preserve">3. </t>
    </r>
    <r>
      <rPr>
        <b val="true"/>
        <sz val="11"/>
        <color rgb="FF1F4E78"/>
        <rFont val="WenQuanYi Zen Hei"/>
        <family val="2"/>
      </rPr>
      <t xml:space="preserve">シート構成</t>
    </r>
  </si>
  <si>
    <t xml:space="preserve">シート</t>
  </si>
  <si>
    <t xml:space="preserve">内容</t>
  </si>
  <si>
    <t xml:space="preserve">対応する要確認事項</t>
  </si>
  <si>
    <t xml:space="preserve">01_前提条件</t>
  </si>
  <si>
    <r>
      <rPr>
        <sz val="10"/>
        <rFont val="WenQuanYi Zen Hei"/>
        <family val="2"/>
      </rPr>
      <t xml:space="preserve">為替・稼働日・電気単価・償却年数・</t>
    </r>
    <r>
      <rPr>
        <sz val="10"/>
        <rFont val="Meiryo UI"/>
        <family val="0"/>
        <charset val="1"/>
      </rPr>
      <t xml:space="preserve">APIC</t>
    </r>
    <r>
      <rPr>
        <sz val="10"/>
        <rFont val="WenQuanYi Zen Hei"/>
        <family val="2"/>
      </rPr>
      <t xml:space="preserve">負担・上限などの前提（入力）</t>
    </r>
  </si>
  <si>
    <t xml:space="preserve">02_投資総括</t>
  </si>
  <si>
    <t xml:space="preserve">原案①と調整案の比較、投資区分、総額チェック、追加削減オプション</t>
  </si>
  <si>
    <t xml:space="preserve">④・新規条件</t>
  </si>
  <si>
    <t xml:space="preserve">03_要確認事項</t>
  </si>
  <si>
    <r>
      <rPr>
        <sz val="10"/>
        <rFont val="Meiryo UI"/>
        <family val="0"/>
        <charset val="1"/>
      </rPr>
      <t xml:space="preserve">3/25</t>
    </r>
    <r>
      <rPr>
        <sz val="10"/>
        <rFont val="WenQuanYi Zen Hei"/>
        <family val="2"/>
      </rPr>
      <t xml:space="preserve">要確認事項①〜⑦と新規条件への回答骨子・状態</t>
    </r>
  </si>
  <si>
    <t xml:space="preserve">全体</t>
  </si>
  <si>
    <t xml:space="preserve">04_機種別比較</t>
  </si>
  <si>
    <t xml:space="preserve">機種別：現状方式｜改善・代替案｜新設備案｜差分｜年間効果｜投資判断</t>
  </si>
  <si>
    <t xml:space="preserve">05_ロック必要台数</t>
  </si>
  <si>
    <t xml:space="preserve">ロックミシン必要台数（品種別標準台数→不足→借用・レンタル実績）</t>
  </si>
  <si>
    <t xml:space="preserve">①</t>
  </si>
  <si>
    <t xml:space="preserve">06_サーボ電力</t>
  </si>
  <si>
    <r>
      <rPr>
        <sz val="10"/>
        <rFont val="WenQuanYi Zen Hei"/>
        <family val="2"/>
      </rPr>
      <t xml:space="preserve">サーボ </t>
    </r>
    <r>
      <rPr>
        <sz val="10"/>
        <rFont val="Meiryo UI"/>
        <family val="0"/>
        <charset val="1"/>
      </rPr>
      <t xml:space="preserve">vs </t>
    </r>
    <r>
      <rPr>
        <sz val="10"/>
        <rFont val="WenQuanYi Zen Hei"/>
        <family val="2"/>
      </rPr>
      <t xml:space="preserve">クラッチの電力削減（副次効果）と品質・操作性</t>
    </r>
  </si>
  <si>
    <t xml:space="preserve">07_省人効果</t>
  </si>
  <si>
    <r>
      <rPr>
        <sz val="10"/>
        <rFont val="WenQuanYi Zen Hei"/>
        <family val="2"/>
      </rPr>
      <t xml:space="preserve">パターンシーマ／</t>
    </r>
    <r>
      <rPr>
        <sz val="10"/>
        <rFont val="Meiryo UI"/>
        <family val="0"/>
        <charset val="1"/>
      </rPr>
      <t xml:space="preserve">Spec-D</t>
    </r>
    <r>
      <rPr>
        <sz val="10"/>
        <rFont val="WenQuanYi Zen Hei"/>
        <family val="2"/>
      </rPr>
      <t xml:space="preserve">の省人工数（</t>
    </r>
    <r>
      <rPr>
        <sz val="10"/>
        <rFont val="Meiryo UI"/>
        <family val="0"/>
        <charset val="1"/>
      </rPr>
      <t xml:space="preserve">Before/After</t>
    </r>
    <r>
      <rPr>
        <sz val="10"/>
        <rFont val="WenQuanYi Zen Hei"/>
        <family val="2"/>
      </rPr>
      <t xml:space="preserve">実測の入力表）</t>
    </r>
  </si>
  <si>
    <t xml:space="preserve">08_PS運用設計</t>
  </si>
  <si>
    <t xml:space="preserve">パターンシーマの動線・人配置・縫製中の動き・測定計画</t>
  </si>
  <si>
    <t xml:space="preserve">②</t>
  </si>
  <si>
    <t xml:space="preserve">09_スポットプレス</t>
  </si>
  <si>
    <t xml:space="preserve">スポットプレス必要台数の計算、更新分／純増分、証跡</t>
  </si>
  <si>
    <t xml:space="preserve">③</t>
  </si>
  <si>
    <t xml:space="preserve">10_平プレス検証</t>
  </si>
  <si>
    <t xml:space="preserve">平プレスの精度検証（項目・方法・判定基準・頻度・担当）</t>
  </si>
  <si>
    <t xml:space="preserve">⑤</t>
  </si>
  <si>
    <t xml:space="preserve">11_縮絨試験</t>
  </si>
  <si>
    <t xml:space="preserve">縮絨機の検討ステップ（試験後に導入判断）</t>
  </si>
  <si>
    <t xml:space="preserve">⑦</t>
  </si>
  <si>
    <t xml:space="preserve">12_レンタル費</t>
  </si>
  <si>
    <t xml:space="preserve">レンタル費実績と投資による回避可能額</t>
  </si>
  <si>
    <t xml:space="preserve">13_費用対効果PL</t>
  </si>
  <si>
    <r>
      <rPr>
        <sz val="10"/>
        <rFont val="WenQuanYi Zen Hei"/>
        <family val="2"/>
      </rPr>
      <t xml:space="preserve">改善投資の年間純効果・回収年数、当年度</t>
    </r>
    <r>
      <rPr>
        <sz val="10"/>
        <rFont val="Meiryo UI"/>
        <family val="0"/>
        <charset val="1"/>
      </rPr>
      <t xml:space="preserve">P/L</t>
    </r>
    <r>
      <rPr>
        <sz val="10"/>
        <rFont val="WenQuanYi Zen Hei"/>
        <family val="2"/>
      </rPr>
      <t xml:space="preserve">影響（ケース</t>
    </r>
    <r>
      <rPr>
        <sz val="10"/>
        <rFont val="Meiryo UI"/>
        <family val="0"/>
        <charset val="1"/>
      </rPr>
      <t xml:space="preserve">A/B</t>
    </r>
    <r>
      <rPr>
        <sz val="10"/>
        <rFont val="WenQuanYi Zen Hei"/>
        <family val="2"/>
      </rPr>
      <t xml:space="preserve">）</t>
    </r>
  </si>
  <si>
    <t xml:space="preserve">①・新規条件</t>
  </si>
  <si>
    <t xml:space="preserve">14_原案チェック</t>
  </si>
  <si>
    <t xml:space="preserve">原案ファイルの不整合（提出前の修正候補）</t>
  </si>
  <si>
    <r>
      <rPr>
        <b val="true"/>
        <sz val="11"/>
        <color rgb="FF1F4E78"/>
        <rFont val="Meiryo UI"/>
        <family val="0"/>
        <charset val="1"/>
      </rPr>
      <t xml:space="preserve">4. </t>
    </r>
    <r>
      <rPr>
        <b val="true"/>
        <sz val="11"/>
        <color rgb="FF1F4E78"/>
        <rFont val="WenQuanYi Zen Hei"/>
        <family val="2"/>
      </rPr>
      <t xml:space="preserve">凡例</t>
    </r>
  </si>
  <si>
    <t xml:space="preserve">青字＋黄色</t>
  </si>
  <si>
    <t xml:space="preserve">入力値（工場データ・前提）。ここを変更すると全体が再計算される</t>
  </si>
  <si>
    <t xml:space="preserve">黒字</t>
  </si>
  <si>
    <t xml:space="preserve">計算式</t>
  </si>
  <si>
    <t xml:space="preserve">緑字</t>
  </si>
  <si>
    <t xml:space="preserve">他シートからの参照</t>
  </si>
  <si>
    <t xml:space="preserve">灰色斜体</t>
  </si>
  <si>
    <t xml:space="preserve">記入例（合計に含めない）</t>
  </si>
  <si>
    <t xml:space="preserve">薄緑</t>
  </si>
  <si>
    <t xml:space="preserve">主要な結果</t>
  </si>
  <si>
    <r>
      <rPr>
        <b val="true"/>
        <sz val="11"/>
        <color rgb="FF1F4E78"/>
        <rFont val="Meiryo UI"/>
        <family val="0"/>
        <charset val="1"/>
      </rPr>
      <t xml:space="preserve">5. </t>
    </r>
    <r>
      <rPr>
        <b val="true"/>
        <sz val="11"/>
        <color rgb="FF1F4E78"/>
        <rFont val="WenQuanYi Zen Hei"/>
        <family val="2"/>
      </rPr>
      <t xml:space="preserve">未確定データ（工場・関係部署から入手が必要）</t>
    </r>
  </si>
  <si>
    <r>
      <rPr>
        <sz val="10"/>
        <rFont val="WenQuanYi Zen Hei"/>
        <family val="2"/>
      </rPr>
      <t xml:space="preserve">・レンタル明細 </t>
    </r>
    <r>
      <rPr>
        <sz val="10"/>
        <rFont val="Meiryo UI"/>
        <family val="0"/>
        <charset val="1"/>
      </rPr>
      <t xml:space="preserve">2024</t>
    </r>
    <r>
      <rPr>
        <sz val="10"/>
        <rFont val="WenQuanYi Zen Hei"/>
        <family val="2"/>
      </rPr>
      <t xml:space="preserve">・</t>
    </r>
    <r>
      <rPr>
        <sz val="10"/>
        <rFont val="Meiryo UI"/>
        <family val="0"/>
        <charset val="1"/>
      </rPr>
      <t xml:space="preserve">2026</t>
    </r>
    <r>
      <rPr>
        <sz val="10"/>
        <rFont val="WenQuanYi Zen Hei"/>
        <family val="2"/>
      </rPr>
      <t xml:space="preserve">年（機種・型式・台数・期間・</t>
    </r>
    <r>
      <rPr>
        <sz val="10"/>
        <rFont val="Meiryo UI"/>
        <family val="0"/>
        <charset val="1"/>
      </rPr>
      <t xml:space="preserve">D/N</t>
    </r>
    <r>
      <rPr>
        <sz val="10"/>
        <rFont val="WenQuanYi Zen Hei"/>
        <family val="2"/>
      </rPr>
      <t xml:space="preserve">・</t>
    </r>
    <r>
      <rPr>
        <sz val="10"/>
        <rFont val="Meiryo UI"/>
        <family val="0"/>
        <charset val="1"/>
      </rPr>
      <t xml:space="preserve">style/line</t>
    </r>
    <r>
      <rPr>
        <sz val="10"/>
        <rFont val="WenQuanYi Zen Hei"/>
        <family val="2"/>
      </rPr>
      <t xml:space="preserve">）と、投資で回避できる部分</t>
    </r>
  </si>
  <si>
    <r>
      <rPr>
        <sz val="10"/>
        <rFont val="WenQuanYi Zen Hei"/>
        <family val="2"/>
      </rPr>
      <t xml:space="preserve">・パターンシーマ・</t>
    </r>
    <r>
      <rPr>
        <sz val="10"/>
        <rFont val="Meiryo UI"/>
        <family val="0"/>
        <charset val="1"/>
      </rPr>
      <t xml:space="preserve">Spec-D</t>
    </r>
    <r>
      <rPr>
        <sz val="10"/>
        <rFont val="WenQuanYi Zen Hei"/>
        <family val="2"/>
      </rPr>
      <t xml:space="preserve">の</t>
    </r>
    <r>
      <rPr>
        <sz val="10"/>
        <rFont val="Meiryo UI"/>
        <family val="0"/>
        <charset val="1"/>
      </rPr>
      <t xml:space="preserve">Before/After</t>
    </r>
    <r>
      <rPr>
        <sz val="10"/>
        <rFont val="WenQuanYi Zen Hei"/>
        <family val="2"/>
      </rPr>
      <t xml:space="preserve">実測（工程秒・自動縫製秒・並行作業秒）と対象品番の年間数量</t>
    </r>
  </si>
  <si>
    <t xml:space="preserve">・スポットプレス旧型の台数・年式・修理可否、ライン別使用台数、ピーク需要、写真・ヒヤリハット</t>
  </si>
  <si>
    <t xml:space="preserve">・平プレスの判定基準（メーカー規格）と校正周期</t>
  </si>
  <si>
    <r>
      <rPr>
        <sz val="10"/>
        <rFont val="WenQuanYi Zen Hei"/>
        <family val="2"/>
      </rPr>
      <t xml:space="preserve">・</t>
    </r>
    <r>
      <rPr>
        <sz val="10"/>
        <rFont val="Meiryo UI"/>
        <family val="0"/>
        <charset val="1"/>
      </rPr>
      <t xml:space="preserve">APIC</t>
    </r>
    <r>
      <rPr>
        <sz val="10"/>
        <rFont val="WenQuanYi Zen Hei"/>
        <family val="2"/>
      </rPr>
      <t xml:space="preserve">負担</t>
    </r>
    <r>
      <rPr>
        <sz val="10"/>
        <rFont val="Meiryo UI"/>
        <family val="0"/>
        <charset val="1"/>
      </rPr>
      <t xml:space="preserve">50,000USD</t>
    </r>
    <r>
      <rPr>
        <sz val="10"/>
        <rFont val="WenQuanYi Zen Hei"/>
        <family val="2"/>
      </rPr>
      <t xml:space="preserve">の対象機種・資産保有者・償却処理</t>
    </r>
  </si>
  <si>
    <r>
      <rPr>
        <sz val="10"/>
        <rFont val="WenQuanYi Zen Hei"/>
        <family val="2"/>
      </rPr>
      <t xml:space="preserve">・</t>
    </r>
    <r>
      <rPr>
        <sz val="10"/>
        <rFont val="Meiryo UI"/>
        <family val="0"/>
        <charset val="1"/>
      </rPr>
      <t xml:space="preserve">1</t>
    </r>
    <r>
      <rPr>
        <sz val="10"/>
        <rFont val="WenQuanYi Zen Hei"/>
        <family val="2"/>
      </rPr>
      <t xml:space="preserve">人当たり年間人件費（省人効果の金額換算用）</t>
    </r>
  </si>
  <si>
    <r>
      <rPr>
        <sz val="10"/>
        <rFont val="WenQuanYi Zen Hei"/>
        <family val="2"/>
      </rPr>
      <t xml:space="preserve">・為替レートの統一（</t>
    </r>
    <r>
      <rPr>
        <sz val="10"/>
        <rFont val="Meiryo UI"/>
        <family val="0"/>
        <charset val="1"/>
      </rPr>
      <t xml:space="preserve">150</t>
    </r>
    <r>
      <rPr>
        <sz val="10"/>
        <rFont val="WenQuanYi Zen Hei"/>
        <family val="2"/>
      </rPr>
      <t xml:space="preserve">円／</t>
    </r>
    <r>
      <rPr>
        <sz val="10"/>
        <rFont val="Meiryo UI"/>
        <family val="0"/>
        <charset val="1"/>
      </rPr>
      <t xml:space="preserve">160</t>
    </r>
    <r>
      <rPr>
        <sz val="10"/>
        <rFont val="WenQuanYi Zen Hei"/>
        <family val="2"/>
      </rPr>
      <t xml:space="preserve">円）</t>
    </r>
  </si>
  <si>
    <t xml:space="preserve">前提条件（全シート共通）</t>
  </si>
  <si>
    <t xml:space="preserve">青字＋黄色セルが入力値。変更すると全シートが再計算される。</t>
  </si>
  <si>
    <t xml:space="preserve">単位</t>
  </si>
  <si>
    <t xml:space="preserve">値</t>
  </si>
  <si>
    <t xml:space="preserve">出所・備考</t>
  </si>
  <si>
    <t xml:space="preserve">為替レート</t>
  </si>
  <si>
    <r>
      <rPr>
        <sz val="10"/>
        <rFont val="WenQuanYi Zen Hei"/>
        <family val="2"/>
      </rPr>
      <t xml:space="preserve">円</t>
    </r>
    <r>
      <rPr>
        <sz val="10"/>
        <rFont val="Meiryo UI"/>
        <family val="0"/>
        <charset val="1"/>
      </rPr>
      <t xml:space="preserve">/USD</t>
    </r>
  </si>
  <si>
    <r>
      <rPr>
        <sz val="10"/>
        <rFont val="WenQuanYi Zen Hei"/>
        <family val="2"/>
      </rPr>
      <t xml:space="preserve">原案</t>
    </r>
    <r>
      <rPr>
        <sz val="10"/>
        <rFont val="Meiryo UI"/>
        <family val="0"/>
        <charset val="1"/>
      </rPr>
      <t xml:space="preserve">P30</t>
    </r>
    <r>
      <rPr>
        <sz val="10"/>
        <rFont val="WenQuanYi Zen Hei"/>
        <family val="2"/>
      </rPr>
      <t xml:space="preserve">（円換算に使用）。原案</t>
    </r>
    <r>
      <rPr>
        <sz val="10"/>
        <rFont val="Meiryo UI"/>
        <family val="0"/>
        <charset val="1"/>
      </rPr>
      <t xml:space="preserve">O26</t>
    </r>
    <r>
      <rPr>
        <sz val="10"/>
        <rFont val="WenQuanYi Zen Hei"/>
        <family val="2"/>
      </rPr>
      <t xml:space="preserve">は</t>
    </r>
    <r>
      <rPr>
        <sz val="10"/>
        <rFont val="Meiryo UI"/>
        <family val="0"/>
        <charset val="1"/>
      </rPr>
      <t xml:space="preserve">150</t>
    </r>
    <r>
      <rPr>
        <sz val="10"/>
        <rFont val="WenQuanYi Zen Hei"/>
        <family val="2"/>
      </rPr>
      <t xml:space="preserve">円 → 提出前に</t>
    </r>
    <r>
      <rPr>
        <sz val="10"/>
        <rFont val="Meiryo UI"/>
        <family val="0"/>
        <charset val="1"/>
      </rPr>
      <t xml:space="preserve">TIJ</t>
    </r>
    <r>
      <rPr>
        <sz val="10"/>
        <rFont val="WenQuanYi Zen Hei"/>
        <family val="2"/>
      </rPr>
      <t xml:space="preserve">とレートを統一</t>
    </r>
  </si>
  <si>
    <t xml:space="preserve">年間稼働日</t>
  </si>
  <si>
    <t xml:space="preserve">日</t>
  </si>
  <si>
    <t xml:space="preserve">技術打合せでの合意値</t>
  </si>
  <si>
    <r>
      <rPr>
        <sz val="10"/>
        <rFont val="Meiryo UI"/>
        <family val="0"/>
        <charset val="1"/>
      </rPr>
      <t xml:space="preserve">1</t>
    </r>
    <r>
      <rPr>
        <sz val="10"/>
        <rFont val="WenQuanYi Zen Hei"/>
        <family val="2"/>
      </rPr>
      <t xml:space="preserve">日稼働時間</t>
    </r>
  </si>
  <si>
    <t xml:space="preserve">時間</t>
  </si>
  <si>
    <t xml:space="preserve">有効稼働率</t>
  </si>
  <si>
    <t xml:space="preserve">%</t>
  </si>
  <si>
    <r>
      <rPr>
        <sz val="10"/>
        <rFont val="WenQuanYi Zen Hei"/>
        <family val="2"/>
      </rPr>
      <t xml:space="preserve">工程秒が標準時間（余裕込み）なら</t>
    </r>
    <r>
      <rPr>
        <sz val="10"/>
        <rFont val="Meiryo UI"/>
        <family val="0"/>
        <charset val="1"/>
      </rPr>
      <t xml:space="preserve">100%</t>
    </r>
    <r>
      <rPr>
        <sz val="10"/>
        <rFont val="WenQuanYi Zen Hei"/>
        <family val="2"/>
      </rPr>
      <t xml:space="preserve">。正味時間で測る場合は工場の実効率を入力</t>
    </r>
  </si>
  <si>
    <r>
      <rPr>
        <sz val="10"/>
        <rFont val="Meiryo UI"/>
        <family val="0"/>
        <charset val="1"/>
      </rPr>
      <t xml:space="preserve">1</t>
    </r>
    <r>
      <rPr>
        <sz val="10"/>
        <rFont val="WenQuanYi Zen Hei"/>
        <family val="2"/>
      </rPr>
      <t xml:space="preserve">人年間有効稼働秒</t>
    </r>
  </si>
  <si>
    <t xml:space="preserve">秒</t>
  </si>
  <si>
    <r>
      <rPr>
        <sz val="10"/>
        <rFont val="WenQuanYi Zen Hei"/>
        <family val="2"/>
      </rPr>
      <t xml:space="preserve">年間稼働日</t>
    </r>
    <r>
      <rPr>
        <sz val="10"/>
        <rFont val="Meiryo UI"/>
        <family val="0"/>
        <charset val="1"/>
      </rPr>
      <t xml:space="preserve">×1</t>
    </r>
    <r>
      <rPr>
        <sz val="10"/>
        <rFont val="WenQuanYi Zen Hei"/>
        <family val="2"/>
      </rPr>
      <t xml:space="preserve">日稼働時間</t>
    </r>
    <r>
      <rPr>
        <sz val="10"/>
        <rFont val="Meiryo UI"/>
        <family val="0"/>
        <charset val="1"/>
      </rPr>
      <t xml:space="preserve">×3600×</t>
    </r>
    <r>
      <rPr>
        <sz val="10"/>
        <rFont val="WenQuanYi Zen Hei"/>
        <family val="2"/>
      </rPr>
      <t xml:space="preserve">有効稼働率（省人工数の分母）</t>
    </r>
  </si>
  <si>
    <t xml:space="preserve">電気単価</t>
  </si>
  <si>
    <t xml:space="preserve">USD/kWh</t>
  </si>
  <si>
    <t xml:space="preserve">償却年数</t>
  </si>
  <si>
    <t xml:space="preserve">年</t>
  </si>
  <si>
    <r>
      <rPr>
        <sz val="10"/>
        <rFont val="WenQuanYi Zen Hei"/>
        <family val="2"/>
      </rPr>
      <t xml:space="preserve">原案</t>
    </r>
    <r>
      <rPr>
        <sz val="10"/>
        <rFont val="Meiryo UI"/>
        <family val="0"/>
        <charset val="1"/>
      </rPr>
      <t xml:space="preserve">U</t>
    </r>
    <r>
      <rPr>
        <sz val="10"/>
        <rFont val="WenQuanYi Zen Hei"/>
        <family val="2"/>
      </rPr>
      <t xml:space="preserve">列（</t>
    </r>
    <r>
      <rPr>
        <sz val="10"/>
        <rFont val="Meiryo UI"/>
        <family val="0"/>
        <charset val="1"/>
      </rPr>
      <t xml:space="preserve">=</t>
    </r>
    <r>
      <rPr>
        <sz val="10"/>
        <rFont val="WenQuanYi Zen Hei"/>
        <family val="2"/>
      </rPr>
      <t xml:space="preserve">金額</t>
    </r>
    <r>
      <rPr>
        <sz val="10"/>
        <rFont val="Meiryo UI"/>
        <family val="0"/>
        <charset val="1"/>
      </rPr>
      <t xml:space="preserve">÷7</t>
    </r>
    <r>
      <rPr>
        <sz val="10"/>
        <rFont val="WenQuanYi Zen Hei"/>
        <family val="2"/>
      </rPr>
      <t xml:space="preserve">）と同じ</t>
    </r>
  </si>
  <si>
    <r>
      <rPr>
        <sz val="10"/>
        <rFont val="Meiryo UI"/>
        <family val="0"/>
        <charset val="1"/>
      </rPr>
      <t xml:space="preserve">APIC</t>
    </r>
    <r>
      <rPr>
        <sz val="10"/>
        <rFont val="WenQuanYi Zen Hei"/>
        <family val="2"/>
      </rPr>
      <t xml:space="preserve">負担額</t>
    </r>
  </si>
  <si>
    <r>
      <rPr>
        <sz val="10"/>
        <rFont val="WenQuanYi Zen Hei"/>
        <family val="2"/>
      </rPr>
      <t xml:space="preserve">新規条件：</t>
    </r>
    <r>
      <rPr>
        <sz val="10"/>
        <rFont val="Meiryo UI"/>
        <family val="0"/>
        <charset val="1"/>
      </rPr>
      <t xml:space="preserve">APIC</t>
    </r>
    <r>
      <rPr>
        <sz val="10"/>
        <rFont val="WenQuanYi Zen Hei"/>
        <family val="2"/>
      </rPr>
      <t xml:space="preserve">が投資額のうち</t>
    </r>
    <r>
      <rPr>
        <sz val="10"/>
        <rFont val="Meiryo UI"/>
        <family val="0"/>
        <charset val="1"/>
      </rPr>
      <t xml:space="preserve">50,000USD</t>
    </r>
    <r>
      <rPr>
        <sz val="10"/>
        <rFont val="WenQuanYi Zen Hei"/>
        <family val="2"/>
      </rPr>
      <t xml:space="preserve">を負担（対象機種・資産保有・償却処理は要確認）</t>
    </r>
  </si>
  <si>
    <r>
      <rPr>
        <sz val="10"/>
        <rFont val="WenQuanYi Zen Hei"/>
        <family val="2"/>
      </rPr>
      <t xml:space="preserve">投資額上限目標（</t>
    </r>
    <r>
      <rPr>
        <sz val="10"/>
        <rFont val="Meiryo UI"/>
        <family val="0"/>
        <charset val="1"/>
      </rPr>
      <t xml:space="preserve">Suntool</t>
    </r>
    <r>
      <rPr>
        <sz val="10"/>
        <rFont val="WenQuanYi Zen Hei"/>
        <family val="2"/>
      </rPr>
      <t xml:space="preserve">除く）</t>
    </r>
  </si>
  <si>
    <r>
      <rPr>
        <sz val="10"/>
        <rFont val="WenQuanYi Zen Hei"/>
        <family val="2"/>
      </rPr>
      <t xml:space="preserve">佐藤さん希望：</t>
    </r>
    <r>
      <rPr>
        <sz val="10"/>
        <rFont val="Meiryo UI"/>
        <family val="0"/>
        <charset val="1"/>
      </rPr>
      <t xml:space="preserve">Suntool</t>
    </r>
    <r>
      <rPr>
        <sz val="10"/>
        <rFont val="WenQuanYi Zen Hei"/>
        <family val="2"/>
      </rPr>
      <t xml:space="preserve">を除き概ね</t>
    </r>
    <r>
      <rPr>
        <sz val="10"/>
        <rFont val="Meiryo UI"/>
        <family val="0"/>
        <charset val="1"/>
      </rPr>
      <t xml:space="preserve">4,000</t>
    </r>
    <r>
      <rPr>
        <sz val="10"/>
        <rFont val="WenQuanYi Zen Hei"/>
        <family val="2"/>
      </rPr>
      <t xml:space="preserve">万円以下。</t>
    </r>
    <r>
      <rPr>
        <sz val="10"/>
        <rFont val="Meiryo UI"/>
        <family val="0"/>
        <charset val="1"/>
      </rPr>
      <t xml:space="preserve">20260403</t>
    </r>
    <r>
      <rPr>
        <sz val="10"/>
        <rFont val="WenQuanYi Zen Hei"/>
        <family val="2"/>
      </rPr>
      <t xml:space="preserve">版リストに</t>
    </r>
    <r>
      <rPr>
        <sz val="10"/>
        <rFont val="Meiryo UI"/>
        <family val="0"/>
        <charset val="1"/>
      </rPr>
      <t xml:space="preserve">Suntool</t>
    </r>
    <r>
      <rPr>
        <sz val="10"/>
        <rFont val="WenQuanYi Zen Hei"/>
        <family val="2"/>
      </rPr>
      <t xml:space="preserve">は含まれていない</t>
    </r>
  </si>
  <si>
    <r>
      <rPr>
        <sz val="10"/>
        <rFont val="Meiryo UI"/>
        <family val="0"/>
        <charset val="1"/>
      </rPr>
      <t xml:space="preserve">1</t>
    </r>
    <r>
      <rPr>
        <sz val="10"/>
        <rFont val="WenQuanYi Zen Hei"/>
        <family val="2"/>
      </rPr>
      <t xml:space="preserve">人当たり年間人件費</t>
    </r>
  </si>
  <si>
    <r>
      <rPr>
        <sz val="10"/>
        <rFont val="Meiryo UI"/>
        <family val="0"/>
        <charset val="1"/>
      </rPr>
      <t xml:space="preserve">USD/</t>
    </r>
    <r>
      <rPr>
        <sz val="10"/>
        <rFont val="WenQuanYi Zen Hei"/>
        <family val="2"/>
      </rPr>
      <t xml:space="preserve">人年</t>
    </r>
  </si>
  <si>
    <r>
      <rPr>
        <sz val="10"/>
        <rFont val="Meiryo UI"/>
        <family val="0"/>
        <charset val="1"/>
      </rPr>
      <t xml:space="preserve">APIC</t>
    </r>
    <r>
      <rPr>
        <sz val="10"/>
        <rFont val="WenQuanYi Zen Hei"/>
        <family val="2"/>
      </rPr>
      <t xml:space="preserve">人事データで入力。未入力の間は省人効果を『人工』のみで表示し、金額効果は</t>
    </r>
    <r>
      <rPr>
        <sz val="10"/>
        <rFont val="Meiryo UI"/>
        <family val="0"/>
        <charset val="1"/>
      </rPr>
      <t xml:space="preserve">0</t>
    </r>
    <r>
      <rPr>
        <sz val="10"/>
        <rFont val="WenQuanYi Zen Hei"/>
        <family val="2"/>
      </rPr>
      <t xml:space="preserve">とする</t>
    </r>
  </si>
  <si>
    <t xml:space="preserve">通常稼働ライン数</t>
  </si>
  <si>
    <t xml:space="preserve">ライン</t>
  </si>
  <si>
    <r>
      <rPr>
        <sz val="10"/>
        <rFont val="Meiryo UI"/>
        <family val="0"/>
        <charset val="1"/>
      </rPr>
      <t xml:space="preserve">APIC</t>
    </r>
    <r>
      <rPr>
        <sz val="10"/>
        <rFont val="WenQuanYi Zen Hei"/>
        <family val="2"/>
      </rPr>
      <t xml:space="preserve">通常</t>
    </r>
    <r>
      <rPr>
        <sz val="10"/>
        <rFont val="Meiryo UI"/>
        <family val="0"/>
        <charset val="1"/>
      </rPr>
      <t xml:space="preserve">31</t>
    </r>
    <r>
      <rPr>
        <sz val="10"/>
        <rFont val="WenQuanYi Zen Hei"/>
        <family val="2"/>
      </rPr>
      <t xml:space="preserve">ライン</t>
    </r>
  </si>
  <si>
    <t xml:space="preserve">ピークライン数</t>
  </si>
  <si>
    <r>
      <rPr>
        <sz val="10"/>
        <rFont val="WenQuanYi Zen Hei"/>
        <family val="2"/>
      </rPr>
      <t xml:space="preserve">繁忙期</t>
    </r>
    <r>
      <rPr>
        <sz val="10"/>
        <rFont val="Meiryo UI"/>
        <family val="0"/>
        <charset val="1"/>
      </rPr>
      <t xml:space="preserve">34</t>
    </r>
    <r>
      <rPr>
        <sz val="10"/>
        <rFont val="WenQuanYi Zen Hei"/>
        <family val="2"/>
      </rPr>
      <t xml:space="preserve">〜</t>
    </r>
    <r>
      <rPr>
        <sz val="10"/>
        <rFont val="Meiryo UI"/>
        <family val="0"/>
        <charset val="1"/>
      </rPr>
      <t xml:space="preserve">35</t>
    </r>
    <r>
      <rPr>
        <sz val="10"/>
        <rFont val="WenQuanYi Zen Hei"/>
        <family val="2"/>
      </rPr>
      <t xml:space="preserve">ライン（軽量品</t>
    </r>
    <r>
      <rPr>
        <sz val="10"/>
        <rFont val="Meiryo UI"/>
        <family val="0"/>
        <charset val="1"/>
      </rPr>
      <t xml:space="preserve">6,000</t>
    </r>
    <r>
      <rPr>
        <sz val="10"/>
        <rFont val="WenQuanYi Zen Hei"/>
        <family val="2"/>
      </rPr>
      <t xml:space="preserve">秒未満は</t>
    </r>
    <r>
      <rPr>
        <sz val="10"/>
        <rFont val="Meiryo UI"/>
        <family val="0"/>
        <charset val="1"/>
      </rPr>
      <t xml:space="preserve">32</t>
    </r>
    <r>
      <rPr>
        <sz val="10"/>
        <rFont val="WenQuanYi Zen Hei"/>
        <family val="2"/>
      </rPr>
      <t xml:space="preserve">人ラインを</t>
    </r>
    <r>
      <rPr>
        <sz val="10"/>
        <rFont val="Meiryo UI"/>
        <family val="0"/>
        <charset val="1"/>
      </rPr>
      <t xml:space="preserve">16</t>
    </r>
    <r>
      <rPr>
        <sz val="10"/>
        <rFont val="WenQuanYi Zen Hei"/>
        <family val="2"/>
      </rPr>
      <t xml:space="preserve">人</t>
    </r>
    <r>
      <rPr>
        <sz val="10"/>
        <rFont val="Meiryo UI"/>
        <family val="0"/>
        <charset val="1"/>
      </rPr>
      <t xml:space="preserve">×2</t>
    </r>
    <r>
      <rPr>
        <sz val="10"/>
        <rFont val="WenQuanYi Zen Hei"/>
        <family val="2"/>
      </rPr>
      <t xml:space="preserve">に分割）→ 上限</t>
    </r>
    <r>
      <rPr>
        <sz val="10"/>
        <rFont val="Meiryo UI"/>
        <family val="0"/>
        <charset val="1"/>
      </rPr>
      <t xml:space="preserve">35</t>
    </r>
    <r>
      <rPr>
        <sz val="10"/>
        <rFont val="WenQuanYi Zen Hei"/>
        <family val="2"/>
      </rPr>
      <t xml:space="preserve">で試算</t>
    </r>
  </si>
  <si>
    <t xml:space="preserve">投資総括：原案（優先①）と調整案</t>
  </si>
  <si>
    <r>
      <rPr>
        <i val="true"/>
        <sz val="9"/>
        <color rgb="FF595959"/>
        <rFont val="WenQuanYi Zen Hei"/>
        <family val="2"/>
      </rPr>
      <t xml:space="preserve">調整案台数（</t>
    </r>
    <r>
      <rPr>
        <i val="true"/>
        <sz val="9"/>
        <color rgb="FF595959"/>
        <rFont val="Meiryo UI"/>
        <family val="0"/>
        <charset val="1"/>
      </rPr>
      <t xml:space="preserve">I</t>
    </r>
    <r>
      <rPr>
        <i val="true"/>
        <sz val="9"/>
        <color rgb="FF595959"/>
        <rFont val="WenQuanYi Zen Hei"/>
        <family val="2"/>
      </rPr>
      <t xml:space="preserve">列）と</t>
    </r>
    <r>
      <rPr>
        <i val="true"/>
        <sz val="9"/>
        <color rgb="FF595959"/>
        <rFont val="Meiryo UI"/>
        <family val="0"/>
        <charset val="1"/>
      </rPr>
      <t xml:space="preserve">APIC</t>
    </r>
    <r>
      <rPr>
        <i val="true"/>
        <sz val="9"/>
        <color rgb="FF595959"/>
        <rFont val="WenQuanYi Zen Hei"/>
        <family val="2"/>
      </rPr>
      <t xml:space="preserve">負担（</t>
    </r>
    <r>
      <rPr>
        <i val="true"/>
        <sz val="9"/>
        <color rgb="FF595959"/>
        <rFont val="Meiryo UI"/>
        <family val="0"/>
        <charset val="1"/>
      </rPr>
      <t xml:space="preserve">N</t>
    </r>
    <r>
      <rPr>
        <i val="true"/>
        <sz val="9"/>
        <color rgb="FF595959"/>
        <rFont val="WenQuanYi Zen Hei"/>
        <family val="2"/>
      </rPr>
      <t xml:space="preserve">列）が入力欄。スポットプレスの台数は</t>
    </r>
    <r>
      <rPr>
        <i val="true"/>
        <sz val="9"/>
        <color rgb="FF595959"/>
        <rFont val="Meiryo UI"/>
        <family val="0"/>
        <charset val="1"/>
      </rPr>
      <t xml:space="preserve">09</t>
    </r>
    <r>
      <rPr>
        <i val="true"/>
        <sz val="9"/>
        <color rgb="FF595959"/>
        <rFont val="WenQuanYi Zen Hei"/>
        <family val="2"/>
      </rPr>
      <t xml:space="preserve">シートの計算結果を自動参照。単価は原案</t>
    </r>
    <r>
      <rPr>
        <i val="true"/>
        <sz val="9"/>
        <color rgb="FF595959"/>
        <rFont val="Meiryo UI"/>
        <family val="0"/>
        <charset val="1"/>
      </rPr>
      <t xml:space="preserve">L</t>
    </r>
    <r>
      <rPr>
        <i val="true"/>
        <sz val="9"/>
        <color rgb="FF595959"/>
        <rFont val="WenQuanYi Zen Hei"/>
        <family val="2"/>
      </rPr>
      <t xml:space="preserve">列（</t>
    </r>
    <r>
      <rPr>
        <i val="true"/>
        <sz val="9"/>
        <color rgb="FF595959"/>
        <rFont val="Meiryo UI"/>
        <family val="0"/>
        <charset val="1"/>
      </rPr>
      <t xml:space="preserve">VA</t>
    </r>
    <r>
      <rPr>
        <i val="true"/>
        <sz val="9"/>
        <color rgb="FF595959"/>
        <rFont val="WenQuanYi Zen Hei"/>
        <family val="2"/>
      </rPr>
      <t xml:space="preserve">後）、</t>
    </r>
    <r>
      <rPr>
        <i val="true"/>
        <sz val="9"/>
        <color rgb="FF595959"/>
        <rFont val="Meiryo UI"/>
        <family val="0"/>
        <charset val="1"/>
      </rPr>
      <t xml:space="preserve">L</t>
    </r>
    <r>
      <rPr>
        <i val="true"/>
        <sz val="9"/>
        <color rgb="FF595959"/>
        <rFont val="WenQuanYi Zen Hei"/>
        <family val="2"/>
      </rPr>
      <t xml:space="preserve">列が空欄の機種は</t>
    </r>
    <r>
      <rPr>
        <i val="true"/>
        <sz val="9"/>
        <color rgb="FF595959"/>
        <rFont val="Meiryo UI"/>
        <family val="0"/>
        <charset val="1"/>
      </rPr>
      <t xml:space="preserve">K</t>
    </r>
    <r>
      <rPr>
        <i val="true"/>
        <sz val="9"/>
        <color rgb="FF595959"/>
        <rFont val="WenQuanYi Zen Hei"/>
        <family val="2"/>
      </rPr>
      <t xml:space="preserve">列（概算）。</t>
    </r>
  </si>
  <si>
    <r>
      <rPr>
        <b val="true"/>
        <sz val="10"/>
        <color rgb="FFFFFFFF"/>
        <rFont val="WenQuanYi Zen Hei"/>
        <family val="2"/>
      </rPr>
      <t xml:space="preserve">原案</t>
    </r>
    <r>
      <rPr>
        <b val="true"/>
        <sz val="10"/>
        <color rgb="FFFFFFFF"/>
        <rFont val="Meiryo UI"/>
        <family val="0"/>
        <charset val="1"/>
      </rPr>
      <t xml:space="preserve">No.</t>
    </r>
  </si>
  <si>
    <t xml:space="preserve">設備名</t>
  </si>
  <si>
    <t xml:space="preserve">メーカー・品番</t>
  </si>
  <si>
    <t xml:space="preserve">投資区分</t>
  </si>
  <si>
    <t xml:space="preserve">優先順位</t>
  </si>
  <si>
    <r>
      <rPr>
        <b val="true"/>
        <sz val="10"/>
        <color rgb="FFFFFFFF"/>
        <rFont val="WenQuanYi Zen Hei"/>
        <family val="2"/>
      </rPr>
      <t xml:space="preserve">単価</t>
    </r>
    <r>
      <rPr>
        <b val="true"/>
        <sz val="10"/>
        <color rgb="FFFFFFFF"/>
        <rFont val="Meiryo UI"/>
        <family val="0"/>
        <charset val="1"/>
      </rPr>
      <t xml:space="preserve">(USD)</t>
    </r>
  </si>
  <si>
    <t xml:space="preserve">原案①台数</t>
  </si>
  <si>
    <r>
      <rPr>
        <b val="true"/>
        <sz val="10"/>
        <color rgb="FFFFFFFF"/>
        <rFont val="WenQuanYi Zen Hei"/>
        <family val="2"/>
      </rPr>
      <t xml:space="preserve">原案①金額</t>
    </r>
    <r>
      <rPr>
        <b val="true"/>
        <sz val="10"/>
        <color rgb="FFFFFFFF"/>
        <rFont val="Meiryo UI"/>
        <family val="0"/>
        <charset val="1"/>
      </rPr>
      <t xml:space="preserve">(USD)</t>
    </r>
  </si>
  <si>
    <t xml:space="preserve">調整案台数</t>
  </si>
  <si>
    <r>
      <rPr>
        <b val="true"/>
        <sz val="10"/>
        <color rgb="FFFFFFFF"/>
        <rFont val="WenQuanYi Zen Hei"/>
        <family val="2"/>
      </rPr>
      <t xml:space="preserve">調整案金額</t>
    </r>
    <r>
      <rPr>
        <b val="true"/>
        <sz val="10"/>
        <color rgb="FFFFFFFF"/>
        <rFont val="Meiryo UI"/>
        <family val="0"/>
        <charset val="1"/>
      </rPr>
      <t xml:space="preserve">(USD)</t>
    </r>
  </si>
  <si>
    <r>
      <rPr>
        <b val="true"/>
        <sz val="10"/>
        <color rgb="FFFFFFFF"/>
        <rFont val="WenQuanYi Zen Hei"/>
        <family val="2"/>
      </rPr>
      <t xml:space="preserve">調整案金額</t>
    </r>
    <r>
      <rPr>
        <b val="true"/>
        <sz val="10"/>
        <color rgb="FFFFFFFF"/>
        <rFont val="Meiryo UI"/>
        <family val="0"/>
        <charset val="1"/>
      </rPr>
      <t xml:space="preserve">(</t>
    </r>
    <r>
      <rPr>
        <b val="true"/>
        <sz val="10"/>
        <color rgb="FFFFFFFF"/>
        <rFont val="WenQuanYi Zen Hei"/>
        <family val="2"/>
      </rPr>
      <t xml:space="preserve">円</t>
    </r>
    <r>
      <rPr>
        <b val="true"/>
        <sz val="10"/>
        <color rgb="FFFFFFFF"/>
        <rFont val="Meiryo UI"/>
        <family val="0"/>
        <charset val="1"/>
      </rPr>
      <t xml:space="preserve">)</t>
    </r>
  </si>
  <si>
    <r>
      <rPr>
        <b val="true"/>
        <sz val="10"/>
        <color rgb="FFFFFFFF"/>
        <rFont val="WenQuanYi Zen Hei"/>
        <family val="2"/>
      </rPr>
      <t xml:space="preserve">増減</t>
    </r>
    <r>
      <rPr>
        <b val="true"/>
        <sz val="10"/>
        <color rgb="FFFFFFFF"/>
        <rFont val="Meiryo UI"/>
        <family val="0"/>
        <charset val="1"/>
      </rPr>
      <t xml:space="preserve">(USD)</t>
    </r>
  </si>
  <si>
    <t xml:space="preserve">調整理由・判断</t>
  </si>
  <si>
    <r>
      <rPr>
        <b val="true"/>
        <sz val="10"/>
        <color rgb="FFFFFFFF"/>
        <rFont val="Meiryo UI"/>
        <family val="0"/>
        <charset val="1"/>
      </rPr>
      <t xml:space="preserve">APIC</t>
    </r>
    <r>
      <rPr>
        <b val="true"/>
        <sz val="10"/>
        <color rgb="FFFFFFFF"/>
        <rFont val="WenQuanYi Zen Hei"/>
        <family val="2"/>
      </rPr>
      <t xml:space="preserve">負担</t>
    </r>
    <r>
      <rPr>
        <b val="true"/>
        <sz val="10"/>
        <color rgb="FFFFFFFF"/>
        <rFont val="Meiryo UI"/>
        <family val="0"/>
        <charset val="1"/>
      </rPr>
      <t xml:space="preserve">(USD)</t>
    </r>
  </si>
  <si>
    <r>
      <rPr>
        <b val="true"/>
        <sz val="10"/>
        <color rgb="FFFFFFFF"/>
        <rFont val="Meiryo UI"/>
        <family val="0"/>
        <charset val="1"/>
      </rPr>
      <t xml:space="preserve">TI</t>
    </r>
    <r>
      <rPr>
        <b val="true"/>
        <sz val="10"/>
        <color rgb="FFFFFFFF"/>
        <rFont val="WenQuanYi Zen Hei"/>
        <family val="2"/>
      </rPr>
      <t xml:space="preserve">負担</t>
    </r>
    <r>
      <rPr>
        <b val="true"/>
        <sz val="10"/>
        <color rgb="FFFFFFFF"/>
        <rFont val="Meiryo UI"/>
        <family val="0"/>
        <charset val="1"/>
      </rPr>
      <t xml:space="preserve">(USD)</t>
    </r>
  </si>
  <si>
    <r>
      <rPr>
        <b val="true"/>
        <sz val="10"/>
        <color rgb="FFFFFFFF"/>
        <rFont val="Meiryo UI"/>
        <family val="0"/>
        <charset val="1"/>
      </rPr>
      <t xml:space="preserve">TI</t>
    </r>
    <r>
      <rPr>
        <b val="true"/>
        <sz val="10"/>
        <color rgb="FFFFFFFF"/>
        <rFont val="WenQuanYi Zen Hei"/>
        <family val="2"/>
      </rPr>
      <t xml:space="preserve">年間償却</t>
    </r>
    <r>
      <rPr>
        <b val="true"/>
        <sz val="10"/>
        <color rgb="FFFFFFFF"/>
        <rFont val="Meiryo UI"/>
        <family val="0"/>
        <charset val="1"/>
      </rPr>
      <t xml:space="preserve">(</t>
    </r>
    <r>
      <rPr>
        <b val="true"/>
        <sz val="10"/>
        <color rgb="FFFFFFFF"/>
        <rFont val="WenQuanYi Zen Hei"/>
        <family val="2"/>
      </rPr>
      <t xml:space="preserve">円</t>
    </r>
    <r>
      <rPr>
        <b val="true"/>
        <sz val="10"/>
        <color rgb="FFFFFFFF"/>
        <rFont val="Meiryo UI"/>
        <family val="0"/>
        <charset val="1"/>
      </rPr>
      <t xml:space="preserve">)</t>
    </r>
  </si>
  <si>
    <t xml:space="preserve">根拠シート</t>
  </si>
  <si>
    <t xml:space="preserve">1</t>
  </si>
  <si>
    <r>
      <rPr>
        <sz val="10"/>
        <rFont val="Meiryo UI"/>
        <family val="0"/>
        <charset val="1"/>
      </rPr>
      <t xml:space="preserve">2</t>
    </r>
    <r>
      <rPr>
        <sz val="10"/>
        <rFont val="WenQuanYi Zen Hei"/>
        <family val="2"/>
      </rPr>
      <t xml:space="preserve">本針オーバーロック（サーボ・自動糸切り）</t>
    </r>
  </si>
  <si>
    <t xml:space="preserve">Juki MO-6814</t>
  </si>
  <si>
    <t xml:space="preserve">必須（生産継続）</t>
  </si>
  <si>
    <r>
      <rPr>
        <sz val="10"/>
        <rFont val="WenQuanYi Zen Hei"/>
        <family val="2"/>
      </rPr>
      <t xml:space="preserve">ピーク不足</t>
    </r>
    <r>
      <rPr>
        <sz val="10"/>
        <rFont val="Meiryo UI"/>
        <family val="0"/>
        <charset val="1"/>
      </rPr>
      <t xml:space="preserve">26</t>
    </r>
    <r>
      <rPr>
        <sz val="10"/>
        <rFont val="WenQuanYi Zen Hei"/>
        <family val="2"/>
      </rPr>
      <t xml:space="preserve">台（</t>
    </r>
    <r>
      <rPr>
        <sz val="10"/>
        <rFont val="Meiryo UI"/>
        <family val="0"/>
        <charset val="1"/>
      </rPr>
      <t xml:space="preserve">05</t>
    </r>
    <r>
      <rPr>
        <sz val="10"/>
        <rFont val="WenQuanYi Zen Hei"/>
        <family val="2"/>
      </rPr>
      <t xml:space="preserve">）。故障</t>
    </r>
    <r>
      <rPr>
        <sz val="10"/>
        <rFont val="Meiryo UI"/>
        <family val="0"/>
        <charset val="1"/>
      </rPr>
      <t xml:space="preserve">4</t>
    </r>
    <r>
      <rPr>
        <sz val="10"/>
        <rFont val="WenQuanYi Zen Hei"/>
        <family val="2"/>
      </rPr>
      <t xml:space="preserve">台の更新＋純増</t>
    </r>
    <r>
      <rPr>
        <sz val="10"/>
        <rFont val="Meiryo UI"/>
        <family val="0"/>
        <charset val="1"/>
      </rPr>
      <t xml:space="preserve">1</t>
    </r>
    <r>
      <rPr>
        <sz val="10"/>
        <rFont val="WenQuanYi Zen Hei"/>
        <family val="2"/>
      </rPr>
      <t xml:space="preserve">台。残る不足は第</t>
    </r>
    <r>
      <rPr>
        <sz val="10"/>
        <rFont val="Meiryo UI"/>
        <family val="0"/>
        <charset val="1"/>
      </rPr>
      <t xml:space="preserve">2</t>
    </r>
    <r>
      <rPr>
        <sz val="10"/>
        <rFont val="WenQuanYi Zen Hei"/>
        <family val="2"/>
      </rPr>
      <t xml:space="preserve">工場借用で対応</t>
    </r>
  </si>
  <si>
    <r>
      <rPr>
        <sz val="10"/>
        <rFont val="Meiryo UI"/>
        <family val="0"/>
        <charset val="1"/>
      </rPr>
      <t xml:space="preserve">05_</t>
    </r>
    <r>
      <rPr>
        <sz val="10"/>
        <rFont val="WenQuanYi Zen Hei"/>
        <family val="2"/>
      </rPr>
      <t xml:space="preserve">ロック必要台数</t>
    </r>
  </si>
  <si>
    <t xml:space="preserve">2</t>
  </si>
  <si>
    <r>
      <rPr>
        <sz val="10"/>
        <rFont val="Meiryo UI"/>
        <family val="0"/>
        <charset val="1"/>
      </rPr>
      <t xml:space="preserve">2</t>
    </r>
    <r>
      <rPr>
        <sz val="10"/>
        <rFont val="WenQuanYi Zen Hei"/>
        <family val="2"/>
      </rPr>
      <t xml:space="preserve">本針インターロック（サーボ・自動糸切り）</t>
    </r>
  </si>
  <si>
    <t xml:space="preserve">Juki MO-6816</t>
  </si>
  <si>
    <r>
      <rPr>
        <sz val="10"/>
        <rFont val="WenQuanYi Zen Hei"/>
        <family val="2"/>
      </rPr>
      <t xml:space="preserve">ピーク不足</t>
    </r>
    <r>
      <rPr>
        <sz val="10"/>
        <rFont val="Meiryo UI"/>
        <family val="0"/>
        <charset val="1"/>
      </rPr>
      <t xml:space="preserve">6</t>
    </r>
    <r>
      <rPr>
        <sz val="10"/>
        <rFont val="WenQuanYi Zen Hei"/>
        <family val="2"/>
      </rPr>
      <t xml:space="preserve">台（</t>
    </r>
    <r>
      <rPr>
        <sz val="10"/>
        <rFont val="Meiryo UI"/>
        <family val="0"/>
        <charset val="1"/>
      </rPr>
      <t xml:space="preserve">05</t>
    </r>
    <r>
      <rPr>
        <sz val="10"/>
        <rFont val="WenQuanYi Zen Hei"/>
        <family val="2"/>
      </rPr>
      <t xml:space="preserve">）。</t>
    </r>
    <r>
      <rPr>
        <sz val="10"/>
        <rFont val="Meiryo UI"/>
        <family val="0"/>
        <charset val="1"/>
      </rPr>
      <t xml:space="preserve">2</t>
    </r>
    <r>
      <rPr>
        <sz val="10"/>
        <rFont val="WenQuanYi Zen Hei"/>
        <family val="2"/>
      </rPr>
      <t xml:space="preserve">台購入、残りは借用で対応</t>
    </r>
  </si>
  <si>
    <t xml:space="preserve">3</t>
  </si>
  <si>
    <t xml:space="preserve">眠り穴かがりミシン</t>
  </si>
  <si>
    <t xml:space="preserve">Hikari HBH-1790E-S</t>
  </si>
  <si>
    <t xml:space="preserve">見送り</t>
  </si>
  <si>
    <t xml:space="preserve">-</t>
  </si>
  <si>
    <r>
      <rPr>
        <sz val="10"/>
        <rFont val="WenQuanYi Zen Hei"/>
        <family val="2"/>
      </rPr>
      <t xml:space="preserve">原案でも優先②のみ。</t>
    </r>
    <r>
      <rPr>
        <sz val="10"/>
        <rFont val="Meiryo UI"/>
        <family val="0"/>
        <charset val="1"/>
      </rPr>
      <t xml:space="preserve">2026</t>
    </r>
    <r>
      <rPr>
        <sz val="10"/>
        <rFont val="WenQuanYi Zen Hei"/>
        <family val="2"/>
      </rPr>
      <t xml:space="preserve">年度は計上しない</t>
    </r>
  </si>
  <si>
    <t xml:space="preserve">4</t>
  </si>
  <si>
    <r>
      <rPr>
        <sz val="10"/>
        <rFont val="WenQuanYi Zen Hei"/>
        <family val="2"/>
      </rPr>
      <t xml:space="preserve">パターンシーマ 中型 </t>
    </r>
    <r>
      <rPr>
        <sz val="10"/>
        <rFont val="Meiryo UI"/>
        <family val="0"/>
        <charset val="1"/>
      </rPr>
      <t xml:space="preserve">60×40</t>
    </r>
  </si>
  <si>
    <t xml:space="preserve">Hikari HMS-6040</t>
  </si>
  <si>
    <t xml:space="preserve">改善</t>
  </si>
  <si>
    <r>
      <rPr>
        <sz val="10"/>
        <rFont val="Meiryo UI"/>
        <family val="0"/>
        <charset val="1"/>
      </rPr>
      <t xml:space="preserve">GW</t>
    </r>
    <r>
      <rPr>
        <sz val="10"/>
        <rFont val="WenQuanYi Zen Hei"/>
        <family val="2"/>
      </rPr>
      <t xml:space="preserve">系ポケットファスナーの</t>
    </r>
    <r>
      <rPr>
        <sz val="10"/>
        <rFont val="Meiryo UI"/>
        <family val="0"/>
        <charset val="1"/>
      </rPr>
      <t xml:space="preserve">PS</t>
    </r>
    <r>
      <rPr>
        <sz val="10"/>
        <rFont val="WenQuanYi Zen Hei"/>
        <family val="2"/>
      </rPr>
      <t xml:space="preserve">指示。運用設計（</t>
    </r>
    <r>
      <rPr>
        <sz val="10"/>
        <rFont val="Meiryo UI"/>
        <family val="0"/>
        <charset val="1"/>
      </rPr>
      <t xml:space="preserve">08</t>
    </r>
    <r>
      <rPr>
        <sz val="10"/>
        <rFont val="WenQuanYi Zen Hei"/>
        <family val="2"/>
      </rPr>
      <t xml:space="preserve">）とセットで導入、効果は</t>
    </r>
    <r>
      <rPr>
        <sz val="10"/>
        <rFont val="Meiryo UI"/>
        <family val="0"/>
        <charset val="1"/>
      </rPr>
      <t xml:space="preserve">07</t>
    </r>
    <r>
      <rPr>
        <sz val="10"/>
        <rFont val="WenQuanYi Zen Hei"/>
        <family val="2"/>
      </rPr>
      <t xml:space="preserve">で実測</t>
    </r>
  </si>
  <si>
    <r>
      <rPr>
        <sz val="10"/>
        <rFont val="Meiryo UI"/>
        <family val="0"/>
        <charset val="1"/>
      </rPr>
      <t xml:space="preserve">07_</t>
    </r>
    <r>
      <rPr>
        <sz val="10"/>
        <rFont val="WenQuanYi Zen Hei"/>
        <family val="2"/>
      </rPr>
      <t xml:space="preserve">省人効果</t>
    </r>
  </si>
  <si>
    <t xml:space="preserve">5</t>
  </si>
  <si>
    <r>
      <rPr>
        <sz val="10"/>
        <rFont val="WenQuanYi Zen Hei"/>
        <family val="2"/>
      </rPr>
      <t xml:space="preserve">パターンシーマ 大型 </t>
    </r>
    <r>
      <rPr>
        <sz val="10"/>
        <rFont val="Meiryo UI"/>
        <family val="0"/>
        <charset val="1"/>
      </rPr>
      <t xml:space="preserve">130×95</t>
    </r>
    <r>
      <rPr>
        <sz val="10"/>
        <rFont val="WenQuanYi Zen Hei"/>
        <family val="2"/>
      </rPr>
      <t xml:space="preserve">（</t>
    </r>
    <r>
      <rPr>
        <sz val="10"/>
        <rFont val="Meiryo UI"/>
        <family val="0"/>
        <charset val="1"/>
      </rPr>
      <t xml:space="preserve">360</t>
    </r>
    <r>
      <rPr>
        <sz val="10"/>
        <rFont val="WenQuanYi Zen Hei"/>
        <family val="2"/>
      </rPr>
      <t xml:space="preserve">度回転）</t>
    </r>
  </si>
  <si>
    <t xml:space="preserve">Hikari HMS-13095A/RND</t>
  </si>
  <si>
    <r>
      <rPr>
        <sz val="10"/>
        <rFont val="Meiryo UI"/>
        <family val="0"/>
        <charset val="1"/>
      </rPr>
      <t xml:space="preserve">6→4</t>
    </r>
    <r>
      <rPr>
        <sz val="10"/>
        <rFont val="WenQuanYi Zen Hei"/>
        <family val="2"/>
      </rPr>
      <t xml:space="preserve">台に段階導入。数値で確認できる効果はレンタル</t>
    </r>
    <r>
      <rPr>
        <sz val="10"/>
        <rFont val="Meiryo UI"/>
        <family val="0"/>
        <charset val="1"/>
      </rPr>
      <t xml:space="preserve">3,016.54</t>
    </r>
    <r>
      <rPr>
        <sz val="10"/>
        <rFont val="WenQuanYi Zen Hei"/>
        <family val="2"/>
      </rPr>
      <t xml:space="preserve">＋キルティング外注約</t>
    </r>
    <r>
      <rPr>
        <sz val="10"/>
        <rFont val="Meiryo UI"/>
        <family val="0"/>
        <charset val="1"/>
      </rPr>
      <t xml:space="preserve">3,000USD/</t>
    </r>
    <r>
      <rPr>
        <sz val="10"/>
        <rFont val="WenQuanYi Zen Hei"/>
        <family val="2"/>
      </rPr>
      <t xml:space="preserve">年。省人実測後に追加判断</t>
    </r>
  </si>
  <si>
    <t xml:space="preserve">6</t>
  </si>
  <si>
    <t xml:space="preserve">本縫針送りミシン</t>
  </si>
  <si>
    <t xml:space="preserve">DUMA DM1968L-NF</t>
  </si>
  <si>
    <r>
      <rPr>
        <sz val="10"/>
        <rFont val="WenQuanYi Zen Hei"/>
        <family val="2"/>
      </rPr>
      <t xml:space="preserve">各ライン</t>
    </r>
    <r>
      <rPr>
        <sz val="10"/>
        <rFont val="Meiryo UI"/>
        <family val="0"/>
        <charset val="1"/>
      </rPr>
      <t xml:space="preserve">1</t>
    </r>
    <r>
      <rPr>
        <sz val="10"/>
        <rFont val="WenQuanYi Zen Hei"/>
        <family val="2"/>
      </rPr>
      <t xml:space="preserve">台必要（</t>
    </r>
    <r>
      <rPr>
        <sz val="10"/>
        <rFont val="Meiryo UI"/>
        <family val="0"/>
        <charset val="1"/>
      </rPr>
      <t xml:space="preserve">31</t>
    </r>
    <r>
      <rPr>
        <sz val="10"/>
        <rFont val="WenQuanYi Zen Hei"/>
        <family val="2"/>
      </rPr>
      <t xml:space="preserve">台）に対し現有</t>
    </r>
    <r>
      <rPr>
        <sz val="10"/>
        <rFont val="Meiryo UI"/>
        <family val="0"/>
        <charset val="1"/>
      </rPr>
      <t xml:space="preserve">17</t>
    </r>
    <r>
      <rPr>
        <sz val="10"/>
        <rFont val="WenQuanYi Zen Hei"/>
        <family val="2"/>
      </rPr>
      <t xml:space="preserve">台。レンタル削減額は</t>
    </r>
    <r>
      <rPr>
        <sz val="10"/>
        <rFont val="Meiryo UI"/>
        <family val="0"/>
        <charset val="1"/>
      </rPr>
      <t xml:space="preserve">2025</t>
    </r>
    <r>
      <rPr>
        <sz val="10"/>
        <rFont val="WenQuanYi Zen Hei"/>
        <family val="2"/>
      </rPr>
      <t xml:space="preserve">実績で再確認（</t>
    </r>
    <r>
      <rPr>
        <sz val="10"/>
        <rFont val="Meiryo UI"/>
        <family val="0"/>
        <charset val="1"/>
      </rPr>
      <t xml:space="preserve">14</t>
    </r>
    <r>
      <rPr>
        <sz val="10"/>
        <rFont val="WenQuanYi Zen Hei"/>
        <family val="2"/>
      </rPr>
      <t xml:space="preserve">参照）</t>
    </r>
  </si>
  <si>
    <r>
      <rPr>
        <sz val="10"/>
        <rFont val="Meiryo UI"/>
        <family val="0"/>
        <charset val="1"/>
      </rPr>
      <t xml:space="preserve">14_</t>
    </r>
    <r>
      <rPr>
        <sz val="10"/>
        <rFont val="WenQuanYi Zen Hei"/>
        <family val="2"/>
      </rPr>
      <t xml:space="preserve">原案チェック</t>
    </r>
  </si>
  <si>
    <t xml:space="preserve">7</t>
  </si>
  <si>
    <r>
      <rPr>
        <sz val="10"/>
        <rFont val="WenQuanYi Zen Hei"/>
        <family val="2"/>
      </rPr>
      <t xml:space="preserve">シームシーリング </t>
    </r>
    <r>
      <rPr>
        <sz val="10"/>
        <rFont val="Meiryo UI"/>
        <family val="0"/>
        <charset val="1"/>
      </rPr>
      <t xml:space="preserve">Spec-D</t>
    </r>
    <r>
      <rPr>
        <sz val="10"/>
        <rFont val="WenQuanYi Zen Hei"/>
        <family val="2"/>
      </rPr>
      <t xml:space="preserve">（ロングアーム）</t>
    </r>
  </si>
  <si>
    <t xml:space="preserve">H&amp;H AI-002 spec-D</t>
  </si>
  <si>
    <r>
      <rPr>
        <sz val="10"/>
        <rFont val="Meiryo UI"/>
        <family val="0"/>
        <charset val="1"/>
      </rPr>
      <t xml:space="preserve">3→2</t>
    </r>
    <r>
      <rPr>
        <sz val="10"/>
        <rFont val="WenQuanYi Zen Hei"/>
        <family val="2"/>
      </rPr>
      <t xml:space="preserve">台。</t>
    </r>
    <r>
      <rPr>
        <sz val="10"/>
        <rFont val="Meiryo UI"/>
        <family val="0"/>
        <charset val="1"/>
      </rPr>
      <t xml:space="preserve">2</t>
    </r>
    <r>
      <rPr>
        <sz val="10"/>
        <rFont val="WenQuanYi Zen Hei"/>
        <family val="2"/>
      </rPr>
      <t xml:space="preserve">名体制→</t>
    </r>
    <r>
      <rPr>
        <sz val="10"/>
        <rFont val="Meiryo UI"/>
        <family val="0"/>
        <charset val="1"/>
      </rPr>
      <t xml:space="preserve">1</t>
    </r>
    <r>
      <rPr>
        <sz val="10"/>
        <rFont val="WenQuanYi Zen Hei"/>
        <family val="2"/>
      </rPr>
      <t xml:space="preserve">名化の省人効果を</t>
    </r>
    <r>
      <rPr>
        <sz val="10"/>
        <rFont val="Meiryo UI"/>
        <family val="0"/>
        <charset val="1"/>
      </rPr>
      <t xml:space="preserve">07</t>
    </r>
    <r>
      <rPr>
        <sz val="10"/>
        <rFont val="WenQuanYi Zen Hei"/>
        <family val="2"/>
      </rPr>
      <t xml:space="preserve">で実測し、効果確認後に追加</t>
    </r>
  </si>
  <si>
    <t xml:space="preserve">8</t>
  </si>
  <si>
    <r>
      <rPr>
        <sz val="10"/>
        <rFont val="WenQuanYi Zen Hei"/>
        <family val="2"/>
      </rPr>
      <t xml:space="preserve">シームシーリング </t>
    </r>
    <r>
      <rPr>
        <sz val="10"/>
        <rFont val="Meiryo UI"/>
        <family val="0"/>
        <charset val="1"/>
      </rPr>
      <t xml:space="preserve">Spec-IJ</t>
    </r>
    <r>
      <rPr>
        <sz val="10"/>
        <rFont val="WenQuanYi Zen Hei"/>
        <family val="2"/>
      </rPr>
      <t xml:space="preserve">（曲線部）</t>
    </r>
  </si>
  <si>
    <t xml:space="preserve">H&amp;H AI-129 spec-IJ</t>
  </si>
  <si>
    <t xml:space="preserve">戦略／検証</t>
  </si>
  <si>
    <r>
      <rPr>
        <sz val="10"/>
        <rFont val="WenQuanYi Zen Hei"/>
        <family val="2"/>
      </rPr>
      <t xml:space="preserve">評価用</t>
    </r>
    <r>
      <rPr>
        <sz val="10"/>
        <rFont val="Meiryo UI"/>
        <family val="0"/>
        <charset val="1"/>
      </rPr>
      <t xml:space="preserve">1</t>
    </r>
    <r>
      <rPr>
        <sz val="10"/>
        <rFont val="WenQuanYi Zen Hei"/>
        <family val="2"/>
      </rPr>
      <t xml:space="preserve">台（量産ライン配置、剥離不良率で評価）</t>
    </r>
  </si>
  <si>
    <r>
      <rPr>
        <sz val="10"/>
        <rFont val="Meiryo UI"/>
        <family val="0"/>
        <charset val="1"/>
      </rPr>
      <t xml:space="preserve">04_</t>
    </r>
    <r>
      <rPr>
        <sz val="10"/>
        <rFont val="WenQuanYi Zen Hei"/>
        <family val="2"/>
      </rPr>
      <t xml:space="preserve">機種別比較</t>
    </r>
  </si>
  <si>
    <t xml:space="preserve">9</t>
  </si>
  <si>
    <r>
      <rPr>
        <sz val="10"/>
        <rFont val="WenQuanYi Zen Hei"/>
        <family val="2"/>
      </rPr>
      <t xml:space="preserve">温冷プレス </t>
    </r>
    <r>
      <rPr>
        <sz val="10"/>
        <rFont val="Meiryo UI"/>
        <family val="0"/>
        <charset val="1"/>
      </rPr>
      <t xml:space="preserve">60×12cm</t>
    </r>
  </si>
  <si>
    <t xml:space="preserve">H&amp;H CSL-201</t>
  </si>
  <si>
    <r>
      <rPr>
        <sz val="10"/>
        <rFont val="WenQuanYi Zen Hei"/>
        <family val="2"/>
      </rPr>
      <t xml:space="preserve">現有</t>
    </r>
    <r>
      <rPr>
        <sz val="10"/>
        <rFont val="Meiryo UI"/>
        <family val="0"/>
        <charset val="1"/>
      </rPr>
      <t xml:space="preserve">30×10cm 26</t>
    </r>
    <r>
      <rPr>
        <sz val="10"/>
        <rFont val="WenQuanYi Zen Hei"/>
        <family val="2"/>
      </rPr>
      <t xml:space="preserve">台で不足。工程秒約半減（原案記載）→ 対象数量で効果算出</t>
    </r>
  </si>
  <si>
    <r>
      <rPr>
        <sz val="10"/>
        <rFont val="Meiryo UI"/>
        <family val="0"/>
        <charset val="1"/>
      </rPr>
      <t xml:space="preserve">13_</t>
    </r>
    <r>
      <rPr>
        <sz val="10"/>
        <rFont val="WenQuanYi Zen Hei"/>
        <family val="2"/>
      </rPr>
      <t xml:space="preserve">費用対効果</t>
    </r>
    <r>
      <rPr>
        <sz val="10"/>
        <rFont val="Meiryo UI"/>
        <family val="0"/>
        <charset val="1"/>
      </rPr>
      <t xml:space="preserve">PL</t>
    </r>
  </si>
  <si>
    <t xml:space="preserve">10</t>
  </si>
  <si>
    <r>
      <rPr>
        <sz val="10"/>
        <rFont val="WenQuanYi Zen Hei"/>
        <family val="2"/>
      </rPr>
      <t xml:space="preserve">平プレス </t>
    </r>
    <r>
      <rPr>
        <sz val="10"/>
        <rFont val="Meiryo UI"/>
        <family val="0"/>
        <charset val="1"/>
      </rPr>
      <t xml:space="preserve">125×83cm</t>
    </r>
  </si>
  <si>
    <t xml:space="preserve">H&amp;H CS-691</t>
  </si>
  <si>
    <r>
      <rPr>
        <sz val="10"/>
        <rFont val="Meiryo UI"/>
        <family val="0"/>
        <charset val="1"/>
      </rPr>
      <t xml:space="preserve">2→1</t>
    </r>
    <r>
      <rPr>
        <sz val="10"/>
        <rFont val="WenQuanYi Zen Hei"/>
        <family val="2"/>
      </rPr>
      <t xml:space="preserve">台。精度検証方法（</t>
    </r>
    <r>
      <rPr>
        <sz val="10"/>
        <rFont val="Meiryo UI"/>
        <family val="0"/>
        <charset val="1"/>
      </rPr>
      <t xml:space="preserve">10</t>
    </r>
    <r>
      <rPr>
        <sz val="10"/>
        <rFont val="WenQuanYi Zen Hei"/>
        <family val="2"/>
      </rPr>
      <t xml:space="preserve">）で効果確認後に追加</t>
    </r>
  </si>
  <si>
    <r>
      <rPr>
        <sz val="10"/>
        <rFont val="Meiryo UI"/>
        <family val="0"/>
        <charset val="1"/>
      </rPr>
      <t xml:space="preserve">10_</t>
    </r>
    <r>
      <rPr>
        <sz val="10"/>
        <rFont val="WenQuanYi Zen Hei"/>
        <family val="2"/>
      </rPr>
      <t xml:space="preserve">平プレス検証</t>
    </r>
  </si>
  <si>
    <t xml:space="preserve">11</t>
  </si>
  <si>
    <r>
      <rPr>
        <sz val="10"/>
        <rFont val="WenQuanYi Zen Hei"/>
        <family val="2"/>
      </rPr>
      <t xml:space="preserve">スポットプレス </t>
    </r>
    <r>
      <rPr>
        <sz val="10"/>
        <rFont val="Meiryo UI"/>
        <family val="0"/>
        <charset val="1"/>
      </rPr>
      <t xml:space="preserve">30×10cm</t>
    </r>
    <r>
      <rPr>
        <sz val="10"/>
        <rFont val="WenQuanYi Zen Hei"/>
        <family val="2"/>
      </rPr>
      <t xml:space="preserve">（安全装置付）</t>
    </r>
  </si>
  <si>
    <t xml:space="preserve">PTTG MEN/PTTG 300X100</t>
  </si>
  <si>
    <t xml:space="preserve">必須（安全）</t>
  </si>
  <si>
    <r>
      <rPr>
        <sz val="10"/>
        <rFont val="WenQuanYi Zen Hei"/>
        <family val="2"/>
      </rPr>
      <t xml:space="preserve">安全装置なし旧型を全数入替。台数は</t>
    </r>
    <r>
      <rPr>
        <sz val="10"/>
        <rFont val="Meiryo UI"/>
        <family val="0"/>
        <charset val="1"/>
      </rPr>
      <t xml:space="preserve">09</t>
    </r>
    <r>
      <rPr>
        <sz val="10"/>
        <rFont val="WenQuanYi Zen Hei"/>
        <family val="2"/>
      </rPr>
      <t xml:space="preserve">の計算結果（暫定：必要</t>
    </r>
    <r>
      <rPr>
        <sz val="10"/>
        <rFont val="Meiryo UI"/>
        <family val="0"/>
        <charset val="1"/>
      </rPr>
      <t xml:space="preserve">45</t>
    </r>
    <r>
      <rPr>
        <sz val="10"/>
        <rFont val="WenQuanYi Zen Hei"/>
        <family val="2"/>
      </rPr>
      <t xml:space="preserve">台−新型現有</t>
    </r>
    <r>
      <rPr>
        <sz val="10"/>
        <rFont val="Meiryo UI"/>
        <family val="0"/>
        <charset val="1"/>
      </rPr>
      <t xml:space="preserve">15</t>
    </r>
    <r>
      <rPr>
        <sz val="10"/>
        <rFont val="WenQuanYi Zen Hei"/>
        <family val="2"/>
      </rPr>
      <t xml:space="preserve">台）</t>
    </r>
  </si>
  <si>
    <r>
      <rPr>
        <sz val="10"/>
        <rFont val="Meiryo UI"/>
        <family val="0"/>
        <charset val="1"/>
      </rPr>
      <t xml:space="preserve">09_</t>
    </r>
    <r>
      <rPr>
        <sz val="10"/>
        <rFont val="WenQuanYi Zen Hei"/>
        <family val="2"/>
      </rPr>
      <t xml:space="preserve">スポットプレス</t>
    </r>
  </si>
  <si>
    <t xml:space="preserve">12</t>
  </si>
  <si>
    <r>
      <rPr>
        <sz val="10"/>
        <rFont val="Meiryo UI"/>
        <family val="0"/>
        <charset val="1"/>
      </rPr>
      <t xml:space="preserve">Nawon</t>
    </r>
    <r>
      <rPr>
        <sz val="10"/>
        <rFont val="WenQuanYi Zen Hei"/>
        <family val="2"/>
      </rPr>
      <t xml:space="preserve">温冷プレス（フロントジッパー）</t>
    </r>
  </si>
  <si>
    <t xml:space="preserve">Nawon HTM-8749</t>
  </si>
  <si>
    <t xml:space="preserve">必須（顧客要求）</t>
  </si>
  <si>
    <r>
      <rPr>
        <sz val="10"/>
        <rFont val="Meiryo UI"/>
        <family val="0"/>
        <charset val="1"/>
      </rPr>
      <t xml:space="preserve">26FW GW</t>
    </r>
    <r>
      <rPr>
        <sz val="10"/>
        <rFont val="WenQuanYi Zen Hei"/>
        <family val="2"/>
      </rPr>
      <t xml:space="preserve">要請（</t>
    </r>
    <r>
      <rPr>
        <sz val="10"/>
        <rFont val="Meiryo UI"/>
        <family val="0"/>
        <charset val="1"/>
      </rPr>
      <t xml:space="preserve">SW1</t>
    </r>
    <r>
      <rPr>
        <sz val="10"/>
        <rFont val="WenQuanYi Zen Hei"/>
        <family val="2"/>
      </rPr>
      <t xml:space="preserve">課より</t>
    </r>
    <r>
      <rPr>
        <sz val="10"/>
        <rFont val="Meiryo UI"/>
        <family val="0"/>
        <charset val="1"/>
      </rPr>
      <t xml:space="preserve">4</t>
    </r>
    <r>
      <rPr>
        <sz val="10"/>
        <rFont val="WenQuanYi Zen Hei"/>
        <family val="2"/>
      </rPr>
      <t xml:space="preserve">種導入要望）</t>
    </r>
  </si>
  <si>
    <t xml:space="preserve">13</t>
  </si>
  <si>
    <r>
      <rPr>
        <sz val="10"/>
        <rFont val="Meiryo UI"/>
        <family val="0"/>
        <charset val="1"/>
      </rPr>
      <t xml:space="preserve">Nawon</t>
    </r>
    <r>
      <rPr>
        <sz val="10"/>
        <rFont val="WenQuanYi Zen Hei"/>
        <family val="2"/>
      </rPr>
      <t xml:space="preserve">温冷プレス（袖）</t>
    </r>
  </si>
  <si>
    <t xml:space="preserve">Nawon HTM-8739</t>
  </si>
  <si>
    <t xml:space="preserve">同上</t>
  </si>
  <si>
    <t xml:space="preserve">14</t>
  </si>
  <si>
    <r>
      <rPr>
        <sz val="10"/>
        <rFont val="Meiryo UI"/>
        <family val="0"/>
        <charset val="1"/>
      </rPr>
      <t xml:space="preserve">Nawon</t>
    </r>
    <r>
      <rPr>
        <sz val="10"/>
        <rFont val="WenQuanYi Zen Hei"/>
        <family val="2"/>
      </rPr>
      <t xml:space="preserve">温冷プレス（ヘムライン）</t>
    </r>
  </si>
  <si>
    <t xml:space="preserve">Nawon HTM-8709</t>
  </si>
  <si>
    <r>
      <rPr>
        <sz val="10"/>
        <rFont val="WenQuanYi Zen Hei"/>
        <family val="2"/>
      </rPr>
      <t xml:space="preserve">同上。ストレート型は</t>
    </r>
    <r>
      <rPr>
        <sz val="10"/>
        <rFont val="Meiryo UI"/>
        <family val="0"/>
        <charset val="1"/>
      </rPr>
      <t xml:space="preserve">H&amp;H CSL-207</t>
    </r>
    <r>
      <rPr>
        <sz val="10"/>
        <rFont val="WenQuanYi Zen Hei"/>
        <family val="2"/>
      </rPr>
      <t xml:space="preserve">（</t>
    </r>
    <r>
      <rPr>
        <sz val="10"/>
        <rFont val="Meiryo UI"/>
        <family val="0"/>
        <charset val="1"/>
      </rPr>
      <t xml:space="preserve">10,500USD</t>
    </r>
    <r>
      <rPr>
        <sz val="10"/>
        <rFont val="WenQuanYi Zen Hei"/>
        <family val="2"/>
      </rPr>
      <t xml:space="preserve">）で代替可能性あり → 追加削減オプション</t>
    </r>
  </si>
  <si>
    <t xml:space="preserve">15</t>
  </si>
  <si>
    <r>
      <rPr>
        <sz val="10"/>
        <rFont val="Meiryo UI"/>
        <family val="0"/>
        <charset val="1"/>
      </rPr>
      <t xml:space="preserve">Nawon</t>
    </r>
    <r>
      <rPr>
        <sz val="10"/>
        <rFont val="WenQuanYi Zen Hei"/>
        <family val="2"/>
      </rPr>
      <t xml:space="preserve">温冷プレス（カーブ）</t>
    </r>
  </si>
  <si>
    <t xml:space="preserve">Nawon HTM-8601</t>
  </si>
  <si>
    <r>
      <rPr>
        <sz val="10"/>
        <rFont val="WenQuanYi Zen Hei"/>
        <family val="2"/>
      </rPr>
      <t xml:space="preserve">同上（</t>
    </r>
    <r>
      <rPr>
        <sz val="10"/>
        <rFont val="Meiryo UI"/>
        <family val="0"/>
        <charset val="1"/>
      </rPr>
      <t xml:space="preserve">2025</t>
    </r>
    <r>
      <rPr>
        <sz val="10"/>
        <rFont val="WenQuanYi Zen Hei"/>
        <family val="2"/>
      </rPr>
      <t xml:space="preserve">年度</t>
    </r>
    <r>
      <rPr>
        <sz val="10"/>
        <rFont val="Meiryo UI"/>
        <family val="0"/>
        <charset val="1"/>
      </rPr>
      <t xml:space="preserve">1</t>
    </r>
    <r>
      <rPr>
        <sz val="10"/>
        <rFont val="WenQuanYi Zen Hei"/>
        <family val="2"/>
      </rPr>
      <t xml:space="preserve">台導入済）</t>
    </r>
  </si>
  <si>
    <t xml:space="preserve">16</t>
  </si>
  <si>
    <t xml:space="preserve">自動延反機</t>
  </si>
  <si>
    <t xml:space="preserve">NCA ES-8</t>
  </si>
  <si>
    <r>
      <rPr>
        <sz val="10"/>
        <rFont val="Meiryo UI"/>
        <family val="0"/>
        <charset val="1"/>
      </rPr>
      <t xml:space="preserve">2/25</t>
    </r>
    <r>
      <rPr>
        <sz val="10"/>
        <rFont val="WenQuanYi Zen Hei"/>
        <family val="2"/>
      </rPr>
      <t xml:space="preserve">打合せで</t>
    </r>
    <r>
      <rPr>
        <sz val="10"/>
        <rFont val="Meiryo UI"/>
        <family val="0"/>
        <charset val="1"/>
      </rPr>
      <t xml:space="preserve">26</t>
    </r>
    <r>
      <rPr>
        <sz val="10"/>
        <rFont val="WenQuanYi Zen Hei"/>
        <family val="2"/>
      </rPr>
      <t xml:space="preserve">年度見送り</t>
    </r>
  </si>
  <si>
    <t xml:space="preserve">17</t>
  </si>
  <si>
    <t xml:space="preserve">ダウン充填機</t>
  </si>
  <si>
    <t xml:space="preserve">Shenghong 1184RM10</t>
  </si>
  <si>
    <r>
      <rPr>
        <sz val="10"/>
        <rFont val="Meiryo UI"/>
        <family val="0"/>
        <charset val="1"/>
      </rPr>
      <t xml:space="preserve">3/25</t>
    </r>
    <r>
      <rPr>
        <sz val="10"/>
        <rFont val="WenQuanYi Zen Hei"/>
        <family val="2"/>
      </rPr>
      <t xml:space="preserve">打合せで見送り（現有</t>
    </r>
    <r>
      <rPr>
        <sz val="10"/>
        <rFont val="Meiryo UI"/>
        <family val="0"/>
        <charset val="1"/>
      </rPr>
      <t xml:space="preserve">4</t>
    </r>
    <r>
      <rPr>
        <sz val="10"/>
        <rFont val="WenQuanYi Zen Hei"/>
        <family val="2"/>
      </rPr>
      <t xml:space="preserve">台で最大</t>
    </r>
    <r>
      <rPr>
        <sz val="10"/>
        <rFont val="Meiryo UI"/>
        <family val="0"/>
        <charset val="1"/>
      </rPr>
      <t xml:space="preserve">10</t>
    </r>
    <r>
      <rPr>
        <sz val="10"/>
        <rFont val="WenQuanYi Zen Hei"/>
        <family val="2"/>
      </rPr>
      <t xml:space="preserve">ライン対応可）</t>
    </r>
  </si>
  <si>
    <t xml:space="preserve">18</t>
  </si>
  <si>
    <r>
      <rPr>
        <sz val="10"/>
        <rFont val="WenQuanYi Zen Hei"/>
        <family val="2"/>
      </rPr>
      <t xml:space="preserve">超音波溶着機 </t>
    </r>
    <r>
      <rPr>
        <sz val="10"/>
        <rFont val="Meiryo UI"/>
        <family val="0"/>
        <charset val="1"/>
      </rPr>
      <t xml:space="preserve">35Hz</t>
    </r>
  </si>
  <si>
    <t xml:space="preserve">H&amp;H US-512</t>
  </si>
  <si>
    <t xml:space="preserve">トライアル（サンプル試作で評価、営業提案の幅を広げる）</t>
  </si>
  <si>
    <t xml:space="preserve">18※</t>
  </si>
  <si>
    <t xml:space="preserve">テーピングマシン（比較検証用）</t>
  </si>
  <si>
    <t xml:space="preserve">Nawon HTM-5588 SSF-LDi</t>
  </si>
  <si>
    <r>
      <rPr>
        <sz val="10"/>
        <rFont val="WenQuanYi Zen Hei"/>
        <family val="2"/>
      </rPr>
      <t xml:space="preserve">原案でも優先②のみ。※原案で</t>
    </r>
    <r>
      <rPr>
        <sz val="10"/>
        <rFont val="Meiryo UI"/>
        <family val="0"/>
        <charset val="1"/>
      </rPr>
      <t xml:space="preserve">No.18</t>
    </r>
    <r>
      <rPr>
        <sz val="10"/>
        <rFont val="WenQuanYi Zen Hei"/>
        <family val="2"/>
      </rPr>
      <t xml:space="preserve">が重複</t>
    </r>
  </si>
  <si>
    <t xml:space="preserve">19</t>
  </si>
  <si>
    <t xml:space="preserve">Nawon HTM-3833 SSF-Ldi</t>
  </si>
  <si>
    <t xml:space="preserve">原案でも優先②のみ</t>
  </si>
  <si>
    <t xml:space="preserve">20</t>
  </si>
  <si>
    <r>
      <rPr>
        <sz val="10"/>
        <rFont val="WenQuanYi Zen Hei"/>
        <family val="2"/>
      </rPr>
      <t xml:space="preserve">刺繍機（</t>
    </r>
    <r>
      <rPr>
        <sz val="10"/>
        <rFont val="Meiryo UI"/>
        <family val="0"/>
        <charset val="1"/>
      </rPr>
      <t xml:space="preserve">20</t>
    </r>
    <r>
      <rPr>
        <sz val="10"/>
        <rFont val="WenQuanYi Zen Hei"/>
        <family val="2"/>
      </rPr>
      <t xml:space="preserve">頭）</t>
    </r>
  </si>
  <si>
    <t xml:space="preserve">TAJIMA TMCP-V0920F</t>
  </si>
  <si>
    <t xml:space="preserve">合計</t>
  </si>
  <si>
    <t xml:space="preserve">総額チェック</t>
  </si>
  <si>
    <t xml:space="preserve">判定・備考</t>
  </si>
  <si>
    <r>
      <rPr>
        <sz val="10"/>
        <rFont val="WenQuanYi Zen Hei"/>
        <family val="2"/>
      </rPr>
      <t xml:space="preserve">原案ファイルの</t>
    </r>
    <r>
      <rPr>
        <sz val="10"/>
        <rFont val="Meiryo UI"/>
        <family val="0"/>
        <charset val="1"/>
      </rPr>
      <t xml:space="preserve">N25</t>
    </r>
    <r>
      <rPr>
        <sz val="10"/>
        <rFont val="WenQuanYi Zen Hei"/>
        <family val="2"/>
      </rPr>
      <t xml:space="preserve">（</t>
    </r>
    <r>
      <rPr>
        <sz val="10"/>
        <rFont val="Meiryo UI"/>
        <family val="0"/>
        <charset val="1"/>
      </rPr>
      <t xml:space="preserve">267,343USD</t>
    </r>
    <r>
      <rPr>
        <sz val="10"/>
        <rFont val="WenQuanYi Zen Hei"/>
        <family val="2"/>
      </rPr>
      <t xml:space="preserve">）と一致</t>
    </r>
  </si>
  <si>
    <r>
      <rPr>
        <b val="true"/>
        <sz val="10"/>
        <rFont val="WenQuanYi Zen Hei"/>
        <family val="2"/>
      </rPr>
      <t xml:space="preserve">投資額上限目標（</t>
    </r>
    <r>
      <rPr>
        <b val="true"/>
        <sz val="10"/>
        <rFont val="Meiryo UI"/>
        <family val="0"/>
        <charset val="1"/>
      </rPr>
      <t xml:space="preserve">Suntool</t>
    </r>
    <r>
      <rPr>
        <b val="true"/>
        <sz val="10"/>
        <rFont val="WenQuanYi Zen Hei"/>
        <family val="2"/>
      </rPr>
      <t xml:space="preserve">除く）</t>
    </r>
  </si>
  <si>
    <r>
      <rPr>
        <sz val="10"/>
        <rFont val="WenQuanYi Zen Hei"/>
        <family val="2"/>
      </rPr>
      <t xml:space="preserve">前提条件</t>
    </r>
    <r>
      <rPr>
        <sz val="10"/>
        <rFont val="Meiryo UI"/>
        <family val="0"/>
        <charset val="1"/>
      </rPr>
      <t xml:space="preserve">C13</t>
    </r>
  </si>
  <si>
    <t xml:space="preserve">上限との差（＋＝余裕）</t>
  </si>
  <si>
    <r>
      <rPr>
        <b val="true"/>
        <sz val="10"/>
        <rFont val="Meiryo UI"/>
        <family val="0"/>
        <charset val="1"/>
      </rPr>
      <t xml:space="preserve">APIC</t>
    </r>
    <r>
      <rPr>
        <b val="true"/>
        <sz val="10"/>
        <rFont val="WenQuanYi Zen Hei"/>
        <family val="2"/>
      </rPr>
      <t xml:space="preserve">負担（前提）</t>
    </r>
  </si>
  <si>
    <r>
      <rPr>
        <sz val="10"/>
        <rFont val="Meiryo UI"/>
        <family val="0"/>
        <charset val="1"/>
      </rPr>
      <t xml:space="preserve">APIC</t>
    </r>
    <r>
      <rPr>
        <sz val="10"/>
        <rFont val="WenQuanYi Zen Hei"/>
        <family val="2"/>
      </rPr>
      <t xml:space="preserve">負担分の資産保有・償却処理は要確認（</t>
    </r>
    <r>
      <rPr>
        <sz val="10"/>
        <rFont val="Meiryo UI"/>
        <family val="0"/>
        <charset val="1"/>
      </rPr>
      <t xml:space="preserve">13</t>
    </r>
    <r>
      <rPr>
        <sz val="10"/>
        <rFont val="WenQuanYi Zen Hei"/>
        <family val="2"/>
      </rPr>
      <t xml:space="preserve">参照）</t>
    </r>
  </si>
  <si>
    <t xml:space="preserve">投資区分別（調整案）</t>
  </si>
  <si>
    <t xml:space="preserve">構成比</t>
  </si>
  <si>
    <t xml:space="preserve">考え方</t>
  </si>
  <si>
    <r>
      <rPr>
        <sz val="10"/>
        <rFont val="WenQuanYi Zen Hei"/>
        <family val="2"/>
      </rPr>
      <t xml:space="preserve">安全リスクの解消。</t>
    </r>
    <r>
      <rPr>
        <sz val="10"/>
        <rFont val="Meiryo UI"/>
        <family val="0"/>
        <charset val="1"/>
      </rPr>
      <t xml:space="preserve">ROI</t>
    </r>
    <r>
      <rPr>
        <sz val="10"/>
        <rFont val="WenQuanYi Zen Hei"/>
        <family val="2"/>
      </rPr>
      <t xml:space="preserve">ではなく安全で判断</t>
    </r>
  </si>
  <si>
    <t xml:space="preserve">顧客指示・要請への対応（受注維持）</t>
  </si>
  <si>
    <t xml:space="preserve">機材不足の解消（借用・レンタル依存からの脱却）</t>
  </si>
  <si>
    <r>
      <rPr>
        <sz val="10"/>
        <rFont val="WenQuanYi Zen Hei"/>
        <family val="2"/>
      </rPr>
      <t xml:space="preserve">省人・工数削減・レンタル</t>
    </r>
    <r>
      <rPr>
        <sz val="10"/>
        <rFont val="Meiryo UI"/>
        <family val="0"/>
        <charset val="1"/>
      </rPr>
      <t xml:space="preserve">/</t>
    </r>
    <r>
      <rPr>
        <sz val="10"/>
        <rFont val="WenQuanYi Zen Hei"/>
        <family val="2"/>
      </rPr>
      <t xml:space="preserve">外注削減・品質。数値効果で判断し段階導入</t>
    </r>
  </si>
  <si>
    <t xml:space="preserve">将来案件・トライアル。少数導入して評価</t>
  </si>
  <si>
    <r>
      <rPr>
        <sz val="10"/>
        <rFont val="Meiryo UI"/>
        <family val="0"/>
        <charset val="1"/>
      </rPr>
      <t xml:space="preserve">2026</t>
    </r>
    <r>
      <rPr>
        <sz val="10"/>
        <rFont val="WenQuanYi Zen Hei"/>
        <family val="2"/>
      </rPr>
      <t xml:space="preserve">年度は計上しない</t>
    </r>
  </si>
  <si>
    <r>
      <rPr>
        <b val="true"/>
        <sz val="11"/>
        <color rgb="FF1F4E78"/>
        <rFont val="WenQuanYi Zen Hei"/>
        <family val="2"/>
      </rPr>
      <t xml:space="preserve">追加削減オプション（上限超過時・</t>
    </r>
    <r>
      <rPr>
        <b val="true"/>
        <sz val="11"/>
        <color rgb="FF1F4E78"/>
        <rFont val="Meiryo UI"/>
        <family val="0"/>
        <charset val="1"/>
      </rPr>
      <t xml:space="preserve">TIJ</t>
    </r>
    <r>
      <rPr>
        <b val="true"/>
        <sz val="11"/>
        <color rgb="FF1F4E78"/>
        <rFont val="WenQuanYi Zen Hei"/>
        <family val="2"/>
      </rPr>
      <t xml:space="preserve">指摘時の選択肢）</t>
    </r>
  </si>
  <si>
    <r>
      <rPr>
        <b val="true"/>
        <sz val="10"/>
        <color rgb="FFFFFFFF"/>
        <rFont val="WenQuanYi Zen Hei"/>
        <family val="2"/>
      </rPr>
      <t xml:space="preserve">削減額</t>
    </r>
    <r>
      <rPr>
        <b val="true"/>
        <sz val="10"/>
        <color rgb="FFFFFFFF"/>
        <rFont val="Meiryo UI"/>
        <family val="0"/>
        <charset val="1"/>
      </rPr>
      <t xml:space="preserve">(USD)</t>
    </r>
  </si>
  <si>
    <r>
      <rPr>
        <b val="true"/>
        <sz val="10"/>
        <color rgb="FFFFFFFF"/>
        <rFont val="WenQuanYi Zen Hei"/>
        <family val="2"/>
      </rPr>
      <t xml:space="preserve">削減額</t>
    </r>
    <r>
      <rPr>
        <b val="true"/>
        <sz val="10"/>
        <color rgb="FFFFFFFF"/>
        <rFont val="Meiryo UI"/>
        <family val="0"/>
        <charset val="1"/>
      </rPr>
      <t xml:space="preserve">(</t>
    </r>
    <r>
      <rPr>
        <b val="true"/>
        <sz val="10"/>
        <color rgb="FFFFFFFF"/>
        <rFont val="WenQuanYi Zen Hei"/>
        <family val="2"/>
      </rPr>
      <t xml:space="preserve">円</t>
    </r>
    <r>
      <rPr>
        <b val="true"/>
        <sz val="10"/>
        <color rgb="FFFFFFFF"/>
        <rFont val="Meiryo UI"/>
        <family val="0"/>
        <charset val="1"/>
      </rPr>
      <t xml:space="preserve">)</t>
    </r>
  </si>
  <si>
    <t xml:space="preserve">留意点</t>
  </si>
  <si>
    <r>
      <rPr>
        <sz val="10"/>
        <rFont val="Meiryo UI"/>
        <family val="0"/>
        <charset val="1"/>
      </rPr>
      <t xml:space="preserve">No.14 HTM-8709 → H&amp;H CSL-207</t>
    </r>
    <r>
      <rPr>
        <sz val="10"/>
        <rFont val="WenQuanYi Zen Hei"/>
        <family val="2"/>
      </rPr>
      <t xml:space="preserve">（ストレート型）</t>
    </r>
  </si>
  <si>
    <r>
      <rPr>
        <sz val="10"/>
        <rFont val="WenQuanYi Zen Hei"/>
        <family val="2"/>
      </rPr>
      <t xml:space="preserve">ストレート型は性能差が小さい（</t>
    </r>
    <r>
      <rPr>
        <sz val="10"/>
        <rFont val="Meiryo UI"/>
        <family val="0"/>
        <charset val="1"/>
      </rPr>
      <t xml:space="preserve">2/25</t>
    </r>
    <r>
      <rPr>
        <sz val="10"/>
        <rFont val="WenQuanYi Zen Hei"/>
        <family val="2"/>
      </rPr>
      <t xml:space="preserve">打合せ）。</t>
    </r>
    <r>
      <rPr>
        <sz val="10"/>
        <rFont val="Meiryo UI"/>
        <family val="0"/>
        <charset val="1"/>
      </rPr>
      <t xml:space="preserve">GW</t>
    </r>
    <r>
      <rPr>
        <sz val="10"/>
        <rFont val="WenQuanYi Zen Hei"/>
        <family val="2"/>
      </rPr>
      <t xml:space="preserve">要請は『</t>
    </r>
    <r>
      <rPr>
        <sz val="10"/>
        <rFont val="Meiryo UI"/>
        <family val="0"/>
        <charset val="1"/>
      </rPr>
      <t xml:space="preserve">Nawon 4</t>
    </r>
    <r>
      <rPr>
        <sz val="10"/>
        <rFont val="WenQuanYi Zen Hei"/>
        <family val="2"/>
      </rPr>
      <t xml:space="preserve">種』のため営業確認が必要</t>
    </r>
  </si>
  <si>
    <r>
      <rPr>
        <sz val="10"/>
        <rFont val="Meiryo UI"/>
        <family val="0"/>
        <charset val="1"/>
      </rPr>
      <t xml:space="preserve">No.9 </t>
    </r>
    <r>
      <rPr>
        <sz val="10"/>
        <rFont val="WenQuanYi Zen Hei"/>
        <family val="2"/>
      </rPr>
      <t xml:space="preserve">温冷プレス </t>
    </r>
    <r>
      <rPr>
        <sz val="10"/>
        <rFont val="Meiryo UI"/>
        <family val="0"/>
        <charset val="1"/>
      </rPr>
      <t xml:space="preserve">6</t>
    </r>
    <r>
      <rPr>
        <sz val="10"/>
        <rFont val="WenQuanYi Zen Hei"/>
        <family val="2"/>
      </rPr>
      <t xml:space="preserve">台 → </t>
    </r>
    <r>
      <rPr>
        <sz val="10"/>
        <rFont val="Meiryo UI"/>
        <family val="0"/>
        <charset val="1"/>
      </rPr>
      <t xml:space="preserve">4</t>
    </r>
    <r>
      <rPr>
        <sz val="10"/>
        <rFont val="WenQuanYi Zen Hei"/>
        <family val="2"/>
      </rPr>
      <t xml:space="preserve">台</t>
    </r>
  </si>
  <si>
    <t xml:space="preserve">不足台数の再計算が前提</t>
  </si>
  <si>
    <r>
      <rPr>
        <sz val="10"/>
        <rFont val="Meiryo UI"/>
        <family val="0"/>
        <charset val="1"/>
      </rPr>
      <t xml:space="preserve">No.18 US-512 </t>
    </r>
    <r>
      <rPr>
        <sz val="10"/>
        <rFont val="WenQuanYi Zen Hei"/>
        <family val="2"/>
      </rPr>
      <t xml:space="preserve">を優先②へ</t>
    </r>
  </si>
  <si>
    <t xml:space="preserve">トライアルを次年度へ延期</t>
  </si>
  <si>
    <r>
      <rPr>
        <sz val="10"/>
        <rFont val="Meiryo UI"/>
        <family val="0"/>
        <charset val="1"/>
      </rPr>
      <t xml:space="preserve">No.8 Spec-IJ </t>
    </r>
    <r>
      <rPr>
        <sz val="10"/>
        <rFont val="WenQuanYi Zen Hei"/>
        <family val="2"/>
      </rPr>
      <t xml:space="preserve">を優先②へ</t>
    </r>
  </si>
  <si>
    <t xml:space="preserve">曲線部シーム剥離の検証が遅れる</t>
  </si>
  <si>
    <r>
      <rPr>
        <i val="true"/>
        <sz val="9"/>
        <color rgb="FF595959"/>
        <rFont val="WenQuanYi Zen Hei"/>
        <family val="2"/>
      </rPr>
      <t xml:space="preserve">※単価</t>
    </r>
    <r>
      <rPr>
        <i val="true"/>
        <sz val="9"/>
        <color rgb="FF595959"/>
        <rFont val="Meiryo UI"/>
        <family val="0"/>
        <charset val="1"/>
      </rPr>
      <t xml:space="preserve">10,500USD</t>
    </r>
    <r>
      <rPr>
        <i val="true"/>
        <sz val="9"/>
        <color rgb="FF595959"/>
        <rFont val="WenQuanYi Zen Hei"/>
        <family val="2"/>
      </rPr>
      <t xml:space="preserve">（</t>
    </r>
    <r>
      <rPr>
        <i val="true"/>
        <sz val="9"/>
        <color rgb="FF595959"/>
        <rFont val="Meiryo UI"/>
        <family val="0"/>
        <charset val="1"/>
      </rPr>
      <t xml:space="preserve">CSL-207</t>
    </r>
    <r>
      <rPr>
        <i val="true"/>
        <sz val="9"/>
        <color rgb="FF595959"/>
        <rFont val="WenQuanYi Zen Hei"/>
        <family val="2"/>
      </rPr>
      <t xml:space="preserve">）は原案</t>
    </r>
    <r>
      <rPr>
        <i val="true"/>
        <sz val="9"/>
        <color rgb="FF595959"/>
        <rFont val="Meiryo UI"/>
        <family val="0"/>
        <charset val="1"/>
      </rPr>
      <t xml:space="preserve">T17</t>
    </r>
    <r>
      <rPr>
        <i val="true"/>
        <sz val="9"/>
        <color rgb="FF595959"/>
        <rFont val="WenQuanYi Zen Hei"/>
        <family val="2"/>
      </rPr>
      <t xml:space="preserve">の比較情報。</t>
    </r>
  </si>
  <si>
    <r>
      <rPr>
        <b val="true"/>
        <sz val="14"/>
        <color rgb="FF1F4E78"/>
        <rFont val="WenQuanYi Zen Hei"/>
        <family val="2"/>
      </rPr>
      <t xml:space="preserve">ロックミシン 必要台数と不足（</t>
    </r>
    <r>
      <rPr>
        <b val="true"/>
        <sz val="14"/>
        <color rgb="FF1F4E78"/>
        <rFont val="Meiryo UI"/>
        <family val="0"/>
        <charset val="1"/>
      </rPr>
      <t xml:space="preserve">No.1</t>
    </r>
    <r>
      <rPr>
        <b val="true"/>
        <sz val="14"/>
        <color rgb="FF1F4E78"/>
        <rFont val="WenQuanYi Zen Hei"/>
        <family val="2"/>
      </rPr>
      <t xml:space="preserve">・</t>
    </r>
    <r>
      <rPr>
        <b val="true"/>
        <sz val="14"/>
        <color rgb="FF1F4E78"/>
        <rFont val="Meiryo UI"/>
        <family val="0"/>
        <charset val="1"/>
      </rPr>
      <t xml:space="preserve">No.2</t>
    </r>
    <r>
      <rPr>
        <b val="true"/>
        <sz val="14"/>
        <color rgb="FF1F4E78"/>
        <rFont val="WenQuanYi Zen Hei"/>
        <family val="2"/>
      </rPr>
      <t xml:space="preserve">）</t>
    </r>
  </si>
  <si>
    <r>
      <rPr>
        <i val="true"/>
        <sz val="9"/>
        <color rgb="FF595959"/>
        <rFont val="WenQuanYi Zen Hei"/>
        <family val="2"/>
      </rPr>
      <t xml:space="preserve">不足は試算上だけではなく、第</t>
    </r>
    <r>
      <rPr>
        <i val="true"/>
        <sz val="9"/>
        <color rgb="FF595959"/>
        <rFont val="Meiryo UI"/>
        <family val="0"/>
        <charset val="1"/>
      </rPr>
      <t xml:space="preserve">2</t>
    </r>
    <r>
      <rPr>
        <i val="true"/>
        <sz val="9"/>
        <color rgb="FF595959"/>
        <rFont val="WenQuanYi Zen Hei"/>
        <family val="2"/>
      </rPr>
      <t xml:space="preserve">工場からの借用および外部レンタルで実運用上すでに顕在化している。</t>
    </r>
  </si>
  <si>
    <r>
      <rPr>
        <b val="true"/>
        <sz val="11"/>
        <color rgb="FF1F4E78"/>
        <rFont val="Meiryo UI"/>
        <family val="0"/>
        <charset val="1"/>
      </rPr>
      <t xml:space="preserve">1. </t>
    </r>
    <r>
      <rPr>
        <b val="true"/>
        <sz val="11"/>
        <color rgb="FF1F4E78"/>
        <rFont val="WenQuanYi Zen Hei"/>
        <family val="2"/>
      </rPr>
      <t xml:space="preserve">品種別 標準使用台数（</t>
    </r>
    <r>
      <rPr>
        <b val="true"/>
        <sz val="11"/>
        <color rgb="FF1F4E78"/>
        <rFont val="Meiryo UI"/>
        <family val="0"/>
        <charset val="1"/>
      </rPr>
      <t xml:space="preserve">1</t>
    </r>
    <r>
      <rPr>
        <b val="true"/>
        <sz val="11"/>
        <color rgb="FF1F4E78"/>
        <rFont val="WenQuanYi Zen Hei"/>
        <family val="2"/>
      </rPr>
      <t xml:space="preserve">ライン当たり）</t>
    </r>
  </si>
  <si>
    <t xml:space="preserve">品種</t>
  </si>
  <si>
    <t xml:space="preserve">オーバーロック</t>
  </si>
  <si>
    <t xml:space="preserve">インターロック</t>
  </si>
  <si>
    <t xml:space="preserve">主な用途</t>
  </si>
  <si>
    <t xml:space="preserve">通常品</t>
  </si>
  <si>
    <r>
      <rPr>
        <sz val="10"/>
        <rFont val="Meiryo UI"/>
        <family val="0"/>
        <charset val="1"/>
      </rPr>
      <t xml:space="preserve">OL</t>
    </r>
    <r>
      <rPr>
        <sz val="10"/>
        <rFont val="WenQuanYi Zen Hei"/>
        <family val="2"/>
      </rPr>
      <t xml:space="preserve">：パーツ縫製・ポケット袋布・収納袋／</t>
    </r>
    <r>
      <rPr>
        <sz val="10"/>
        <rFont val="Meiryo UI"/>
        <family val="0"/>
        <charset val="1"/>
      </rPr>
      <t xml:space="preserve">IL</t>
    </r>
    <r>
      <rPr>
        <sz val="10"/>
        <rFont val="WenQuanYi Zen Hei"/>
        <family val="2"/>
      </rPr>
      <t xml:space="preserve">：袖下・脇・フード</t>
    </r>
  </si>
  <si>
    <t xml:space="preserve">Seam Jacket</t>
  </si>
  <si>
    <t xml:space="preserve">Down Jacket</t>
  </si>
  <si>
    <r>
      <rPr>
        <sz val="10"/>
        <rFont val="WenQuanYi Zen Hei"/>
        <family val="2"/>
      </rPr>
      <t xml:space="preserve">ウィンドブレーカー・</t>
    </r>
    <r>
      <rPr>
        <sz val="10"/>
        <rFont val="Meiryo UI"/>
        <family val="0"/>
        <charset val="1"/>
      </rPr>
      <t xml:space="preserve">1</t>
    </r>
    <r>
      <rPr>
        <sz val="10"/>
        <rFont val="WenQuanYi Zen Hei"/>
        <family val="2"/>
      </rPr>
      <t xml:space="preserve">枚もの軽量品</t>
    </r>
  </si>
  <si>
    <r>
      <rPr>
        <sz val="10"/>
        <rFont val="WenQuanYi Zen Hei"/>
        <family val="2"/>
      </rPr>
      <t xml:space="preserve">軽量品は全パーツの端処理を</t>
    </r>
    <r>
      <rPr>
        <sz val="10"/>
        <rFont val="Meiryo UI"/>
        <family val="0"/>
        <charset val="1"/>
      </rPr>
      <t xml:space="preserve">OL</t>
    </r>
    <r>
      <rPr>
        <sz val="10"/>
        <rFont val="WenQuanYi Zen Hei"/>
        <family val="2"/>
      </rPr>
      <t xml:space="preserve">で行うため</t>
    </r>
    <r>
      <rPr>
        <sz val="10"/>
        <rFont val="Meiryo UI"/>
        <family val="0"/>
        <charset val="1"/>
      </rPr>
      <t xml:space="preserve">1</t>
    </r>
    <r>
      <rPr>
        <sz val="10"/>
        <rFont val="WenQuanYi Zen Hei"/>
        <family val="2"/>
      </rPr>
      <t xml:space="preserve">台多い</t>
    </r>
  </si>
  <si>
    <r>
      <rPr>
        <b val="true"/>
        <sz val="11"/>
        <color rgb="FF1F4E78"/>
        <rFont val="Meiryo UI"/>
        <family val="0"/>
        <charset val="1"/>
      </rPr>
      <t xml:space="preserve">2. </t>
    </r>
    <r>
      <rPr>
        <b val="true"/>
        <sz val="11"/>
        <color rgb="FF1F4E78"/>
        <rFont val="WenQuanYi Zen Hei"/>
        <family val="2"/>
      </rPr>
      <t xml:space="preserve">前提</t>
    </r>
  </si>
  <si>
    <t xml:space="preserve">前提条件</t>
  </si>
  <si>
    <r>
      <rPr>
        <sz val="10"/>
        <rFont val="Meiryo UI"/>
        <family val="0"/>
        <charset val="1"/>
      </rPr>
      <t xml:space="preserve">OL3</t>
    </r>
    <r>
      <rPr>
        <sz val="10"/>
        <rFont val="WenQuanYi Zen Hei"/>
        <family val="2"/>
      </rPr>
      <t xml:space="preserve">台ラインの構成比</t>
    </r>
  </si>
  <si>
    <r>
      <rPr>
        <sz val="10"/>
        <rFont val="WenQuanYi Zen Hei"/>
        <family val="2"/>
      </rPr>
      <t xml:space="preserve">製品構成の想定（通常品・</t>
    </r>
    <r>
      <rPr>
        <sz val="10"/>
        <rFont val="Meiryo UI"/>
        <family val="0"/>
        <charset val="1"/>
      </rPr>
      <t xml:space="preserve">Seam</t>
    </r>
    <r>
      <rPr>
        <sz val="10"/>
        <rFont val="WenQuanYi Zen Hei"/>
        <family val="2"/>
      </rPr>
      <t xml:space="preserve">・</t>
    </r>
    <r>
      <rPr>
        <sz val="10"/>
        <rFont val="Meiryo UI"/>
        <family val="0"/>
        <charset val="1"/>
      </rPr>
      <t xml:space="preserve">Down</t>
    </r>
    <r>
      <rPr>
        <sz val="10"/>
        <rFont val="WenQuanYi Zen Hei"/>
        <family val="2"/>
      </rPr>
      <t xml:space="preserve">）</t>
    </r>
  </si>
  <si>
    <r>
      <rPr>
        <sz val="10"/>
        <rFont val="Meiryo UI"/>
        <family val="0"/>
        <charset val="1"/>
      </rPr>
      <t xml:space="preserve">OL4</t>
    </r>
    <r>
      <rPr>
        <sz val="10"/>
        <rFont val="WenQuanYi Zen Hei"/>
        <family val="2"/>
      </rPr>
      <t xml:space="preserve">台ラインの構成比</t>
    </r>
  </si>
  <si>
    <t xml:space="preserve">軽量品</t>
  </si>
  <si>
    <r>
      <rPr>
        <b val="true"/>
        <sz val="10"/>
        <rFont val="WenQuanYi Zen Hei"/>
        <family val="2"/>
      </rPr>
      <t xml:space="preserve">平均</t>
    </r>
    <r>
      <rPr>
        <b val="true"/>
        <sz val="10"/>
        <rFont val="Meiryo UI"/>
        <family val="0"/>
        <charset val="1"/>
      </rPr>
      <t xml:space="preserve">OL</t>
    </r>
    <r>
      <rPr>
        <b val="true"/>
        <sz val="10"/>
        <rFont val="WenQuanYi Zen Hei"/>
        <family val="2"/>
      </rPr>
      <t xml:space="preserve">台数／ライン</t>
    </r>
  </si>
  <si>
    <r>
      <rPr>
        <sz val="10"/>
        <rFont val="Meiryo UI"/>
        <family val="0"/>
        <charset val="1"/>
      </rPr>
      <t xml:space="preserve">80%×3</t>
    </r>
    <r>
      <rPr>
        <sz val="10"/>
        <rFont val="WenQuanYi Zen Hei"/>
        <family val="2"/>
      </rPr>
      <t xml:space="preserve">台＋</t>
    </r>
    <r>
      <rPr>
        <sz val="10"/>
        <rFont val="Meiryo UI"/>
        <family val="0"/>
        <charset val="1"/>
      </rPr>
      <t xml:space="preserve">20%×4</t>
    </r>
    <r>
      <rPr>
        <sz val="10"/>
        <rFont val="WenQuanYi Zen Hei"/>
        <family val="2"/>
      </rPr>
      <t xml:space="preserve">台＝</t>
    </r>
    <r>
      <rPr>
        <sz val="10"/>
        <rFont val="Meiryo UI"/>
        <family val="0"/>
        <charset val="1"/>
      </rPr>
      <t xml:space="preserve">3.2</t>
    </r>
    <r>
      <rPr>
        <sz val="10"/>
        <rFont val="WenQuanYi Zen Hei"/>
        <family val="2"/>
      </rPr>
      <t xml:space="preserve">台（原案</t>
    </r>
    <r>
      <rPr>
        <sz val="10"/>
        <rFont val="Meiryo UI"/>
        <family val="0"/>
        <charset val="1"/>
      </rPr>
      <t xml:space="preserve">R4</t>
    </r>
    <r>
      <rPr>
        <sz val="10"/>
        <rFont val="WenQuanYi Zen Hei"/>
        <family val="2"/>
      </rPr>
      <t xml:space="preserve">の『平均</t>
    </r>
    <r>
      <rPr>
        <sz val="10"/>
        <rFont val="Meiryo UI"/>
        <family val="0"/>
        <charset val="1"/>
      </rPr>
      <t xml:space="preserve">4</t>
    </r>
    <r>
      <rPr>
        <sz val="10"/>
        <rFont val="WenQuanYi Zen Hei"/>
        <family val="2"/>
      </rPr>
      <t xml:space="preserve">台』は過大 → 修正）</t>
    </r>
  </si>
  <si>
    <r>
      <rPr>
        <sz val="10"/>
        <rFont val="Meiryo UI"/>
        <family val="0"/>
        <charset val="1"/>
      </rPr>
      <t xml:space="preserve">IL</t>
    </r>
    <r>
      <rPr>
        <sz val="10"/>
        <rFont val="WenQuanYi Zen Hei"/>
        <family val="2"/>
      </rPr>
      <t xml:space="preserve">台数／ライン</t>
    </r>
  </si>
  <si>
    <r>
      <rPr>
        <sz val="10"/>
        <rFont val="WenQuanYi Zen Hei"/>
        <family val="2"/>
      </rPr>
      <t xml:space="preserve">全品種</t>
    </r>
    <r>
      <rPr>
        <sz val="10"/>
        <rFont val="Meiryo UI"/>
        <family val="0"/>
        <charset val="1"/>
      </rPr>
      <t xml:space="preserve">2</t>
    </r>
    <r>
      <rPr>
        <sz val="10"/>
        <rFont val="WenQuanYi Zen Hei"/>
        <family val="2"/>
      </rPr>
      <t xml:space="preserve">台</t>
    </r>
  </si>
  <si>
    <r>
      <rPr>
        <b val="true"/>
        <sz val="11"/>
        <color rgb="FF1F4E78"/>
        <rFont val="Meiryo UI"/>
        <family val="0"/>
        <charset val="1"/>
      </rPr>
      <t xml:space="preserve">3. </t>
    </r>
    <r>
      <rPr>
        <b val="true"/>
        <sz val="11"/>
        <color rgb="FF1F4E78"/>
        <rFont val="WenQuanYi Zen Hei"/>
        <family val="2"/>
      </rPr>
      <t xml:space="preserve">必要台数・実稼働・不足</t>
    </r>
  </si>
  <si>
    <t xml:space="preserve">計算式・備考</t>
  </si>
  <si>
    <t xml:space="preserve">現有台数</t>
  </si>
  <si>
    <r>
      <rPr>
        <sz val="10"/>
        <rFont val="WenQuanYi Zen Hei"/>
        <family val="2"/>
      </rPr>
      <t xml:space="preserve">原案</t>
    </r>
    <r>
      <rPr>
        <sz val="10"/>
        <rFont val="Meiryo UI"/>
        <family val="0"/>
        <charset val="1"/>
      </rPr>
      <t xml:space="preserve">S4</t>
    </r>
    <r>
      <rPr>
        <sz val="10"/>
        <rFont val="WenQuanYi Zen Hei"/>
        <family val="2"/>
      </rPr>
      <t xml:space="preserve">・</t>
    </r>
    <r>
      <rPr>
        <sz val="10"/>
        <rFont val="Meiryo UI"/>
        <family val="0"/>
        <charset val="1"/>
      </rPr>
      <t xml:space="preserve">S5</t>
    </r>
  </si>
  <si>
    <t xml:space="preserve">老朽化・重大故障（修理復旧不可、実稼働対象外）</t>
  </si>
  <si>
    <r>
      <rPr>
        <sz val="10"/>
        <rFont val="Meiryo UI"/>
        <family val="0"/>
        <charset val="1"/>
      </rPr>
      <t xml:space="preserve">OL4</t>
    </r>
    <r>
      <rPr>
        <sz val="10"/>
        <rFont val="WenQuanYi Zen Hei"/>
        <family val="2"/>
      </rPr>
      <t xml:space="preserve">台は修理復旧不可。</t>
    </r>
    <r>
      <rPr>
        <sz val="10"/>
        <rFont val="Meiryo UI"/>
        <family val="0"/>
        <charset val="1"/>
      </rPr>
      <t xml:space="preserve">IL</t>
    </r>
    <r>
      <rPr>
        <sz val="10"/>
        <rFont val="WenQuanYi Zen Hei"/>
        <family val="2"/>
      </rPr>
      <t xml:space="preserve">は</t>
    </r>
    <r>
      <rPr>
        <sz val="10"/>
        <rFont val="Meiryo UI"/>
        <family val="0"/>
        <charset val="1"/>
      </rPr>
      <t xml:space="preserve">0</t>
    </r>
    <r>
      <rPr>
        <sz val="10"/>
        <rFont val="WenQuanYi Zen Hei"/>
        <family val="2"/>
      </rPr>
      <t xml:space="preserve">〜</t>
    </r>
    <r>
      <rPr>
        <sz val="10"/>
        <rFont val="Meiryo UI"/>
        <family val="0"/>
        <charset val="1"/>
      </rPr>
      <t xml:space="preserve">1</t>
    </r>
    <r>
      <rPr>
        <sz val="10"/>
        <rFont val="WenQuanYi Zen Hei"/>
        <family val="2"/>
      </rPr>
      <t xml:space="preserve">台（実稼働</t>
    </r>
    <r>
      <rPr>
        <sz val="10"/>
        <rFont val="Meiryo UI"/>
        <family val="0"/>
        <charset val="1"/>
      </rPr>
      <t xml:space="preserve">63</t>
    </r>
    <r>
      <rPr>
        <sz val="10"/>
        <rFont val="WenQuanYi Zen Hei"/>
        <family val="2"/>
      </rPr>
      <t xml:space="preserve">〜</t>
    </r>
    <r>
      <rPr>
        <sz val="10"/>
        <rFont val="Meiryo UI"/>
        <family val="0"/>
        <charset val="1"/>
      </rPr>
      <t xml:space="preserve">64</t>
    </r>
    <r>
      <rPr>
        <sz val="10"/>
        <rFont val="WenQuanYi Zen Hei"/>
        <family val="2"/>
      </rPr>
      <t xml:space="preserve">台）→ 要確認</t>
    </r>
  </si>
  <si>
    <t xml:space="preserve">サンプルライン固定</t>
  </si>
  <si>
    <t xml:space="preserve">生産用 実稼働可能台数</t>
  </si>
  <si>
    <t xml:space="preserve">現有−故障−サンプル固定</t>
  </si>
  <si>
    <r>
      <rPr>
        <sz val="10"/>
        <rFont val="WenQuanYi Zen Hei"/>
        <family val="2"/>
      </rPr>
      <t xml:space="preserve">通常期 必要台数（</t>
    </r>
    <r>
      <rPr>
        <sz val="10"/>
        <rFont val="Meiryo UI"/>
        <family val="0"/>
        <charset val="1"/>
      </rPr>
      <t xml:space="preserve">31</t>
    </r>
    <r>
      <rPr>
        <sz val="10"/>
        <rFont val="WenQuanYi Zen Hei"/>
        <family val="2"/>
      </rPr>
      <t xml:space="preserve">ライン）</t>
    </r>
  </si>
  <si>
    <r>
      <rPr>
        <sz val="10"/>
        <rFont val="WenQuanYi Zen Hei"/>
        <family val="2"/>
      </rPr>
      <t xml:space="preserve">ライン数</t>
    </r>
    <r>
      <rPr>
        <sz val="10"/>
        <rFont val="Meiryo UI"/>
        <family val="0"/>
        <charset val="1"/>
      </rPr>
      <t xml:space="preserve">×</t>
    </r>
    <r>
      <rPr>
        <sz val="10"/>
        <rFont val="WenQuanYi Zen Hei"/>
        <family val="2"/>
      </rPr>
      <t xml:space="preserve">平均台数（端数切上げ）</t>
    </r>
  </si>
  <si>
    <r>
      <rPr>
        <sz val="10"/>
        <rFont val="WenQuanYi Zen Hei"/>
        <family val="2"/>
      </rPr>
      <t xml:space="preserve">ピーク 必要台数（</t>
    </r>
    <r>
      <rPr>
        <sz val="10"/>
        <rFont val="Meiryo UI"/>
        <family val="0"/>
        <charset val="1"/>
      </rPr>
      <t xml:space="preserve">35</t>
    </r>
    <r>
      <rPr>
        <sz val="10"/>
        <rFont val="WenQuanYi Zen Hei"/>
        <family val="2"/>
      </rPr>
      <t xml:space="preserve">ライン）</t>
    </r>
  </si>
  <si>
    <t xml:space="preserve">通常期 不足</t>
  </si>
  <si>
    <t xml:space="preserve">ピーク 不足（実質不足）</t>
  </si>
  <si>
    <t xml:space="preserve">この不足を借用・レンタルで埋めている</t>
  </si>
  <si>
    <r>
      <rPr>
        <b val="true"/>
        <sz val="11"/>
        <color rgb="FF1F4E78"/>
        <rFont val="Meiryo UI"/>
        <family val="0"/>
        <charset val="1"/>
      </rPr>
      <t xml:space="preserve">4. </t>
    </r>
    <r>
      <rPr>
        <b val="true"/>
        <sz val="11"/>
        <color rgb="FF1F4E78"/>
        <rFont val="WenQuanYi Zen Hei"/>
        <family val="2"/>
      </rPr>
      <t xml:space="preserve">実運用での顕在化（証跡）</t>
    </r>
  </si>
  <si>
    <t xml:space="preserve">台数</t>
  </si>
  <si>
    <r>
      <rPr>
        <sz val="10"/>
        <rFont val="WenQuanYi Zen Hei"/>
        <family val="2"/>
      </rPr>
      <t xml:space="preserve">繁忙期 </t>
    </r>
    <r>
      <rPr>
        <sz val="10"/>
        <rFont val="Meiryo UI"/>
        <family val="0"/>
        <charset val="1"/>
      </rPr>
      <t xml:space="preserve">APIC</t>
    </r>
    <r>
      <rPr>
        <sz val="10"/>
        <rFont val="WenQuanYi Zen Hei"/>
        <family val="2"/>
      </rPr>
      <t xml:space="preserve">第</t>
    </r>
    <r>
      <rPr>
        <sz val="10"/>
        <rFont val="Meiryo UI"/>
        <family val="0"/>
        <charset val="1"/>
      </rPr>
      <t xml:space="preserve">2</t>
    </r>
    <r>
      <rPr>
        <sz val="10"/>
        <rFont val="WenQuanYi Zen Hei"/>
        <family val="2"/>
      </rPr>
      <t xml:space="preserve">工場から借用</t>
    </r>
  </si>
  <si>
    <r>
      <rPr>
        <sz val="10"/>
        <rFont val="Meiryo UI"/>
        <family val="0"/>
        <charset val="1"/>
      </rPr>
      <t xml:space="preserve">10</t>
    </r>
    <r>
      <rPr>
        <sz val="10"/>
        <rFont val="WenQuanYi Zen Hei"/>
        <family val="2"/>
      </rPr>
      <t xml:space="preserve">〜</t>
    </r>
    <r>
      <rPr>
        <sz val="10"/>
        <rFont val="Meiryo UI"/>
        <family val="0"/>
        <charset val="1"/>
      </rPr>
      <t xml:space="preserve">12</t>
    </r>
    <r>
      <rPr>
        <sz val="10"/>
        <rFont val="WenQuanYi Zen Hei"/>
        <family val="2"/>
      </rPr>
      <t xml:space="preserve">台（下限で計上）。先方の受注増で継続借用は困難になる見込み。機種内訳（</t>
    </r>
    <r>
      <rPr>
        <sz val="10"/>
        <rFont val="Meiryo UI"/>
        <family val="0"/>
        <charset val="1"/>
      </rPr>
      <t xml:space="preserve">OL/IL</t>
    </r>
    <r>
      <rPr>
        <sz val="10"/>
        <rFont val="WenQuanYi Zen Hei"/>
        <family val="2"/>
      </rPr>
      <t xml:space="preserve">）は要確認</t>
    </r>
  </si>
  <si>
    <r>
      <rPr>
        <sz val="10"/>
        <rFont val="WenQuanYi Zen Hei"/>
        <family val="2"/>
      </rPr>
      <t xml:space="preserve">外部レンタル実績（</t>
    </r>
    <r>
      <rPr>
        <sz val="10"/>
        <rFont val="Meiryo UI"/>
        <family val="0"/>
        <charset val="1"/>
      </rPr>
      <t xml:space="preserve">2024</t>
    </r>
    <r>
      <rPr>
        <sz val="10"/>
        <rFont val="WenQuanYi Zen Hei"/>
        <family val="2"/>
      </rPr>
      <t xml:space="preserve">年</t>
    </r>
    <r>
      <rPr>
        <sz val="10"/>
        <rFont val="Meiryo UI"/>
        <family val="0"/>
        <charset val="1"/>
      </rPr>
      <t xml:space="preserve">10</t>
    </r>
    <r>
      <rPr>
        <sz val="10"/>
        <rFont val="WenQuanYi Zen Hei"/>
        <family val="2"/>
      </rPr>
      <t xml:space="preserve">〜</t>
    </r>
    <r>
      <rPr>
        <sz val="10"/>
        <rFont val="Meiryo UI"/>
        <family val="0"/>
        <charset val="1"/>
      </rPr>
      <t xml:space="preserve">12</t>
    </r>
    <r>
      <rPr>
        <sz val="10"/>
        <rFont val="WenQuanYi Zen Hei"/>
        <family val="2"/>
      </rPr>
      <t xml:space="preserve">月）</t>
    </r>
  </si>
  <si>
    <r>
      <rPr>
        <sz val="10"/>
        <rFont val="WenQuanYi Zen Hei"/>
        <family val="2"/>
      </rPr>
      <t xml:space="preserve">約</t>
    </r>
    <r>
      <rPr>
        <sz val="10"/>
        <rFont val="Meiryo UI"/>
        <family val="0"/>
        <charset val="1"/>
      </rPr>
      <t xml:space="preserve">10</t>
    </r>
    <r>
      <rPr>
        <sz val="10"/>
        <rFont val="WenQuanYi Zen Hei"/>
        <family val="2"/>
      </rPr>
      <t xml:space="preserve">台。金額は</t>
    </r>
    <r>
      <rPr>
        <sz val="10"/>
        <rFont val="Meiryo UI"/>
        <family val="0"/>
        <charset val="1"/>
      </rPr>
      <t xml:space="preserve">D/N</t>
    </r>
    <r>
      <rPr>
        <sz val="10"/>
        <rFont val="WenQuanYi Zen Hei"/>
        <family val="2"/>
      </rPr>
      <t xml:space="preserve">から</t>
    </r>
    <r>
      <rPr>
        <sz val="10"/>
        <rFont val="Meiryo UI"/>
        <family val="0"/>
        <charset val="1"/>
      </rPr>
      <t xml:space="preserve">12_</t>
    </r>
    <r>
      <rPr>
        <sz val="10"/>
        <rFont val="WenQuanYi Zen Hei"/>
        <family val="2"/>
      </rPr>
      <t xml:space="preserve">レンタル費へ入力</t>
    </r>
  </si>
  <si>
    <r>
      <rPr>
        <b val="true"/>
        <sz val="11"/>
        <color rgb="FF1F4E78"/>
        <rFont val="Meiryo UI"/>
        <family val="0"/>
        <charset val="1"/>
      </rPr>
      <t xml:space="preserve">5. </t>
    </r>
    <r>
      <rPr>
        <b val="true"/>
        <sz val="11"/>
        <color rgb="FF1F4E78"/>
        <rFont val="WenQuanYi Zen Hei"/>
        <family val="2"/>
      </rPr>
      <t xml:space="preserve">購入後の不足</t>
    </r>
  </si>
  <si>
    <t xml:space="preserve">調整案 購入台数</t>
  </si>
  <si>
    <r>
      <rPr>
        <sz val="10"/>
        <rFont val="Meiryo UI"/>
        <family val="0"/>
        <charset val="1"/>
      </rPr>
      <t xml:space="preserve">02_</t>
    </r>
    <r>
      <rPr>
        <sz val="10"/>
        <rFont val="WenQuanYi Zen Hei"/>
        <family val="2"/>
      </rPr>
      <t xml:space="preserve">投資総括から参照</t>
    </r>
  </si>
  <si>
    <t xml:space="preserve">うち 更新分（故障機の置換）</t>
  </si>
  <si>
    <t xml:space="preserve">うち 純増分</t>
  </si>
  <si>
    <t xml:space="preserve">購入後 ピーク不足</t>
  </si>
  <si>
    <r>
      <rPr>
        <sz val="10"/>
        <rFont val="WenQuanYi Zen Hei"/>
        <family val="2"/>
      </rPr>
      <t xml:space="preserve">残りは第</t>
    </r>
    <r>
      <rPr>
        <sz val="10"/>
        <rFont val="Meiryo UI"/>
        <family val="0"/>
        <charset val="1"/>
      </rPr>
      <t xml:space="preserve">2</t>
    </r>
    <r>
      <rPr>
        <sz val="10"/>
        <rFont val="WenQuanYi Zen Hei"/>
        <family val="2"/>
      </rPr>
      <t xml:space="preserve">工場借用で対応（借用不可の場合は原案優先②</t>
    </r>
    <r>
      <rPr>
        <sz val="10"/>
        <rFont val="Meiryo UI"/>
        <family val="0"/>
        <charset val="1"/>
      </rPr>
      <t xml:space="preserve">5</t>
    </r>
    <r>
      <rPr>
        <sz val="10"/>
        <rFont val="WenQuanYi Zen Hei"/>
        <family val="2"/>
      </rPr>
      <t xml:space="preserve">台＋</t>
    </r>
    <r>
      <rPr>
        <sz val="10"/>
        <rFont val="Meiryo UI"/>
        <family val="0"/>
        <charset val="1"/>
      </rPr>
      <t xml:space="preserve">3</t>
    </r>
    <r>
      <rPr>
        <sz val="10"/>
        <rFont val="WenQuanYi Zen Hei"/>
        <family val="2"/>
      </rPr>
      <t xml:space="preserve">台を条件付き追加枠とする）</t>
    </r>
  </si>
  <si>
    <r>
      <rPr>
        <i val="true"/>
        <sz val="9"/>
        <color rgb="FF595959"/>
        <rFont val="WenQuanYi Zen Hei"/>
        <family val="2"/>
      </rPr>
      <t xml:space="preserve">説明文案：『不足は試算上だけではなく、繁忙期に第</t>
    </r>
    <r>
      <rPr>
        <i val="true"/>
        <sz val="9"/>
        <color rgb="FF595959"/>
        <rFont val="Meiryo UI"/>
        <family val="0"/>
        <charset val="1"/>
      </rPr>
      <t xml:space="preserve">2</t>
    </r>
    <r>
      <rPr>
        <i val="true"/>
        <sz val="9"/>
        <color rgb="FF595959"/>
        <rFont val="WenQuanYi Zen Hei"/>
        <family val="2"/>
      </rPr>
      <t xml:space="preserve">工場から</t>
    </r>
    <r>
      <rPr>
        <i val="true"/>
        <sz val="9"/>
        <color rgb="FF595959"/>
        <rFont val="Meiryo UI"/>
        <family val="0"/>
        <charset val="1"/>
      </rPr>
      <t xml:space="preserve">10</t>
    </r>
    <r>
      <rPr>
        <i val="true"/>
        <sz val="9"/>
        <color rgb="FF595959"/>
        <rFont val="WenQuanYi Zen Hei"/>
        <family val="2"/>
      </rPr>
      <t xml:space="preserve">〜</t>
    </r>
    <r>
      <rPr>
        <i val="true"/>
        <sz val="9"/>
        <color rgb="FF595959"/>
        <rFont val="Meiryo UI"/>
        <family val="0"/>
        <charset val="1"/>
      </rPr>
      <t xml:space="preserve">12</t>
    </r>
    <r>
      <rPr>
        <i val="true"/>
        <sz val="9"/>
        <color rgb="FF595959"/>
        <rFont val="WenQuanYi Zen Hei"/>
        <family val="2"/>
      </rPr>
      <t xml:space="preserve">台を借用し、</t>
    </r>
    <r>
      <rPr>
        <i val="true"/>
        <sz val="9"/>
        <color rgb="FF595959"/>
        <rFont val="Meiryo UI"/>
        <family val="0"/>
        <charset val="1"/>
      </rPr>
      <t xml:space="preserve">2024</t>
    </r>
    <r>
      <rPr>
        <i val="true"/>
        <sz val="9"/>
        <color rgb="FF595959"/>
        <rFont val="WenQuanYi Zen Hei"/>
        <family val="2"/>
      </rPr>
      <t xml:space="preserve">年</t>
    </r>
    <r>
      <rPr>
        <i val="true"/>
        <sz val="9"/>
        <color rgb="FF595959"/>
        <rFont val="Meiryo UI"/>
        <family val="0"/>
        <charset val="1"/>
      </rPr>
      <t xml:space="preserve">10</t>
    </r>
    <r>
      <rPr>
        <i val="true"/>
        <sz val="9"/>
        <color rgb="FF595959"/>
        <rFont val="WenQuanYi Zen Hei"/>
        <family val="2"/>
      </rPr>
      <t xml:space="preserve">〜</t>
    </r>
    <r>
      <rPr>
        <i val="true"/>
        <sz val="9"/>
        <color rgb="FF595959"/>
        <rFont val="Meiryo UI"/>
        <family val="0"/>
        <charset val="1"/>
      </rPr>
      <t xml:space="preserve">12</t>
    </r>
    <r>
      <rPr>
        <i val="true"/>
        <sz val="9"/>
        <color rgb="FF595959"/>
        <rFont val="WenQuanYi Zen Hei"/>
        <family val="2"/>
      </rPr>
      <t xml:space="preserve">月には約</t>
    </r>
    <r>
      <rPr>
        <i val="true"/>
        <sz val="9"/>
        <color rgb="FF595959"/>
        <rFont val="Meiryo UI"/>
        <family val="0"/>
        <charset val="1"/>
      </rPr>
      <t xml:space="preserve">10</t>
    </r>
    <r>
      <rPr>
        <i val="true"/>
        <sz val="9"/>
        <color rgb="FF595959"/>
        <rFont val="WenQuanYi Zen Hei"/>
        <family val="2"/>
      </rPr>
      <t xml:space="preserve">台を外部レンタルしており、実運用上すでに顕在化している。』</t>
    </r>
  </si>
  <si>
    <r>
      <rPr>
        <b val="true"/>
        <sz val="14"/>
        <color rgb="FF1F4E78"/>
        <rFont val="WenQuanYi Zen Hei"/>
        <family val="2"/>
      </rPr>
      <t xml:space="preserve">ロックミシン サーボモーター </t>
    </r>
    <r>
      <rPr>
        <b val="true"/>
        <sz val="14"/>
        <color rgb="FF1F4E78"/>
        <rFont val="Meiryo UI"/>
        <family val="0"/>
        <charset val="1"/>
      </rPr>
      <t xml:space="preserve">vs </t>
    </r>
    <r>
      <rPr>
        <b val="true"/>
        <sz val="14"/>
        <color rgb="FF1F4E78"/>
        <rFont val="WenQuanYi Zen Hei"/>
        <family val="2"/>
      </rPr>
      <t xml:space="preserve">クラッチモーター</t>
    </r>
  </si>
  <si>
    <t xml:space="preserve">電力削減は副次効果。主目的は機材不足の解消と、即停止による縫いズレ低減（品質・操作性）。</t>
  </si>
  <si>
    <r>
      <rPr>
        <b val="true"/>
        <sz val="11"/>
        <color rgb="FF1F4E78"/>
        <rFont val="Meiryo UI"/>
        <family val="0"/>
        <charset val="1"/>
      </rPr>
      <t xml:space="preserve">1. </t>
    </r>
    <r>
      <rPr>
        <b val="true"/>
        <sz val="11"/>
        <color rgb="FF1F4E78"/>
        <rFont val="WenQuanYi Zen Hei"/>
        <family val="2"/>
      </rPr>
      <t xml:space="preserve">消費電力の前提</t>
    </r>
  </si>
  <si>
    <t xml:space="preserve">クラッチ</t>
  </si>
  <si>
    <t xml:space="preserve">サーボ</t>
  </si>
  <si>
    <r>
      <rPr>
        <sz val="10"/>
        <rFont val="WenQuanYi Zen Hei"/>
        <family val="2"/>
      </rPr>
      <t xml:space="preserve">定格出力 </t>
    </r>
    <r>
      <rPr>
        <sz val="10"/>
        <rFont val="Meiryo UI"/>
        <family val="0"/>
        <charset val="1"/>
      </rPr>
      <t xml:space="preserve">(W)</t>
    </r>
  </si>
  <si>
    <t xml:space="preserve">サーボは定格が大きいがペダル操作時のみ回転</t>
  </si>
  <si>
    <r>
      <rPr>
        <sz val="10"/>
        <rFont val="WenQuanYi Zen Hei"/>
        <family val="2"/>
      </rPr>
      <t xml:space="preserve">縫製時 </t>
    </r>
    <r>
      <rPr>
        <sz val="10"/>
        <rFont val="Meiryo UI"/>
        <family val="0"/>
        <charset val="1"/>
      </rPr>
      <t xml:space="preserve">(W)</t>
    </r>
  </si>
  <si>
    <r>
      <rPr>
        <sz val="10"/>
        <rFont val="WenQuanYi Zen Hei"/>
        <family val="2"/>
      </rPr>
      <t xml:space="preserve">非縫製時 </t>
    </r>
    <r>
      <rPr>
        <sz val="10"/>
        <rFont val="Meiryo UI"/>
        <family val="0"/>
        <charset val="1"/>
      </rPr>
      <t xml:space="preserve">(W)</t>
    </r>
  </si>
  <si>
    <t xml:space="preserve">クラッチは縫っていない間も空転、サーボは待機電力のみ</t>
  </si>
  <si>
    <r>
      <rPr>
        <sz val="10"/>
        <rFont val="Meiryo UI"/>
        <family val="0"/>
        <charset val="1"/>
      </rPr>
      <t xml:space="preserve">1</t>
    </r>
    <r>
      <rPr>
        <sz val="10"/>
        <rFont val="WenQuanYi Zen Hei"/>
        <family val="2"/>
      </rPr>
      <t xml:space="preserve">日稼働時間 </t>
    </r>
    <r>
      <rPr>
        <sz val="10"/>
        <rFont val="Meiryo UI"/>
        <family val="0"/>
        <charset val="1"/>
      </rPr>
      <t xml:space="preserve">(h)</t>
    </r>
  </si>
  <si>
    <r>
      <rPr>
        <sz val="10"/>
        <rFont val="WenQuanYi Zen Hei"/>
        <family val="2"/>
      </rPr>
      <t xml:space="preserve">うち縫製時間 </t>
    </r>
    <r>
      <rPr>
        <sz val="10"/>
        <rFont val="Meiryo UI"/>
        <family val="0"/>
        <charset val="1"/>
      </rPr>
      <t xml:space="preserve">(h)</t>
    </r>
  </si>
  <si>
    <r>
      <rPr>
        <sz val="10"/>
        <rFont val="Meiryo UI"/>
        <family val="0"/>
        <charset val="1"/>
      </rPr>
      <t xml:space="preserve">8</t>
    </r>
    <r>
      <rPr>
        <sz val="10"/>
        <rFont val="WenQuanYi Zen Hei"/>
        <family val="2"/>
      </rPr>
      <t xml:space="preserve">時間中</t>
    </r>
    <r>
      <rPr>
        <sz val="10"/>
        <rFont val="Meiryo UI"/>
        <family val="0"/>
        <charset val="1"/>
      </rPr>
      <t xml:space="preserve">4</t>
    </r>
    <r>
      <rPr>
        <sz val="10"/>
        <rFont val="WenQuanYi Zen Hei"/>
        <family val="2"/>
      </rPr>
      <t xml:space="preserve">時間縫製 → クラッチ</t>
    </r>
    <r>
      <rPr>
        <sz val="10"/>
        <rFont val="Meiryo UI"/>
        <family val="0"/>
        <charset val="1"/>
      </rPr>
      <t xml:space="preserve">2.400kWh/</t>
    </r>
    <r>
      <rPr>
        <sz val="10"/>
        <rFont val="WenQuanYi Zen Hei"/>
        <family val="2"/>
      </rPr>
      <t xml:space="preserve">日・サーボ</t>
    </r>
    <r>
      <rPr>
        <sz val="10"/>
        <rFont val="Meiryo UI"/>
        <family val="0"/>
        <charset val="1"/>
      </rPr>
      <t xml:space="preserve">0.808kWh/</t>
    </r>
    <r>
      <rPr>
        <sz val="10"/>
        <rFont val="WenQuanYi Zen Hei"/>
        <family val="2"/>
      </rPr>
      <t xml:space="preserve">日（従来試算と一致）</t>
    </r>
  </si>
  <si>
    <r>
      <rPr>
        <sz val="10"/>
        <rFont val="WenQuanYi Zen Hei"/>
        <family val="2"/>
      </rPr>
      <t xml:space="preserve">非縫製時間 </t>
    </r>
    <r>
      <rPr>
        <sz val="10"/>
        <rFont val="Meiryo UI"/>
        <family val="0"/>
        <charset val="1"/>
      </rPr>
      <t xml:space="preserve">(h)</t>
    </r>
  </si>
  <si>
    <r>
      <rPr>
        <b val="true"/>
        <sz val="11"/>
        <color rgb="FF1F4E78"/>
        <rFont val="Meiryo UI"/>
        <family val="0"/>
        <charset val="1"/>
      </rPr>
      <t xml:space="preserve">2. </t>
    </r>
    <r>
      <rPr>
        <b val="true"/>
        <sz val="11"/>
        <color rgb="FF1F4E78"/>
        <rFont val="WenQuanYi Zen Hei"/>
        <family val="2"/>
      </rPr>
      <t xml:space="preserve">削減効果</t>
    </r>
  </si>
  <si>
    <r>
      <rPr>
        <sz val="10"/>
        <rFont val="WenQuanYi Zen Hei"/>
        <family val="2"/>
      </rPr>
      <t xml:space="preserve">クラッチ 消費電力 </t>
    </r>
    <r>
      <rPr>
        <sz val="10"/>
        <rFont val="Meiryo UI"/>
        <family val="0"/>
        <charset val="1"/>
      </rPr>
      <t xml:space="preserve">(kWh/</t>
    </r>
    <r>
      <rPr>
        <sz val="10"/>
        <rFont val="WenQuanYi Zen Hei"/>
        <family val="2"/>
      </rPr>
      <t xml:space="preserve">日</t>
    </r>
    <r>
      <rPr>
        <sz val="10"/>
        <rFont val="Meiryo UI"/>
        <family val="0"/>
        <charset val="1"/>
      </rPr>
      <t xml:space="preserve">)</t>
    </r>
  </si>
  <si>
    <r>
      <rPr>
        <sz val="10"/>
        <rFont val="Meiryo UI"/>
        <family val="0"/>
        <charset val="1"/>
      </rPr>
      <t xml:space="preserve">(</t>
    </r>
    <r>
      <rPr>
        <sz val="10"/>
        <rFont val="WenQuanYi Zen Hei"/>
        <family val="2"/>
      </rPr>
      <t xml:space="preserve">縫製</t>
    </r>
    <r>
      <rPr>
        <sz val="10"/>
        <rFont val="Meiryo UI"/>
        <family val="0"/>
        <charset val="1"/>
      </rPr>
      <t xml:space="preserve">W×</t>
    </r>
    <r>
      <rPr>
        <sz val="10"/>
        <rFont val="WenQuanYi Zen Hei"/>
        <family val="2"/>
      </rPr>
      <t xml:space="preserve">縫製</t>
    </r>
    <r>
      <rPr>
        <sz val="10"/>
        <rFont val="Meiryo UI"/>
        <family val="0"/>
        <charset val="1"/>
      </rPr>
      <t xml:space="preserve">h</t>
    </r>
    <r>
      <rPr>
        <sz val="10"/>
        <rFont val="WenQuanYi Zen Hei"/>
        <family val="2"/>
      </rPr>
      <t xml:space="preserve">＋非縫製</t>
    </r>
    <r>
      <rPr>
        <sz val="10"/>
        <rFont val="Meiryo UI"/>
        <family val="0"/>
        <charset val="1"/>
      </rPr>
      <t xml:space="preserve">W×</t>
    </r>
    <r>
      <rPr>
        <sz val="10"/>
        <rFont val="WenQuanYi Zen Hei"/>
        <family val="2"/>
      </rPr>
      <t xml:space="preserve">非縫製</t>
    </r>
    <r>
      <rPr>
        <sz val="10"/>
        <rFont val="Meiryo UI"/>
        <family val="0"/>
        <charset val="1"/>
      </rPr>
      <t xml:space="preserve">h)÷1000</t>
    </r>
  </si>
  <si>
    <r>
      <rPr>
        <sz val="10"/>
        <rFont val="WenQuanYi Zen Hei"/>
        <family val="2"/>
      </rPr>
      <t xml:space="preserve">サーボ 消費電力 </t>
    </r>
    <r>
      <rPr>
        <sz val="10"/>
        <rFont val="Meiryo UI"/>
        <family val="0"/>
        <charset val="1"/>
      </rPr>
      <t xml:space="preserve">(kWh/</t>
    </r>
    <r>
      <rPr>
        <sz val="10"/>
        <rFont val="WenQuanYi Zen Hei"/>
        <family val="2"/>
      </rPr>
      <t xml:space="preserve">日</t>
    </r>
    <r>
      <rPr>
        <sz val="10"/>
        <rFont val="Meiryo UI"/>
        <family val="0"/>
        <charset val="1"/>
      </rPr>
      <t xml:space="preserve">)</t>
    </r>
  </si>
  <si>
    <r>
      <rPr>
        <sz val="10"/>
        <rFont val="WenQuanYi Zen Hei"/>
        <family val="2"/>
      </rPr>
      <t xml:space="preserve">削減 </t>
    </r>
    <r>
      <rPr>
        <sz val="10"/>
        <rFont val="Meiryo UI"/>
        <family val="0"/>
        <charset val="1"/>
      </rPr>
      <t xml:space="preserve">(kWh/</t>
    </r>
    <r>
      <rPr>
        <sz val="10"/>
        <rFont val="WenQuanYi Zen Hei"/>
        <family val="2"/>
      </rPr>
      <t xml:space="preserve">日・台</t>
    </r>
    <r>
      <rPr>
        <sz val="10"/>
        <rFont val="Meiryo UI"/>
        <family val="0"/>
        <charset val="1"/>
      </rPr>
      <t xml:space="preserve">)</t>
    </r>
  </si>
  <si>
    <r>
      <rPr>
        <sz val="10"/>
        <rFont val="WenQuanYi Zen Hei"/>
        <family val="2"/>
      </rPr>
      <t xml:space="preserve">年間削減 </t>
    </r>
    <r>
      <rPr>
        <sz val="10"/>
        <rFont val="Meiryo UI"/>
        <family val="0"/>
        <charset val="1"/>
      </rPr>
      <t xml:space="preserve">(kWh/</t>
    </r>
    <r>
      <rPr>
        <sz val="10"/>
        <rFont val="WenQuanYi Zen Hei"/>
        <family val="2"/>
      </rPr>
      <t xml:space="preserve">年・台</t>
    </r>
    <r>
      <rPr>
        <sz val="10"/>
        <rFont val="Meiryo UI"/>
        <family val="0"/>
        <charset val="1"/>
      </rPr>
      <t xml:space="preserve">)</t>
    </r>
  </si>
  <si>
    <r>
      <rPr>
        <sz val="10"/>
        <rFont val="Meiryo UI"/>
        <family val="0"/>
        <charset val="1"/>
      </rPr>
      <t xml:space="preserve">×</t>
    </r>
    <r>
      <rPr>
        <sz val="10"/>
        <rFont val="WenQuanYi Zen Hei"/>
        <family val="2"/>
      </rPr>
      <t xml:space="preserve">年間稼働日</t>
    </r>
  </si>
  <si>
    <r>
      <rPr>
        <b val="true"/>
        <sz val="10"/>
        <rFont val="WenQuanYi Zen Hei"/>
        <family val="2"/>
      </rPr>
      <t xml:space="preserve">年間削減 </t>
    </r>
    <r>
      <rPr>
        <b val="true"/>
        <sz val="10"/>
        <rFont val="Meiryo UI"/>
        <family val="0"/>
        <charset val="1"/>
      </rPr>
      <t xml:space="preserve">(USD/</t>
    </r>
    <r>
      <rPr>
        <b val="true"/>
        <sz val="10"/>
        <rFont val="WenQuanYi Zen Hei"/>
        <family val="2"/>
      </rPr>
      <t xml:space="preserve">年・台</t>
    </r>
    <r>
      <rPr>
        <b val="true"/>
        <sz val="10"/>
        <rFont val="Meiryo UI"/>
        <family val="0"/>
        <charset val="1"/>
      </rPr>
      <t xml:space="preserve">)</t>
    </r>
  </si>
  <si>
    <r>
      <rPr>
        <sz val="10"/>
        <rFont val="Meiryo UI"/>
        <family val="0"/>
        <charset val="1"/>
      </rPr>
      <t xml:space="preserve">×</t>
    </r>
    <r>
      <rPr>
        <sz val="10"/>
        <rFont val="WenQuanYi Zen Hei"/>
        <family val="2"/>
      </rPr>
      <t xml:space="preserve">電気単価</t>
    </r>
  </si>
  <si>
    <r>
      <rPr>
        <sz val="10"/>
        <rFont val="WenQuanYi Zen Hei"/>
        <family val="2"/>
      </rPr>
      <t xml:space="preserve">参考：</t>
    </r>
    <r>
      <rPr>
        <sz val="10"/>
        <rFont val="Meiryo UI"/>
        <family val="0"/>
        <charset val="1"/>
      </rPr>
      <t xml:space="preserve">5</t>
    </r>
    <r>
      <rPr>
        <sz val="10"/>
        <rFont val="WenQuanYi Zen Hei"/>
        <family val="2"/>
      </rPr>
      <t xml:space="preserve">台 </t>
    </r>
    <r>
      <rPr>
        <sz val="10"/>
        <rFont val="Meiryo UI"/>
        <family val="0"/>
        <charset val="1"/>
      </rPr>
      <t xml:space="preserve">(USD/</t>
    </r>
    <r>
      <rPr>
        <sz val="10"/>
        <rFont val="WenQuanYi Zen Hei"/>
        <family val="2"/>
      </rPr>
      <t xml:space="preserve">年</t>
    </r>
    <r>
      <rPr>
        <sz val="10"/>
        <rFont val="Meiryo UI"/>
        <family val="0"/>
        <charset val="1"/>
      </rPr>
      <t xml:space="preserve">)</t>
    </r>
  </si>
  <si>
    <r>
      <rPr>
        <sz val="10"/>
        <rFont val="WenQuanYi Zen Hei"/>
        <family val="2"/>
      </rPr>
      <t xml:space="preserve">原案</t>
    </r>
    <r>
      <rPr>
        <sz val="10"/>
        <rFont val="Meiryo UI"/>
        <family val="0"/>
        <charset val="1"/>
      </rPr>
      <t xml:space="preserve">No.1</t>
    </r>
    <r>
      <rPr>
        <sz val="10"/>
        <rFont val="WenQuanYi Zen Hei"/>
        <family val="2"/>
      </rPr>
      <t xml:space="preserve">の</t>
    </r>
    <r>
      <rPr>
        <sz val="10"/>
        <rFont val="Meiryo UI"/>
        <family val="0"/>
        <charset val="1"/>
      </rPr>
      <t xml:space="preserve">5</t>
    </r>
    <r>
      <rPr>
        <sz val="10"/>
        <rFont val="WenQuanYi Zen Hei"/>
        <family val="2"/>
      </rPr>
      <t xml:space="preserve">台</t>
    </r>
  </si>
  <si>
    <r>
      <rPr>
        <sz val="10"/>
        <rFont val="WenQuanYi Zen Hei"/>
        <family val="2"/>
      </rPr>
      <t xml:space="preserve">調整案 対象台数（</t>
    </r>
    <r>
      <rPr>
        <sz val="10"/>
        <rFont val="Meiryo UI"/>
        <family val="0"/>
        <charset val="1"/>
      </rPr>
      <t xml:space="preserve">OL</t>
    </r>
    <r>
      <rPr>
        <sz val="10"/>
        <rFont val="WenQuanYi Zen Hei"/>
        <family val="2"/>
      </rPr>
      <t xml:space="preserve">＋</t>
    </r>
    <r>
      <rPr>
        <sz val="10"/>
        <rFont val="Meiryo UI"/>
        <family val="0"/>
        <charset val="1"/>
      </rPr>
      <t xml:space="preserve">IL</t>
    </r>
    <r>
      <rPr>
        <sz val="10"/>
        <rFont val="WenQuanYi Zen Hei"/>
        <family val="2"/>
      </rPr>
      <t xml:space="preserve">）</t>
    </r>
  </si>
  <si>
    <t xml:space="preserve">新機がクラッチ機の稼働を置き換える前提（借用・レンタル機はクラッチ機）</t>
  </si>
  <si>
    <r>
      <rPr>
        <b val="true"/>
        <sz val="10"/>
        <rFont val="WenQuanYi Zen Hei"/>
        <family val="2"/>
      </rPr>
      <t xml:space="preserve">年間削減 合計 </t>
    </r>
    <r>
      <rPr>
        <b val="true"/>
        <sz val="10"/>
        <rFont val="Meiryo UI"/>
        <family val="0"/>
        <charset val="1"/>
      </rPr>
      <t xml:space="preserve">(USD/</t>
    </r>
    <r>
      <rPr>
        <b val="true"/>
        <sz val="10"/>
        <rFont val="WenQuanYi Zen Hei"/>
        <family val="2"/>
      </rPr>
      <t xml:space="preserve">年</t>
    </r>
    <r>
      <rPr>
        <b val="true"/>
        <sz val="10"/>
        <rFont val="Meiryo UI"/>
        <family val="0"/>
        <charset val="1"/>
      </rPr>
      <t xml:space="preserve">)</t>
    </r>
  </si>
  <si>
    <r>
      <rPr>
        <sz val="10"/>
        <rFont val="Meiryo UI"/>
        <family val="0"/>
        <charset val="1"/>
      </rPr>
      <t xml:space="preserve">13_</t>
    </r>
    <r>
      <rPr>
        <sz val="10"/>
        <rFont val="WenQuanYi Zen Hei"/>
        <family val="2"/>
      </rPr>
      <t xml:space="preserve">費用対効果</t>
    </r>
    <r>
      <rPr>
        <sz val="10"/>
        <rFont val="Meiryo UI"/>
        <family val="0"/>
        <charset val="1"/>
      </rPr>
      <t xml:space="preserve">PL</t>
    </r>
    <r>
      <rPr>
        <sz val="10"/>
        <rFont val="WenQuanYi Zen Hei"/>
        <family val="2"/>
      </rPr>
      <t xml:space="preserve">へ連携</t>
    </r>
  </si>
  <si>
    <r>
      <rPr>
        <b val="true"/>
        <sz val="11"/>
        <color rgb="FF1F4E78"/>
        <rFont val="Meiryo UI"/>
        <family val="0"/>
        <charset val="1"/>
      </rPr>
      <t xml:space="preserve">3. </t>
    </r>
    <r>
      <rPr>
        <b val="true"/>
        <sz val="11"/>
        <color rgb="FF1F4E78"/>
        <rFont val="WenQuanYi Zen Hei"/>
        <family val="2"/>
      </rPr>
      <t xml:space="preserve">品質・操作性（主効果）</t>
    </r>
  </si>
  <si>
    <t xml:space="preserve">クラッチモーター（現状）</t>
  </si>
  <si>
    <t xml:space="preserve">サーボモーター（新）</t>
  </si>
  <si>
    <t xml:space="preserve">品質への影響</t>
  </si>
  <si>
    <t xml:space="preserve">停止</t>
  </si>
  <si>
    <t xml:space="preserve">ペダルを離しても惰性回転で数針進む</t>
  </si>
  <si>
    <r>
      <rPr>
        <sz val="10"/>
        <rFont val="WenQuanYi Zen Hei"/>
        <family val="2"/>
      </rPr>
      <t xml:space="preserve">ペダル</t>
    </r>
    <r>
      <rPr>
        <sz val="10"/>
        <rFont val="Meiryo UI"/>
        <family val="0"/>
        <charset val="1"/>
      </rPr>
      <t xml:space="preserve">OFF</t>
    </r>
    <r>
      <rPr>
        <sz val="10"/>
        <rFont val="WenQuanYi Zen Hei"/>
        <family val="2"/>
      </rPr>
      <t xml:space="preserve">で即停止</t>
    </r>
  </si>
  <si>
    <t xml:space="preserve">曲線部で止めて向きを直す作業の精度が上がる</t>
  </si>
  <si>
    <t xml:space="preserve">曲線部の微調整</t>
  </si>
  <si>
    <t xml:space="preserve">微調整が難しく熟練に依存</t>
  </si>
  <si>
    <t xml:space="preserve">低速・針単位の調整が容易</t>
  </si>
  <si>
    <t xml:space="preserve">縫いズレ減少、品質安定</t>
  </si>
  <si>
    <t xml:space="preserve">属人性</t>
  </si>
  <si>
    <t xml:space="preserve">熟練者でないと品質がばらつく</t>
  </si>
  <si>
    <t xml:space="preserve">操作が標準化しやすい</t>
  </si>
  <si>
    <t xml:space="preserve">習熟期間短縮、不良低減</t>
  </si>
  <si>
    <t xml:space="preserve">糸切り</t>
  </si>
  <si>
    <t xml:space="preserve">手作業</t>
  </si>
  <si>
    <t xml:space="preserve">自動糸切り</t>
  </si>
  <si>
    <t xml:space="preserve">工程内の付帯作業削減</t>
  </si>
  <si>
    <r>
      <rPr>
        <b val="true"/>
        <sz val="14"/>
        <color rgb="FF1F4E78"/>
        <rFont val="WenQuanYi Zen Hei"/>
        <family val="2"/>
      </rPr>
      <t xml:space="preserve">省人効果：パターンシーマ（</t>
    </r>
    <r>
      <rPr>
        <b val="true"/>
        <sz val="14"/>
        <color rgb="FF1F4E78"/>
        <rFont val="Meiryo UI"/>
        <family val="0"/>
        <charset val="1"/>
      </rPr>
      <t xml:space="preserve">No.4</t>
    </r>
    <r>
      <rPr>
        <b val="true"/>
        <sz val="14"/>
        <color rgb="FF1F4E78"/>
        <rFont val="WenQuanYi Zen Hei"/>
        <family val="2"/>
      </rPr>
      <t xml:space="preserve">・</t>
    </r>
    <r>
      <rPr>
        <b val="true"/>
        <sz val="14"/>
        <color rgb="FF1F4E78"/>
        <rFont val="Meiryo UI"/>
        <family val="0"/>
        <charset val="1"/>
      </rPr>
      <t xml:space="preserve">5</t>
    </r>
    <r>
      <rPr>
        <b val="true"/>
        <sz val="14"/>
        <color rgb="FF1F4E78"/>
        <rFont val="WenQuanYi Zen Hei"/>
        <family val="2"/>
      </rPr>
      <t xml:space="preserve">）／</t>
    </r>
    <r>
      <rPr>
        <b val="true"/>
        <sz val="14"/>
        <color rgb="FF1F4E78"/>
        <rFont val="Meiryo UI"/>
        <family val="0"/>
        <charset val="1"/>
      </rPr>
      <t xml:space="preserve">Spec-D</t>
    </r>
    <r>
      <rPr>
        <b val="true"/>
        <sz val="14"/>
        <color rgb="FF1F4E78"/>
        <rFont val="WenQuanYi Zen Hei"/>
        <family val="2"/>
      </rPr>
      <t xml:space="preserve">（</t>
    </r>
    <r>
      <rPr>
        <b val="true"/>
        <sz val="14"/>
        <color rgb="FF1F4E78"/>
        <rFont val="Meiryo UI"/>
        <family val="0"/>
        <charset val="1"/>
      </rPr>
      <t xml:space="preserve">No.7</t>
    </r>
    <r>
      <rPr>
        <b val="true"/>
        <sz val="14"/>
        <color rgb="FF1F4E78"/>
        <rFont val="WenQuanYi Zen Hei"/>
        <family val="2"/>
      </rPr>
      <t xml:space="preserve">）</t>
    </r>
  </si>
  <si>
    <r>
      <rPr>
        <i val="true"/>
        <sz val="9"/>
        <color rgb="FF595959"/>
        <rFont val="WenQuanYi Zen Hei"/>
        <family val="2"/>
      </rPr>
      <t xml:space="preserve">省人化＝人員削減ではない。工程秒削減 → 必要工数削減 → 必要人員減 → 余力人員の再配置 → 工場全体の生産性向上（例：</t>
    </r>
    <r>
      <rPr>
        <i val="true"/>
        <sz val="9"/>
        <color rgb="FF595959"/>
        <rFont val="Meiryo UI"/>
        <family val="0"/>
        <charset val="1"/>
      </rPr>
      <t xml:space="preserve">30</t>
    </r>
    <r>
      <rPr>
        <i val="true"/>
        <sz val="9"/>
        <color rgb="FF595959"/>
        <rFont val="WenQuanYi Zen Hei"/>
        <family val="2"/>
      </rPr>
      <t xml:space="preserve">人必要→</t>
    </r>
    <r>
      <rPr>
        <i val="true"/>
        <sz val="9"/>
        <color rgb="FF595959"/>
        <rFont val="Meiryo UI"/>
        <family val="0"/>
        <charset val="1"/>
      </rPr>
      <t xml:space="preserve">28</t>
    </r>
    <r>
      <rPr>
        <i val="true"/>
        <sz val="9"/>
        <color rgb="FF595959"/>
        <rFont val="WenQuanYi Zen Hei"/>
        <family val="2"/>
      </rPr>
      <t xml:space="preserve">人で同じ生産量→</t>
    </r>
    <r>
      <rPr>
        <i val="true"/>
        <sz val="9"/>
        <color rgb="FF595959"/>
        <rFont val="Meiryo UI"/>
        <family val="0"/>
        <charset val="1"/>
      </rPr>
      <t xml:space="preserve">2</t>
    </r>
    <r>
      <rPr>
        <i val="true"/>
        <sz val="9"/>
        <color rgb="FF595959"/>
        <rFont val="WenQuanYi Zen Hei"/>
        <family val="2"/>
      </rPr>
      <t xml:space="preserve">人を他工程へ）。</t>
    </r>
  </si>
  <si>
    <r>
      <rPr>
        <b val="true"/>
        <sz val="10"/>
        <rFont val="Meiryo UI"/>
        <family val="0"/>
        <charset val="1"/>
      </rPr>
      <t xml:space="preserve">1</t>
    </r>
    <r>
      <rPr>
        <b val="true"/>
        <sz val="10"/>
        <rFont val="WenQuanYi Zen Hei"/>
        <family val="2"/>
      </rPr>
      <t xml:space="preserve">人年間有効稼働秒</t>
    </r>
  </si>
  <si>
    <r>
      <rPr>
        <i val="true"/>
        <sz val="9"/>
        <color rgb="FF595959"/>
        <rFont val="WenQuanYi Zen Hei"/>
        <family val="2"/>
      </rPr>
      <t xml:space="preserve">年間削減工数（秒）＝（</t>
    </r>
    <r>
      <rPr>
        <i val="true"/>
        <sz val="9"/>
        <color rgb="FF595959"/>
        <rFont val="Meiryo UI"/>
        <family val="0"/>
        <charset val="1"/>
      </rPr>
      <t xml:space="preserve">Before</t>
    </r>
    <r>
      <rPr>
        <i val="true"/>
        <sz val="9"/>
        <color rgb="FF595959"/>
        <rFont val="WenQuanYi Zen Hei"/>
        <family val="2"/>
      </rPr>
      <t xml:space="preserve">工程秒−</t>
    </r>
    <r>
      <rPr>
        <i val="true"/>
        <sz val="9"/>
        <color rgb="FF595959"/>
        <rFont val="Meiryo UI"/>
        <family val="0"/>
        <charset val="1"/>
      </rPr>
      <t xml:space="preserve">After</t>
    </r>
    <r>
      <rPr>
        <i val="true"/>
        <sz val="9"/>
        <color rgb="FF595959"/>
        <rFont val="WenQuanYi Zen Hei"/>
        <family val="2"/>
      </rPr>
      <t xml:space="preserve">工程秒）</t>
    </r>
    <r>
      <rPr>
        <i val="true"/>
        <sz val="9"/>
        <color rgb="FF595959"/>
        <rFont val="Meiryo UI"/>
        <family val="0"/>
        <charset val="1"/>
      </rPr>
      <t xml:space="preserve">×</t>
    </r>
    <r>
      <rPr>
        <i val="true"/>
        <sz val="9"/>
        <color rgb="FF595959"/>
        <rFont val="WenQuanYi Zen Hei"/>
        <family val="2"/>
      </rPr>
      <t xml:space="preserve">年間生産数量　／　省人工数＝年間削減工数</t>
    </r>
    <r>
      <rPr>
        <i val="true"/>
        <sz val="9"/>
        <color rgb="FF595959"/>
        <rFont val="Meiryo UI"/>
        <family val="0"/>
        <charset val="1"/>
      </rPr>
      <t xml:space="preserve">÷1</t>
    </r>
    <r>
      <rPr>
        <i val="true"/>
        <sz val="9"/>
        <color rgb="FF595959"/>
        <rFont val="WenQuanYi Zen Hei"/>
        <family val="2"/>
      </rPr>
      <t xml:space="preserve">人年間有効稼働秒</t>
    </r>
  </si>
  <si>
    <r>
      <rPr>
        <i val="true"/>
        <sz val="9"/>
        <color rgb="FF595959"/>
        <rFont val="WenQuanYi Zen Hei"/>
        <family val="2"/>
      </rPr>
      <t xml:space="preserve">※全ケースでサイクルが短くなるわけではない（同等・数秒遅いケースあり）。サイクル基準と『作業者拘束時間』基準の両方を表示し、拘束時間・工程集約・品質・習熟で評価する。黄色セルに工場の実測</t>
    </r>
    <r>
      <rPr>
        <i val="true"/>
        <sz val="9"/>
        <color rgb="FF595959"/>
        <rFont val="Meiryo UI"/>
        <family val="0"/>
        <charset val="1"/>
      </rPr>
      <t xml:space="preserve">raw data</t>
    </r>
    <r>
      <rPr>
        <i val="true"/>
        <sz val="9"/>
        <color rgb="FF595959"/>
        <rFont val="WenQuanYi Zen Hei"/>
        <family val="2"/>
      </rPr>
      <t xml:space="preserve">を入力。</t>
    </r>
  </si>
  <si>
    <r>
      <rPr>
        <b val="true"/>
        <sz val="11"/>
        <color rgb="FF1F4E78"/>
        <rFont val="Meiryo UI"/>
        <family val="0"/>
        <charset val="1"/>
      </rPr>
      <t xml:space="preserve">1. </t>
    </r>
    <r>
      <rPr>
        <b val="true"/>
        <sz val="11"/>
        <color rgb="FF1F4E78"/>
        <rFont val="WenQuanYi Zen Hei"/>
        <family val="2"/>
      </rPr>
      <t xml:space="preserve">パターンシーマ：手作業 → 改善治具＋</t>
    </r>
    <r>
      <rPr>
        <b val="true"/>
        <sz val="11"/>
        <color rgb="FF1F4E78"/>
        <rFont val="Meiryo UI"/>
        <family val="0"/>
        <charset val="1"/>
      </rPr>
      <t xml:space="preserve">1</t>
    </r>
    <r>
      <rPr>
        <b val="true"/>
        <sz val="11"/>
        <color rgb="FF1F4E78"/>
        <rFont val="WenQuanYi Zen Hei"/>
        <family val="2"/>
      </rPr>
      <t xml:space="preserve">本針 → パターンシーマ（同一工程の</t>
    </r>
    <r>
      <rPr>
        <b val="true"/>
        <sz val="11"/>
        <color rgb="FF1F4E78"/>
        <rFont val="Meiryo UI"/>
        <family val="0"/>
        <charset val="1"/>
      </rPr>
      <t xml:space="preserve">3</t>
    </r>
    <r>
      <rPr>
        <b val="true"/>
        <sz val="11"/>
        <color rgb="FF1F4E78"/>
        <rFont val="WenQuanYi Zen Hei"/>
        <family val="2"/>
      </rPr>
      <t xml:space="preserve">方式比較）</t>
    </r>
  </si>
  <si>
    <t xml:space="preserve">対象</t>
  </si>
  <si>
    <r>
      <rPr>
        <b val="true"/>
        <sz val="10"/>
        <color rgb="FFFFFFFF"/>
        <rFont val="WenQuanYi Zen Hei"/>
        <family val="2"/>
      </rPr>
      <t xml:space="preserve">治具＋</t>
    </r>
    <r>
      <rPr>
        <b val="true"/>
        <sz val="10"/>
        <color rgb="FFFFFFFF"/>
        <rFont val="Meiryo UI"/>
        <family val="0"/>
        <charset val="1"/>
      </rPr>
      <t xml:space="preserve">1</t>
    </r>
    <r>
      <rPr>
        <b val="true"/>
        <sz val="10"/>
        <color rgb="FFFFFFFF"/>
        <rFont val="WenQuanYi Zen Hei"/>
        <family val="2"/>
      </rPr>
      <t xml:space="preserve">本針</t>
    </r>
  </si>
  <si>
    <t xml:space="preserve">パターンシーマ</t>
  </si>
  <si>
    <t xml:space="preserve">差分・効果（手作業比）</t>
  </si>
  <si>
    <t xml:space="preserve">判定</t>
  </si>
  <si>
    <t xml:space="preserve">定性効果（実測）</t>
  </si>
  <si>
    <t xml:space="preserve">No</t>
  </si>
  <si>
    <t xml:space="preserve">顧客</t>
  </si>
  <si>
    <t xml:space="preserve">部位・工程</t>
  </si>
  <si>
    <r>
      <rPr>
        <b val="true"/>
        <sz val="10"/>
        <color rgb="FFFFFFFF"/>
        <rFont val="WenQuanYi Zen Hei"/>
        <family val="2"/>
      </rPr>
      <t xml:space="preserve">機種</t>
    </r>
    <r>
      <rPr>
        <b val="true"/>
        <sz val="10"/>
        <color rgb="FFFFFFFF"/>
        <rFont val="Meiryo UI"/>
        <family val="0"/>
        <charset val="1"/>
      </rPr>
      <t xml:space="preserve">(</t>
    </r>
    <r>
      <rPr>
        <b val="true"/>
        <sz val="10"/>
        <color rgb="FFFFFFFF"/>
        <rFont val="WenQuanYi Zen Hei"/>
        <family val="2"/>
      </rPr>
      <t xml:space="preserve">大</t>
    </r>
    <r>
      <rPr>
        <b val="true"/>
        <sz val="10"/>
        <color rgb="FFFFFFFF"/>
        <rFont val="Meiryo UI"/>
        <family val="0"/>
        <charset val="1"/>
      </rPr>
      <t xml:space="preserve">/</t>
    </r>
    <r>
      <rPr>
        <b val="true"/>
        <sz val="10"/>
        <color rgb="FFFFFFFF"/>
        <rFont val="WenQuanYi Zen Hei"/>
        <family val="2"/>
      </rPr>
      <t xml:space="preserve">中</t>
    </r>
    <r>
      <rPr>
        <b val="true"/>
        <sz val="10"/>
        <color rgb="FFFFFFFF"/>
        <rFont val="Meiryo UI"/>
        <family val="0"/>
        <charset val="1"/>
      </rPr>
      <t xml:space="preserve">)</t>
    </r>
  </si>
  <si>
    <r>
      <rPr>
        <b val="true"/>
        <sz val="10"/>
        <color rgb="FFFFFFFF"/>
        <rFont val="WenQuanYi Zen Hei"/>
        <family val="2"/>
      </rPr>
      <t xml:space="preserve">年間生産数量</t>
    </r>
    <r>
      <rPr>
        <b val="true"/>
        <sz val="10"/>
        <color rgb="FFFFFFFF"/>
        <rFont val="Meiryo UI"/>
        <family val="0"/>
        <charset val="1"/>
      </rPr>
      <t xml:space="preserve">(</t>
    </r>
    <r>
      <rPr>
        <b val="true"/>
        <sz val="10"/>
        <color rgb="FFFFFFFF"/>
        <rFont val="WenQuanYi Zen Hei"/>
        <family val="2"/>
      </rPr>
      <t xml:space="preserve">枚</t>
    </r>
    <r>
      <rPr>
        <b val="true"/>
        <sz val="10"/>
        <color rgb="FFFFFFFF"/>
        <rFont val="Meiryo UI"/>
        <family val="0"/>
        <charset val="1"/>
      </rPr>
      <t xml:space="preserve">)</t>
    </r>
  </si>
  <si>
    <t xml:space="preserve">工程数</t>
  </si>
  <si>
    <t xml:space="preserve">工程秒</t>
  </si>
  <si>
    <t xml:space="preserve">サイクル秒</t>
  </si>
  <si>
    <t xml:space="preserve">うち自動縫製秒</t>
  </si>
  <si>
    <r>
      <rPr>
        <b val="true"/>
        <sz val="10"/>
        <color rgb="FFFFFFFF"/>
        <rFont val="WenQuanYi Zen Hei"/>
        <family val="2"/>
      </rPr>
      <t xml:space="preserve">自動縫製中の並行作業秒</t>
    </r>
    <r>
      <rPr>
        <b val="true"/>
        <sz val="10"/>
        <color rgb="FFFFFFFF"/>
        <rFont val="Meiryo UI"/>
        <family val="0"/>
        <charset val="1"/>
      </rPr>
      <t xml:space="preserve">(</t>
    </r>
    <r>
      <rPr>
        <b val="true"/>
        <sz val="10"/>
        <color rgb="FFFFFFFF"/>
        <rFont val="WenQuanYi Zen Hei"/>
        <family val="2"/>
      </rPr>
      <t xml:space="preserve">実測</t>
    </r>
    <r>
      <rPr>
        <b val="true"/>
        <sz val="10"/>
        <color rgb="FFFFFFFF"/>
        <rFont val="Meiryo UI"/>
        <family val="0"/>
        <charset val="1"/>
      </rPr>
      <t xml:space="preserve">)</t>
    </r>
  </si>
  <si>
    <t xml:space="preserve">作業者拘束秒</t>
  </si>
  <si>
    <t xml:space="preserve">工程数削減</t>
  </si>
  <si>
    <r>
      <rPr>
        <b val="true"/>
        <sz val="10"/>
        <color rgb="FFFFFFFF"/>
        <rFont val="WenQuanYi Zen Hei"/>
        <family val="2"/>
      </rPr>
      <t xml:space="preserve">サイクル差</t>
    </r>
    <r>
      <rPr>
        <b val="true"/>
        <sz val="10"/>
        <color rgb="FFFFFFFF"/>
        <rFont val="Meiryo UI"/>
        <family val="0"/>
        <charset val="1"/>
      </rPr>
      <t xml:space="preserve">(</t>
    </r>
    <r>
      <rPr>
        <b val="true"/>
        <sz val="10"/>
        <color rgb="FFFFFFFF"/>
        <rFont val="WenQuanYi Zen Hei"/>
        <family val="2"/>
      </rPr>
      <t xml:space="preserve">秒</t>
    </r>
    <r>
      <rPr>
        <b val="true"/>
        <sz val="10"/>
        <color rgb="FFFFFFFF"/>
        <rFont val="Meiryo UI"/>
        <family val="0"/>
        <charset val="1"/>
      </rPr>
      <t xml:space="preserve">)</t>
    </r>
  </si>
  <si>
    <r>
      <rPr>
        <b val="true"/>
        <sz val="10"/>
        <color rgb="FFFFFFFF"/>
        <rFont val="WenQuanYi Zen Hei"/>
        <family val="2"/>
      </rPr>
      <t xml:space="preserve">拘束時間差</t>
    </r>
    <r>
      <rPr>
        <b val="true"/>
        <sz val="10"/>
        <color rgb="FFFFFFFF"/>
        <rFont val="Meiryo UI"/>
        <family val="0"/>
        <charset val="1"/>
      </rPr>
      <t xml:space="preserve">(</t>
    </r>
    <r>
      <rPr>
        <b val="true"/>
        <sz val="10"/>
        <color rgb="FFFFFFFF"/>
        <rFont val="WenQuanYi Zen Hei"/>
        <family val="2"/>
      </rPr>
      <t xml:space="preserve">秒</t>
    </r>
    <r>
      <rPr>
        <b val="true"/>
        <sz val="10"/>
        <color rgb="FFFFFFFF"/>
        <rFont val="Meiryo UI"/>
        <family val="0"/>
        <charset val="1"/>
      </rPr>
      <t xml:space="preserve">)</t>
    </r>
  </si>
  <si>
    <r>
      <rPr>
        <b val="true"/>
        <sz val="10"/>
        <color rgb="FFFFFFFF"/>
        <rFont val="WenQuanYi Zen Hei"/>
        <family val="2"/>
      </rPr>
      <t xml:space="preserve">年間削減工数</t>
    </r>
    <r>
      <rPr>
        <b val="true"/>
        <sz val="10"/>
        <color rgb="FFFFFFFF"/>
        <rFont val="Meiryo UI"/>
        <family val="0"/>
        <charset val="1"/>
      </rPr>
      <t xml:space="preserve">(</t>
    </r>
    <r>
      <rPr>
        <b val="true"/>
        <sz val="10"/>
        <color rgb="FFFFFFFF"/>
        <rFont val="WenQuanYi Zen Hei"/>
        <family val="2"/>
      </rPr>
      <t xml:space="preserve">秒</t>
    </r>
    <r>
      <rPr>
        <b val="true"/>
        <sz val="10"/>
        <color rgb="FFFFFFFF"/>
        <rFont val="Meiryo UI"/>
        <family val="0"/>
        <charset val="1"/>
      </rPr>
      <t xml:space="preserve">)</t>
    </r>
    <r>
      <rPr>
        <b val="true"/>
        <sz val="10"/>
        <color rgb="FFFFFFFF"/>
        <rFont val="WenQuanYi Zen Hei"/>
        <family val="2"/>
      </rPr>
      <t xml:space="preserve">サイクル基準</t>
    </r>
  </si>
  <si>
    <r>
      <rPr>
        <b val="true"/>
        <sz val="10"/>
        <color rgb="FFFFFFFF"/>
        <rFont val="WenQuanYi Zen Hei"/>
        <family val="2"/>
      </rPr>
      <t xml:space="preserve">年間削減工数</t>
    </r>
    <r>
      <rPr>
        <b val="true"/>
        <sz val="10"/>
        <color rgb="FFFFFFFF"/>
        <rFont val="Meiryo UI"/>
        <family val="0"/>
        <charset val="1"/>
      </rPr>
      <t xml:space="preserve">(</t>
    </r>
    <r>
      <rPr>
        <b val="true"/>
        <sz val="10"/>
        <color rgb="FFFFFFFF"/>
        <rFont val="WenQuanYi Zen Hei"/>
        <family val="2"/>
      </rPr>
      <t xml:space="preserve">秒</t>
    </r>
    <r>
      <rPr>
        <b val="true"/>
        <sz val="10"/>
        <color rgb="FFFFFFFF"/>
        <rFont val="Meiryo UI"/>
        <family val="0"/>
        <charset val="1"/>
      </rPr>
      <t xml:space="preserve">)</t>
    </r>
    <r>
      <rPr>
        <b val="true"/>
        <sz val="10"/>
        <color rgb="FFFFFFFF"/>
        <rFont val="WenQuanYi Zen Hei"/>
        <family val="2"/>
      </rPr>
      <t xml:space="preserve">拘束基準</t>
    </r>
  </si>
  <si>
    <r>
      <rPr>
        <b val="true"/>
        <sz val="10"/>
        <color rgb="FFFFFFFF"/>
        <rFont val="WenQuanYi Zen Hei"/>
        <family val="2"/>
      </rPr>
      <t xml:space="preserve">省人工数</t>
    </r>
    <r>
      <rPr>
        <b val="true"/>
        <sz val="10"/>
        <color rgb="FFFFFFFF"/>
        <rFont val="Meiryo UI"/>
        <family val="0"/>
        <charset val="1"/>
      </rPr>
      <t xml:space="preserve">(</t>
    </r>
    <r>
      <rPr>
        <b val="true"/>
        <sz val="10"/>
        <color rgb="FFFFFFFF"/>
        <rFont val="WenQuanYi Zen Hei"/>
        <family val="2"/>
      </rPr>
      <t xml:space="preserve">人</t>
    </r>
    <r>
      <rPr>
        <b val="true"/>
        <sz val="10"/>
        <color rgb="FFFFFFFF"/>
        <rFont val="Meiryo UI"/>
        <family val="0"/>
        <charset val="1"/>
      </rPr>
      <t xml:space="preserve">)</t>
    </r>
    <r>
      <rPr>
        <b val="true"/>
        <sz val="10"/>
        <color rgb="FFFFFFFF"/>
        <rFont val="WenQuanYi Zen Hei"/>
        <family val="2"/>
      </rPr>
      <t xml:space="preserve">サイクル基準</t>
    </r>
  </si>
  <si>
    <r>
      <rPr>
        <b val="true"/>
        <sz val="10"/>
        <color rgb="FFFFFFFF"/>
        <rFont val="WenQuanYi Zen Hei"/>
        <family val="2"/>
      </rPr>
      <t xml:space="preserve">省人工数</t>
    </r>
    <r>
      <rPr>
        <b val="true"/>
        <sz val="10"/>
        <color rgb="FFFFFFFF"/>
        <rFont val="Meiryo UI"/>
        <family val="0"/>
        <charset val="1"/>
      </rPr>
      <t xml:space="preserve">(</t>
    </r>
    <r>
      <rPr>
        <b val="true"/>
        <sz val="10"/>
        <color rgb="FFFFFFFF"/>
        <rFont val="WenQuanYi Zen Hei"/>
        <family val="2"/>
      </rPr>
      <t xml:space="preserve">人</t>
    </r>
    <r>
      <rPr>
        <b val="true"/>
        <sz val="10"/>
        <color rgb="FFFFFFFF"/>
        <rFont val="Meiryo UI"/>
        <family val="0"/>
        <charset val="1"/>
      </rPr>
      <t xml:space="preserve">)</t>
    </r>
    <r>
      <rPr>
        <b val="true"/>
        <sz val="10"/>
        <color rgb="FFFFFFFF"/>
        <rFont val="WenQuanYi Zen Hei"/>
        <family val="2"/>
      </rPr>
      <t xml:space="preserve">拘束基準</t>
    </r>
  </si>
  <si>
    <t xml:space="preserve">習熟日数 手作業</t>
  </si>
  <si>
    <r>
      <rPr>
        <b val="true"/>
        <sz val="10"/>
        <color rgb="FFFFFFFF"/>
        <rFont val="WenQuanYi Zen Hei"/>
        <family val="2"/>
      </rPr>
      <t xml:space="preserve">習熟日数 </t>
    </r>
    <r>
      <rPr>
        <b val="true"/>
        <sz val="10"/>
        <color rgb="FFFFFFFF"/>
        <rFont val="Meiryo UI"/>
        <family val="0"/>
        <charset val="1"/>
      </rPr>
      <t xml:space="preserve">PS</t>
    </r>
  </si>
  <si>
    <t xml:space="preserve">不良率 手作業</t>
  </si>
  <si>
    <r>
      <rPr>
        <b val="true"/>
        <sz val="10"/>
        <color rgb="FFFFFFFF"/>
        <rFont val="WenQuanYi Zen Hei"/>
        <family val="2"/>
      </rPr>
      <t xml:space="preserve">不良率 </t>
    </r>
    <r>
      <rPr>
        <b val="true"/>
        <sz val="10"/>
        <color rgb="FFFFFFFF"/>
        <rFont val="Meiryo UI"/>
        <family val="0"/>
        <charset val="1"/>
      </rPr>
      <t xml:space="preserve">PS</t>
    </r>
  </si>
  <si>
    <t xml:space="preserve">記入例</t>
  </si>
  <si>
    <t xml:space="preserve">例</t>
  </si>
  <si>
    <t xml:space="preserve">ファスナー（例）</t>
  </si>
  <si>
    <t xml:space="preserve">中</t>
  </si>
  <si>
    <t xml:space="preserve">合計（記入例を除く）</t>
  </si>
  <si>
    <r>
      <rPr>
        <i val="true"/>
        <sz val="9"/>
        <color rgb="FF595959"/>
        <rFont val="WenQuanYi Zen Hei"/>
        <family val="2"/>
      </rPr>
      <t xml:space="preserve">対象：</t>
    </r>
    <r>
      <rPr>
        <i val="true"/>
        <sz val="9"/>
        <color rgb="FF595959"/>
        <rFont val="Meiryo UI"/>
        <family val="0"/>
        <charset val="1"/>
      </rPr>
      <t xml:space="preserve">TNF</t>
    </r>
    <r>
      <rPr>
        <i val="true"/>
        <sz val="9"/>
        <color rgb="FF595959"/>
        <rFont val="WenQuanYi Zen Hei"/>
        <family val="2"/>
      </rPr>
      <t xml:space="preserve">／</t>
    </r>
    <r>
      <rPr>
        <i val="true"/>
        <sz val="9"/>
        <color rgb="FF595959"/>
        <rFont val="Meiryo UI"/>
        <family val="0"/>
        <charset val="1"/>
      </rPr>
      <t xml:space="preserve">GW</t>
    </r>
    <r>
      <rPr>
        <i val="true"/>
        <sz val="9"/>
        <color rgb="FF595959"/>
        <rFont val="WenQuanYi Zen Hei"/>
        <family val="2"/>
      </rPr>
      <t xml:space="preserve">／</t>
    </r>
    <r>
      <rPr>
        <i val="true"/>
        <sz val="9"/>
        <color rgb="FF595959"/>
        <rFont val="Meiryo UI"/>
        <family val="0"/>
        <charset val="1"/>
      </rPr>
      <t xml:space="preserve">Montbell</t>
    </r>
    <r>
      <rPr>
        <i val="true"/>
        <sz val="9"/>
        <color rgb="FF595959"/>
        <rFont val="WenQuanYi Zen Hei"/>
        <family val="2"/>
      </rPr>
      <t xml:space="preserve">／</t>
    </r>
    <r>
      <rPr>
        <i val="true"/>
        <sz val="9"/>
        <color rgb="FF595959"/>
        <rFont val="Meiryo UI"/>
        <family val="0"/>
        <charset val="1"/>
      </rPr>
      <t xml:space="preserve">HH </t>
    </r>
    <r>
      <rPr>
        <i val="true"/>
        <sz val="9"/>
        <color rgb="FF595959"/>
        <rFont val="WenQuanYi Zen Hei"/>
        <family val="2"/>
      </rPr>
      <t xml:space="preserve">の ファスナー・ポケット・フードキルト等。大型＝</t>
    </r>
    <r>
      <rPr>
        <i val="true"/>
        <sz val="9"/>
        <color rgb="FF595959"/>
        <rFont val="Meiryo UI"/>
        <family val="0"/>
        <charset val="1"/>
      </rPr>
      <t xml:space="preserve">70×120</t>
    </r>
    <r>
      <rPr>
        <i val="true"/>
        <sz val="9"/>
        <color rgb="FF595959"/>
        <rFont val="WenQuanYi Zen Hei"/>
        <family val="2"/>
      </rPr>
      <t xml:space="preserve">（</t>
    </r>
    <r>
      <rPr>
        <i val="true"/>
        <sz val="9"/>
        <color rgb="FF595959"/>
        <rFont val="Meiryo UI"/>
        <family val="0"/>
        <charset val="1"/>
      </rPr>
      <t xml:space="preserve">130×95</t>
    </r>
    <r>
      <rPr>
        <i val="true"/>
        <sz val="9"/>
        <color rgb="FF595959"/>
        <rFont val="WenQuanYi Zen Hei"/>
        <family val="2"/>
      </rPr>
      <t xml:space="preserve">機）、中型＝</t>
    </r>
    <r>
      <rPr>
        <i val="true"/>
        <sz val="9"/>
        <color rgb="FF595959"/>
        <rFont val="Meiryo UI"/>
        <family val="0"/>
        <charset val="1"/>
      </rPr>
      <t xml:space="preserve">40×60</t>
    </r>
    <r>
      <rPr>
        <i val="true"/>
        <sz val="9"/>
        <color rgb="FF595959"/>
        <rFont val="WenQuanYi Zen Hei"/>
        <family val="2"/>
      </rPr>
      <t xml:space="preserve">。</t>
    </r>
  </si>
  <si>
    <r>
      <rPr>
        <b val="true"/>
        <sz val="11"/>
        <color rgb="FF1F4E78"/>
        <rFont val="Meiryo UI"/>
        <family val="0"/>
        <charset val="1"/>
      </rPr>
      <t xml:space="preserve">2. </t>
    </r>
    <r>
      <rPr>
        <b val="true"/>
        <sz val="11"/>
        <color rgb="FF1F4E78"/>
        <rFont val="WenQuanYi Zen Hei"/>
        <family val="2"/>
      </rPr>
      <t xml:space="preserve">シームシーリング </t>
    </r>
    <r>
      <rPr>
        <b val="true"/>
        <sz val="11"/>
        <color rgb="FF1F4E78"/>
        <rFont val="Meiryo UI"/>
        <family val="0"/>
        <charset val="1"/>
      </rPr>
      <t xml:space="preserve">Spec-D</t>
    </r>
    <r>
      <rPr>
        <b val="true"/>
        <sz val="11"/>
        <color rgb="FF1F4E78"/>
        <rFont val="WenQuanYi Zen Hei"/>
        <family val="2"/>
      </rPr>
      <t xml:space="preserve">：ロングアーム工程（袖・裾など長尺パーツ）の</t>
    </r>
    <r>
      <rPr>
        <b val="true"/>
        <sz val="11"/>
        <color rgb="FF1F4E78"/>
        <rFont val="Meiryo UI"/>
        <family val="0"/>
        <charset val="1"/>
      </rPr>
      <t xml:space="preserve">2</t>
    </r>
    <r>
      <rPr>
        <b val="true"/>
        <sz val="11"/>
        <color rgb="FF1F4E78"/>
        <rFont val="WenQuanYi Zen Hei"/>
        <family val="2"/>
      </rPr>
      <t xml:space="preserve">名体制 → </t>
    </r>
    <r>
      <rPr>
        <b val="true"/>
        <sz val="11"/>
        <color rgb="FF1F4E78"/>
        <rFont val="Meiryo UI"/>
        <family val="0"/>
        <charset val="1"/>
      </rPr>
      <t xml:space="preserve">1</t>
    </r>
    <r>
      <rPr>
        <b val="true"/>
        <sz val="11"/>
        <color rgb="FF1F4E78"/>
        <rFont val="WenQuanYi Zen Hei"/>
        <family val="2"/>
      </rPr>
      <t xml:space="preserve">名化</t>
    </r>
  </si>
  <si>
    <t xml:space="preserve">工程</t>
  </si>
  <si>
    <r>
      <rPr>
        <b val="true"/>
        <sz val="10"/>
        <color rgb="FFFFFFFF"/>
        <rFont val="WenQuanYi Zen Hei"/>
        <family val="2"/>
      </rPr>
      <t xml:space="preserve">年間数量</t>
    </r>
    <r>
      <rPr>
        <b val="true"/>
        <sz val="10"/>
        <color rgb="FFFFFFFF"/>
        <rFont val="Meiryo UI"/>
        <family val="0"/>
        <charset val="1"/>
      </rPr>
      <t xml:space="preserve">(</t>
    </r>
    <r>
      <rPr>
        <b val="true"/>
        <sz val="10"/>
        <color rgb="FFFFFFFF"/>
        <rFont val="WenQuanYi Zen Hei"/>
        <family val="2"/>
      </rPr>
      <t xml:space="preserve">枚</t>
    </r>
    <r>
      <rPr>
        <b val="true"/>
        <sz val="10"/>
        <color rgb="FFFFFFFF"/>
        <rFont val="Meiryo UI"/>
        <family val="0"/>
        <charset val="1"/>
      </rPr>
      <t xml:space="preserve">)</t>
    </r>
  </si>
  <si>
    <r>
      <rPr>
        <b val="true"/>
        <sz val="10"/>
        <color rgb="FFFFFFFF"/>
        <rFont val="WenQuanYi Zen Hei"/>
        <family val="2"/>
      </rPr>
      <t xml:space="preserve">現行 工程秒</t>
    </r>
    <r>
      <rPr>
        <b val="true"/>
        <sz val="10"/>
        <color rgb="FFFFFFFF"/>
        <rFont val="Meiryo UI"/>
        <family val="0"/>
        <charset val="1"/>
      </rPr>
      <t xml:space="preserve">/</t>
    </r>
    <r>
      <rPr>
        <b val="true"/>
        <sz val="10"/>
        <color rgb="FFFFFFFF"/>
        <rFont val="WenQuanYi Zen Hei"/>
        <family val="2"/>
      </rPr>
      <t xml:space="preserve">枚</t>
    </r>
  </si>
  <si>
    <t xml:space="preserve">現行 人数</t>
  </si>
  <si>
    <r>
      <rPr>
        <b val="true"/>
        <sz val="10"/>
        <color rgb="FFFFFFFF"/>
        <rFont val="Meiryo UI"/>
        <family val="0"/>
        <charset val="1"/>
      </rPr>
      <t xml:space="preserve">Spec-D </t>
    </r>
    <r>
      <rPr>
        <b val="true"/>
        <sz val="10"/>
        <color rgb="FFFFFFFF"/>
        <rFont val="WenQuanYi Zen Hei"/>
        <family val="2"/>
      </rPr>
      <t xml:space="preserve">工程秒</t>
    </r>
    <r>
      <rPr>
        <b val="true"/>
        <sz val="10"/>
        <color rgb="FFFFFFFF"/>
        <rFont val="Meiryo UI"/>
        <family val="0"/>
        <charset val="1"/>
      </rPr>
      <t xml:space="preserve">/</t>
    </r>
    <r>
      <rPr>
        <b val="true"/>
        <sz val="10"/>
        <color rgb="FFFFFFFF"/>
        <rFont val="WenQuanYi Zen Hei"/>
        <family val="2"/>
      </rPr>
      <t xml:space="preserve">枚</t>
    </r>
  </si>
  <si>
    <r>
      <rPr>
        <b val="true"/>
        <sz val="10"/>
        <color rgb="FFFFFFFF"/>
        <rFont val="Meiryo UI"/>
        <family val="0"/>
        <charset val="1"/>
      </rPr>
      <t xml:space="preserve">Spec-D </t>
    </r>
    <r>
      <rPr>
        <b val="true"/>
        <sz val="10"/>
        <color rgb="FFFFFFFF"/>
        <rFont val="WenQuanYi Zen Hei"/>
        <family val="2"/>
      </rPr>
      <t xml:space="preserve">人数</t>
    </r>
  </si>
  <si>
    <r>
      <rPr>
        <b val="true"/>
        <sz val="10"/>
        <color rgb="FFFFFFFF"/>
        <rFont val="WenQuanYi Zen Hei"/>
        <family val="2"/>
      </rPr>
      <t xml:space="preserve">現行 人秒</t>
    </r>
    <r>
      <rPr>
        <b val="true"/>
        <sz val="10"/>
        <color rgb="FFFFFFFF"/>
        <rFont val="Meiryo UI"/>
        <family val="0"/>
        <charset val="1"/>
      </rPr>
      <t xml:space="preserve">/</t>
    </r>
    <r>
      <rPr>
        <b val="true"/>
        <sz val="10"/>
        <color rgb="FFFFFFFF"/>
        <rFont val="WenQuanYi Zen Hei"/>
        <family val="2"/>
      </rPr>
      <t xml:space="preserve">年</t>
    </r>
  </si>
  <si>
    <r>
      <rPr>
        <b val="true"/>
        <sz val="10"/>
        <color rgb="FFFFFFFF"/>
        <rFont val="Meiryo UI"/>
        <family val="0"/>
        <charset val="1"/>
      </rPr>
      <t xml:space="preserve">Spec-D </t>
    </r>
    <r>
      <rPr>
        <b val="true"/>
        <sz val="10"/>
        <color rgb="FFFFFFFF"/>
        <rFont val="WenQuanYi Zen Hei"/>
        <family val="2"/>
      </rPr>
      <t xml:space="preserve">人秒</t>
    </r>
    <r>
      <rPr>
        <b val="true"/>
        <sz val="10"/>
        <color rgb="FFFFFFFF"/>
        <rFont val="Meiryo UI"/>
        <family val="0"/>
        <charset val="1"/>
      </rPr>
      <t xml:space="preserve">/</t>
    </r>
    <r>
      <rPr>
        <b val="true"/>
        <sz val="10"/>
        <color rgb="FFFFFFFF"/>
        <rFont val="WenQuanYi Zen Hei"/>
        <family val="2"/>
      </rPr>
      <t xml:space="preserve">年</t>
    </r>
  </si>
  <si>
    <r>
      <rPr>
        <b val="true"/>
        <sz val="10"/>
        <color rgb="FFFFFFFF"/>
        <rFont val="WenQuanYi Zen Hei"/>
        <family val="2"/>
      </rPr>
      <t xml:space="preserve">年間削減工数</t>
    </r>
    <r>
      <rPr>
        <b val="true"/>
        <sz val="10"/>
        <color rgb="FFFFFFFF"/>
        <rFont val="Meiryo UI"/>
        <family val="0"/>
        <charset val="1"/>
      </rPr>
      <t xml:space="preserve">(</t>
    </r>
    <r>
      <rPr>
        <b val="true"/>
        <sz val="10"/>
        <color rgb="FFFFFFFF"/>
        <rFont val="WenQuanYi Zen Hei"/>
        <family val="2"/>
      </rPr>
      <t xml:space="preserve">秒</t>
    </r>
    <r>
      <rPr>
        <b val="true"/>
        <sz val="10"/>
        <color rgb="FFFFFFFF"/>
        <rFont val="Meiryo UI"/>
        <family val="0"/>
        <charset val="1"/>
      </rPr>
      <t xml:space="preserve">)</t>
    </r>
  </si>
  <si>
    <r>
      <rPr>
        <b val="true"/>
        <sz val="10"/>
        <color rgb="FFFFFFFF"/>
        <rFont val="WenQuanYi Zen Hei"/>
        <family val="2"/>
      </rPr>
      <t xml:space="preserve">省人工数</t>
    </r>
    <r>
      <rPr>
        <b val="true"/>
        <sz val="10"/>
        <color rgb="FFFFFFFF"/>
        <rFont val="Meiryo UI"/>
        <family val="0"/>
        <charset val="1"/>
      </rPr>
      <t xml:space="preserve">(</t>
    </r>
    <r>
      <rPr>
        <b val="true"/>
        <sz val="10"/>
        <color rgb="FFFFFFFF"/>
        <rFont val="WenQuanYi Zen Hei"/>
        <family val="2"/>
      </rPr>
      <t xml:space="preserve">人</t>
    </r>
    <r>
      <rPr>
        <b val="true"/>
        <sz val="10"/>
        <color rgb="FFFFFFFF"/>
        <rFont val="Meiryo UI"/>
        <family val="0"/>
        <charset val="1"/>
      </rPr>
      <t xml:space="preserve">)</t>
    </r>
  </si>
  <si>
    <t xml:space="preserve">袖 ロングアーム（例）</t>
  </si>
  <si>
    <t xml:space="preserve">数値はすべて仮置き（形式の例）</t>
  </si>
  <si>
    <r>
      <rPr>
        <b val="true"/>
        <sz val="11"/>
        <color rgb="FF1F4E78"/>
        <rFont val="Meiryo UI"/>
        <family val="0"/>
        <charset val="1"/>
      </rPr>
      <t xml:space="preserve">3. </t>
    </r>
    <r>
      <rPr>
        <b val="true"/>
        <sz val="11"/>
        <color rgb="FF1F4E78"/>
        <rFont val="WenQuanYi Zen Hei"/>
        <family val="2"/>
      </rPr>
      <t xml:space="preserve">集計：省人工数と再配置可能人員（拘束時間基準）</t>
    </r>
  </si>
  <si>
    <r>
      <rPr>
        <sz val="10"/>
        <rFont val="WenQuanYi Zen Hei"/>
        <family val="2"/>
      </rPr>
      <t xml:space="preserve">パターンシーマ 中型（</t>
    </r>
    <r>
      <rPr>
        <sz val="10"/>
        <rFont val="Meiryo UI"/>
        <family val="0"/>
        <charset val="1"/>
      </rPr>
      <t xml:space="preserve">No.4</t>
    </r>
    <r>
      <rPr>
        <sz val="10"/>
        <rFont val="WenQuanYi Zen Hei"/>
        <family val="2"/>
      </rPr>
      <t xml:space="preserve">）省人工数</t>
    </r>
  </si>
  <si>
    <r>
      <rPr>
        <sz val="10"/>
        <rFont val="Meiryo UI"/>
        <family val="0"/>
        <charset val="1"/>
      </rPr>
      <t xml:space="preserve">07</t>
    </r>
    <r>
      <rPr>
        <sz val="10"/>
        <rFont val="WenQuanYi Zen Hei"/>
        <family val="2"/>
      </rPr>
      <t xml:space="preserve">表</t>
    </r>
    <r>
      <rPr>
        <sz val="10"/>
        <rFont val="Meiryo UI"/>
        <family val="0"/>
        <charset val="1"/>
      </rPr>
      <t xml:space="preserve">1 D</t>
    </r>
    <r>
      <rPr>
        <sz val="10"/>
        <rFont val="WenQuanYi Zen Hei"/>
        <family val="2"/>
      </rPr>
      <t xml:space="preserve">列＝中</t>
    </r>
  </si>
  <si>
    <r>
      <rPr>
        <sz val="10"/>
        <rFont val="WenQuanYi Zen Hei"/>
        <family val="2"/>
      </rPr>
      <t xml:space="preserve">パターンシーマ 大型（</t>
    </r>
    <r>
      <rPr>
        <sz val="10"/>
        <rFont val="Meiryo UI"/>
        <family val="0"/>
        <charset val="1"/>
      </rPr>
      <t xml:space="preserve">No.5</t>
    </r>
    <r>
      <rPr>
        <sz val="10"/>
        <rFont val="WenQuanYi Zen Hei"/>
        <family val="2"/>
      </rPr>
      <t xml:space="preserve">）省人工数</t>
    </r>
  </si>
  <si>
    <r>
      <rPr>
        <sz val="10"/>
        <rFont val="Meiryo UI"/>
        <family val="0"/>
        <charset val="1"/>
      </rPr>
      <t xml:space="preserve">07</t>
    </r>
    <r>
      <rPr>
        <sz val="10"/>
        <rFont val="WenQuanYi Zen Hei"/>
        <family val="2"/>
      </rPr>
      <t xml:space="preserve">表</t>
    </r>
    <r>
      <rPr>
        <sz val="10"/>
        <rFont val="Meiryo UI"/>
        <family val="0"/>
        <charset val="1"/>
      </rPr>
      <t xml:space="preserve">1 D</t>
    </r>
    <r>
      <rPr>
        <sz val="10"/>
        <rFont val="WenQuanYi Zen Hei"/>
        <family val="2"/>
      </rPr>
      <t xml:space="preserve">列＝大</t>
    </r>
  </si>
  <si>
    <r>
      <rPr>
        <sz val="10"/>
        <rFont val="Meiryo UI"/>
        <family val="0"/>
        <charset val="1"/>
      </rPr>
      <t xml:space="preserve">Spec-D</t>
    </r>
    <r>
      <rPr>
        <sz val="10"/>
        <rFont val="WenQuanYi Zen Hei"/>
        <family val="2"/>
      </rPr>
      <t xml:space="preserve">（</t>
    </r>
    <r>
      <rPr>
        <sz val="10"/>
        <rFont val="Meiryo UI"/>
        <family val="0"/>
        <charset val="1"/>
      </rPr>
      <t xml:space="preserve">No.7</t>
    </r>
    <r>
      <rPr>
        <sz val="10"/>
        <rFont val="WenQuanYi Zen Hei"/>
        <family val="2"/>
      </rPr>
      <t xml:space="preserve">）省人工数</t>
    </r>
  </si>
  <si>
    <r>
      <rPr>
        <sz val="10"/>
        <rFont val="Meiryo UI"/>
        <family val="0"/>
        <charset val="1"/>
      </rPr>
      <t xml:space="preserve">07</t>
    </r>
    <r>
      <rPr>
        <sz val="10"/>
        <rFont val="WenQuanYi Zen Hei"/>
        <family val="2"/>
      </rPr>
      <t xml:space="preserve">表</t>
    </r>
    <r>
      <rPr>
        <sz val="10"/>
        <rFont val="Meiryo UI"/>
        <family val="0"/>
        <charset val="1"/>
      </rPr>
      <t xml:space="preserve">2</t>
    </r>
  </si>
  <si>
    <t xml:space="preserve">省人工数 合計（人）</t>
  </si>
  <si>
    <t xml:space="preserve">再配置可能人員（人・整数）</t>
  </si>
  <si>
    <t xml:space="preserve">削減ではなく他工程へ再配置</t>
  </si>
  <si>
    <r>
      <rPr>
        <sz val="10"/>
        <rFont val="WenQuanYi Zen Hei"/>
        <family val="2"/>
      </rPr>
      <t xml:space="preserve">金額換算（</t>
    </r>
    <r>
      <rPr>
        <sz val="10"/>
        <rFont val="Meiryo UI"/>
        <family val="0"/>
        <charset val="1"/>
      </rPr>
      <t xml:space="preserve">USD/</t>
    </r>
    <r>
      <rPr>
        <sz val="10"/>
        <rFont val="WenQuanYi Zen Hei"/>
        <family val="2"/>
      </rPr>
      <t xml:space="preserve">年）</t>
    </r>
  </si>
  <si>
    <r>
      <rPr>
        <sz val="10"/>
        <rFont val="WenQuanYi Zen Hei"/>
        <family val="2"/>
      </rPr>
      <t xml:space="preserve">前提条件</t>
    </r>
    <r>
      <rPr>
        <sz val="10"/>
        <rFont val="Meiryo UI"/>
        <family val="0"/>
        <charset val="1"/>
      </rPr>
      <t xml:space="preserve">C14</t>
    </r>
    <r>
      <rPr>
        <sz val="10"/>
        <rFont val="WenQuanYi Zen Hei"/>
        <family val="2"/>
      </rPr>
      <t xml:space="preserve">の人件費が未入力の間は</t>
    </r>
    <r>
      <rPr>
        <sz val="10"/>
        <rFont val="Meiryo UI"/>
        <family val="0"/>
        <charset val="1"/>
      </rPr>
      <t xml:space="preserve">0</t>
    </r>
  </si>
  <si>
    <r>
      <rPr>
        <b val="true"/>
        <sz val="14"/>
        <color rgb="FF1F4E78"/>
        <rFont val="WenQuanYi Zen Hei"/>
        <family val="2"/>
      </rPr>
      <t xml:space="preserve">パターンシーマ 運用設計（</t>
    </r>
    <r>
      <rPr>
        <b val="true"/>
        <sz val="14"/>
        <color rgb="FF1F4E78"/>
        <rFont val="Meiryo UI"/>
        <family val="0"/>
        <charset val="1"/>
      </rPr>
      <t xml:space="preserve">3/25</t>
    </r>
    <r>
      <rPr>
        <b val="true"/>
        <sz val="14"/>
        <color rgb="FF1F4E78"/>
        <rFont val="WenQuanYi Zen Hei"/>
        <family val="2"/>
      </rPr>
      <t xml:space="preserve">要確認事項②）</t>
    </r>
  </si>
  <si>
    <t xml:space="preserve">パターンシーマは導入することが目的にならないように、動線、人配置、縫製中の工員の動きを含めて運用設計する。</t>
  </si>
  <si>
    <r>
      <rPr>
        <b val="true"/>
        <sz val="11"/>
        <color rgb="FF1F4E78"/>
        <rFont val="Meiryo UI"/>
        <family val="0"/>
        <charset val="1"/>
      </rPr>
      <t xml:space="preserve">1. </t>
    </r>
    <r>
      <rPr>
        <b val="true"/>
        <sz val="11"/>
        <color rgb="FF1F4E78"/>
        <rFont val="WenQuanYi Zen Hei"/>
        <family val="2"/>
      </rPr>
      <t xml:space="preserve">原則</t>
    </r>
  </si>
  <si>
    <t xml:space="preserve">原則</t>
  </si>
  <si>
    <t xml:space="preserve">成果指標</t>
  </si>
  <si>
    <t xml:space="preserve">台数ではなく、工程集約・作業者拘束時間削減・属人性排除・習熟期間短縮・品質安定・必要工数削減で評価する</t>
  </si>
  <si>
    <r>
      <rPr>
        <sz val="10"/>
        <rFont val="Meiryo UI"/>
        <family val="0"/>
        <charset val="1"/>
      </rPr>
      <t xml:space="preserve">APIC</t>
    </r>
    <r>
      <rPr>
        <sz val="10"/>
        <rFont val="WenQuanYi Zen Hei"/>
        <family val="2"/>
      </rPr>
      <t xml:space="preserve">で自動化が効く理由</t>
    </r>
  </si>
  <si>
    <r>
      <rPr>
        <sz val="10"/>
        <rFont val="Meiryo UI"/>
        <family val="0"/>
        <charset val="1"/>
      </rPr>
      <t xml:space="preserve">APIC</t>
    </r>
    <r>
      <rPr>
        <sz val="10"/>
        <rFont val="WenQuanYi Zen Hei"/>
        <family val="2"/>
      </rPr>
      <t xml:space="preserve">は多品種・切替型。同一品番を通年生産するなら人の熟練で最大効率に近づけるが、品番切替のたびに習熟がリセットされるため、熟練に依存しない自動機の優位性が大きい</t>
    </r>
  </si>
  <si>
    <r>
      <rPr>
        <sz val="10"/>
        <rFont val="Meiryo UI"/>
        <family val="0"/>
        <charset val="1"/>
      </rPr>
      <t xml:space="preserve">1</t>
    </r>
    <r>
      <rPr>
        <sz val="10"/>
        <rFont val="WenQuanYi Zen Hei"/>
        <family val="2"/>
      </rPr>
      <t xml:space="preserve">人複数台</t>
    </r>
  </si>
  <si>
    <t xml:space="preserve">前提にしない。動線とサイクルの実測で、自動縫製中に他方のセット・取り出しが収まることを確認できた場合のみ採用</t>
  </si>
  <si>
    <t xml:space="preserve">余力人員</t>
  </si>
  <si>
    <r>
      <rPr>
        <sz val="10"/>
        <rFont val="WenQuanYi Zen Hei"/>
        <family val="2"/>
      </rPr>
      <t xml:space="preserve">削減ではなく前後工程へ再配置（例：</t>
    </r>
    <r>
      <rPr>
        <sz val="10"/>
        <rFont val="Meiryo UI"/>
        <family val="0"/>
        <charset val="1"/>
      </rPr>
      <t xml:space="preserve">30</t>
    </r>
    <r>
      <rPr>
        <sz val="10"/>
        <rFont val="WenQuanYi Zen Hei"/>
        <family val="2"/>
      </rPr>
      <t xml:space="preserve">人必要→</t>
    </r>
    <r>
      <rPr>
        <sz val="10"/>
        <rFont val="Meiryo UI"/>
        <family val="0"/>
        <charset val="1"/>
      </rPr>
      <t xml:space="preserve">28</t>
    </r>
    <r>
      <rPr>
        <sz val="10"/>
        <rFont val="WenQuanYi Zen Hei"/>
        <family val="2"/>
      </rPr>
      <t xml:space="preserve">人で同じ生産量→</t>
    </r>
    <r>
      <rPr>
        <sz val="10"/>
        <rFont val="Meiryo UI"/>
        <family val="0"/>
        <charset val="1"/>
      </rPr>
      <t xml:space="preserve">2</t>
    </r>
    <r>
      <rPr>
        <sz val="10"/>
        <rFont val="WenQuanYi Zen Hei"/>
        <family val="2"/>
      </rPr>
      <t xml:space="preserve">人を他工程へ）</t>
    </r>
  </si>
  <si>
    <r>
      <rPr>
        <b val="true"/>
        <sz val="11"/>
        <color rgb="FF1F4E78"/>
        <rFont val="Meiryo UI"/>
        <family val="0"/>
        <charset val="1"/>
      </rPr>
      <t xml:space="preserve">2. Before</t>
    </r>
    <r>
      <rPr>
        <b val="true"/>
        <sz val="11"/>
        <color rgb="FF1F4E78"/>
        <rFont val="WenQuanYi Zen Hei"/>
        <family val="2"/>
      </rPr>
      <t xml:space="preserve">／</t>
    </r>
    <r>
      <rPr>
        <b val="true"/>
        <sz val="11"/>
        <color rgb="FF1F4E78"/>
        <rFont val="Meiryo UI"/>
        <family val="0"/>
        <charset val="1"/>
      </rPr>
      <t xml:space="preserve">After </t>
    </r>
    <r>
      <rPr>
        <b val="true"/>
        <sz val="11"/>
        <color rgb="FF1F4E78"/>
        <rFont val="WenQuanYi Zen Hei"/>
        <family val="2"/>
      </rPr>
      <t xml:space="preserve">作業フロー</t>
    </r>
  </si>
  <si>
    <t xml:space="preserve">ステップ</t>
  </si>
  <si>
    <r>
      <rPr>
        <b val="true"/>
        <sz val="10"/>
        <color rgb="FFFFFFFF"/>
        <rFont val="WenQuanYi Zen Hei"/>
        <family val="2"/>
      </rPr>
      <t xml:space="preserve">手作業（</t>
    </r>
    <r>
      <rPr>
        <b val="true"/>
        <sz val="10"/>
        <color rgb="FFFFFFFF"/>
        <rFont val="Meiryo UI"/>
        <family val="0"/>
        <charset val="1"/>
      </rPr>
      <t xml:space="preserve">Before</t>
    </r>
    <r>
      <rPr>
        <b val="true"/>
        <sz val="10"/>
        <color rgb="FFFFFFFF"/>
        <rFont val="WenQuanYi Zen Hei"/>
        <family val="2"/>
      </rPr>
      <t xml:space="preserve">）</t>
    </r>
  </si>
  <si>
    <r>
      <rPr>
        <b val="true"/>
        <sz val="10"/>
        <color rgb="FFFFFFFF"/>
        <rFont val="WenQuanYi Zen Hei"/>
        <family val="2"/>
      </rPr>
      <t xml:space="preserve">改善治具＋</t>
    </r>
    <r>
      <rPr>
        <b val="true"/>
        <sz val="10"/>
        <color rgb="FFFFFFFF"/>
        <rFont val="Meiryo UI"/>
        <family val="0"/>
        <charset val="1"/>
      </rPr>
      <t xml:space="preserve">1</t>
    </r>
    <r>
      <rPr>
        <b val="true"/>
        <sz val="10"/>
        <color rgb="FFFFFFFF"/>
        <rFont val="WenQuanYi Zen Hei"/>
        <family val="2"/>
      </rPr>
      <t xml:space="preserve">本針</t>
    </r>
  </si>
  <si>
    <r>
      <rPr>
        <b val="true"/>
        <sz val="10"/>
        <color rgb="FFFFFFFF"/>
        <rFont val="WenQuanYi Zen Hei"/>
        <family val="2"/>
      </rPr>
      <t xml:space="preserve">パターンシーマ（</t>
    </r>
    <r>
      <rPr>
        <b val="true"/>
        <sz val="10"/>
        <color rgb="FFFFFFFF"/>
        <rFont val="Meiryo UI"/>
        <family val="0"/>
        <charset val="1"/>
      </rPr>
      <t xml:space="preserve">After</t>
    </r>
    <r>
      <rPr>
        <b val="true"/>
        <sz val="10"/>
        <color rgb="FFFFFFFF"/>
        <rFont val="WenQuanYi Zen Hei"/>
        <family val="2"/>
      </rPr>
      <t xml:space="preserve">）</t>
    </r>
  </si>
  <si>
    <t xml:space="preserve">作業者の状態</t>
  </si>
  <si>
    <t xml:space="preserve">① パーツ準備</t>
  </si>
  <si>
    <t xml:space="preserve">パーツを揃え、印付け</t>
  </si>
  <si>
    <t xml:space="preserve">パーツを揃える</t>
  </si>
  <si>
    <t xml:space="preserve">型枠（テンプレート）単位でパーツを揃える</t>
  </si>
  <si>
    <t xml:space="preserve">拘束</t>
  </si>
  <si>
    <t xml:space="preserve">② セット</t>
  </si>
  <si>
    <t xml:space="preserve">合わせ・ピン打ち</t>
  </si>
  <si>
    <t xml:space="preserve">治具にセット</t>
  </si>
  <si>
    <t xml:space="preserve">型枠にパーツをセット → 機械に装着</t>
  </si>
  <si>
    <t xml:space="preserve">③ 縫製</t>
  </si>
  <si>
    <r>
      <rPr>
        <sz val="10"/>
        <rFont val="WenQuanYi Zen Hei"/>
        <family val="2"/>
      </rPr>
      <t xml:space="preserve">手縫い（例：</t>
    </r>
    <r>
      <rPr>
        <sz val="10"/>
        <rFont val="Meiryo UI"/>
        <family val="0"/>
        <charset val="1"/>
      </rPr>
      <t xml:space="preserve">6</t>
    </r>
    <r>
      <rPr>
        <sz val="10"/>
        <rFont val="WenQuanYi Zen Hei"/>
        <family val="2"/>
      </rPr>
      <t xml:space="preserve">工程）</t>
    </r>
  </si>
  <si>
    <r>
      <rPr>
        <sz val="10"/>
        <rFont val="Meiryo UI"/>
        <family val="0"/>
        <charset val="1"/>
      </rPr>
      <t xml:space="preserve">1</t>
    </r>
    <r>
      <rPr>
        <sz val="10"/>
        <rFont val="WenQuanYi Zen Hei"/>
        <family val="2"/>
      </rPr>
      <t xml:space="preserve">本針で縫製（例：</t>
    </r>
    <r>
      <rPr>
        <sz val="10"/>
        <rFont val="Meiryo UI"/>
        <family val="0"/>
        <charset val="1"/>
      </rPr>
      <t xml:space="preserve">3</t>
    </r>
    <r>
      <rPr>
        <sz val="10"/>
        <rFont val="WenQuanYi Zen Hei"/>
        <family val="2"/>
      </rPr>
      <t xml:space="preserve">工程）</t>
    </r>
  </si>
  <si>
    <r>
      <rPr>
        <sz val="10"/>
        <rFont val="WenQuanYi Zen Hei"/>
        <family val="2"/>
      </rPr>
      <t xml:space="preserve">自動縫製（例：</t>
    </r>
    <r>
      <rPr>
        <sz val="10"/>
        <rFont val="Meiryo UI"/>
        <family val="0"/>
        <charset val="1"/>
      </rPr>
      <t xml:space="preserve">2</t>
    </r>
    <r>
      <rPr>
        <sz val="10"/>
        <rFont val="WenQuanYi Zen Hei"/>
        <family val="2"/>
      </rPr>
      <t xml:space="preserve">工程）</t>
    </r>
  </si>
  <si>
    <r>
      <rPr>
        <sz val="10"/>
        <rFont val="Meiryo UI"/>
        <family val="0"/>
        <charset val="1"/>
      </rPr>
      <t xml:space="preserve">Before</t>
    </r>
    <r>
      <rPr>
        <sz val="10"/>
        <rFont val="WenQuanYi Zen Hei"/>
        <family val="2"/>
      </rPr>
      <t xml:space="preserve">：拘束／</t>
    </r>
    <r>
      <rPr>
        <sz val="10"/>
        <rFont val="Meiryo UI"/>
        <family val="0"/>
        <charset val="1"/>
      </rPr>
      <t xml:space="preserve">After</t>
    </r>
    <r>
      <rPr>
        <sz val="10"/>
        <rFont val="WenQuanYi Zen Hei"/>
        <family val="2"/>
      </rPr>
      <t xml:space="preserve">：非拘束</t>
    </r>
  </si>
  <si>
    <t xml:space="preserve">④ 自動縫製中</t>
  </si>
  <si>
    <t xml:space="preserve">－</t>
  </si>
  <si>
    <r>
      <rPr>
        <sz val="10"/>
        <rFont val="Meiryo UI"/>
        <family val="0"/>
        <charset val="1"/>
      </rPr>
      <t xml:space="preserve">2</t>
    </r>
    <r>
      <rPr>
        <sz val="10"/>
        <rFont val="WenQuanYi Zen Hei"/>
        <family val="2"/>
      </rPr>
      <t xml:space="preserve">枚目の型枠に次製品をセット、前製品の糸処理・検品</t>
    </r>
  </si>
  <si>
    <t xml:space="preserve">並行作業（実測対象）</t>
  </si>
  <si>
    <t xml:space="preserve">⑤ 取り出し・検品</t>
  </si>
  <si>
    <t xml:space="preserve">検品</t>
  </si>
  <si>
    <t xml:space="preserve">治具から外して検品</t>
  </si>
  <si>
    <t xml:space="preserve">型枠から取り出し・検品 → 次の型枠を装着</t>
  </si>
  <si>
    <r>
      <rPr>
        <b val="true"/>
        <sz val="11"/>
        <color rgb="FF1F4E78"/>
        <rFont val="Meiryo UI"/>
        <family val="0"/>
        <charset val="1"/>
      </rPr>
      <t xml:space="preserve">3. </t>
    </r>
    <r>
      <rPr>
        <b val="true"/>
        <sz val="11"/>
        <color rgb="FF1F4E78"/>
        <rFont val="WenQuanYi Zen Hei"/>
        <family val="2"/>
      </rPr>
      <t xml:space="preserve">配置案</t>
    </r>
  </si>
  <si>
    <t xml:space="preserve">機種</t>
  </si>
  <si>
    <t xml:space="preserve">配置</t>
  </si>
  <si>
    <t xml:space="preserve">理由</t>
  </si>
  <si>
    <t xml:space="preserve">確認者</t>
  </si>
  <si>
    <r>
      <rPr>
        <sz val="10"/>
        <rFont val="WenQuanYi Zen Hei"/>
        <family val="2"/>
      </rPr>
      <t xml:space="preserve">中型 </t>
    </r>
    <r>
      <rPr>
        <sz val="10"/>
        <rFont val="Meiryo UI"/>
        <family val="0"/>
        <charset val="1"/>
      </rPr>
      <t xml:space="preserve">60×40</t>
    </r>
    <r>
      <rPr>
        <sz val="10"/>
        <rFont val="WenQuanYi Zen Hei"/>
        <family val="2"/>
      </rPr>
      <t xml:space="preserve">（</t>
    </r>
    <r>
      <rPr>
        <sz val="10"/>
        <rFont val="Meiryo UI"/>
        <family val="0"/>
        <charset val="1"/>
      </rPr>
      <t xml:space="preserve">No.4</t>
    </r>
    <r>
      <rPr>
        <sz val="10"/>
        <rFont val="WenQuanYi Zen Hei"/>
        <family val="2"/>
      </rPr>
      <t xml:space="preserve">）</t>
    </r>
  </si>
  <si>
    <t xml:space="preserve">対象ラインのポケットファスナー工程位置にライン内配置</t>
  </si>
  <si>
    <r>
      <rPr>
        <sz val="10"/>
        <rFont val="WenQuanYi Zen Hei"/>
        <family val="2"/>
      </rPr>
      <t xml:space="preserve">機体が小さくライン内に入る（</t>
    </r>
    <r>
      <rPr>
        <sz val="10"/>
        <rFont val="Meiryo UI"/>
        <family val="0"/>
        <charset val="1"/>
      </rPr>
      <t xml:space="preserve">2/25</t>
    </r>
    <r>
      <rPr>
        <sz val="10"/>
        <rFont val="WenQuanYi Zen Hei"/>
        <family val="2"/>
      </rPr>
      <t xml:space="preserve">確認）</t>
    </r>
  </si>
  <si>
    <r>
      <rPr>
        <sz val="10"/>
        <rFont val="WenQuanYi Zen Hei"/>
        <family val="2"/>
      </rPr>
      <t xml:space="preserve">型枠</t>
    </r>
    <r>
      <rPr>
        <sz val="10"/>
        <rFont val="Meiryo UI"/>
        <family val="0"/>
        <charset val="1"/>
      </rPr>
      <t xml:space="preserve">2</t>
    </r>
    <r>
      <rPr>
        <sz val="10"/>
        <rFont val="WenQuanYi Zen Hei"/>
        <family val="2"/>
      </rPr>
      <t xml:space="preserve">枚運用で縫製中に次をセット。前後工程との仕掛り置場</t>
    </r>
  </si>
  <si>
    <r>
      <rPr>
        <sz val="10"/>
        <rFont val="WenQuanYi Zen Hei"/>
        <family val="2"/>
      </rPr>
      <t xml:space="preserve">ライン長・</t>
    </r>
    <r>
      <rPr>
        <sz val="10"/>
        <rFont val="Meiryo UI"/>
        <family val="0"/>
        <charset val="1"/>
      </rPr>
      <t xml:space="preserve">IE</t>
    </r>
  </si>
  <si>
    <r>
      <rPr>
        <sz val="10"/>
        <rFont val="WenQuanYi Zen Hei"/>
        <family val="2"/>
      </rPr>
      <t xml:space="preserve">大型 </t>
    </r>
    <r>
      <rPr>
        <sz val="10"/>
        <rFont val="Meiryo UI"/>
        <family val="0"/>
        <charset val="1"/>
      </rPr>
      <t xml:space="preserve">130×95</t>
    </r>
    <r>
      <rPr>
        <sz val="10"/>
        <rFont val="WenQuanYi Zen Hei"/>
        <family val="2"/>
      </rPr>
      <t xml:space="preserve">（</t>
    </r>
    <r>
      <rPr>
        <sz val="10"/>
        <rFont val="Meiryo UI"/>
        <family val="0"/>
        <charset val="1"/>
      </rPr>
      <t xml:space="preserve">No.5</t>
    </r>
    <r>
      <rPr>
        <sz val="10"/>
        <rFont val="WenQuanYi Zen Hei"/>
        <family val="2"/>
      </rPr>
      <t xml:space="preserve">）</t>
    </r>
  </si>
  <si>
    <t xml:space="preserve">複数ライン共用セル（フロントファスナー・キルティング）</t>
  </si>
  <si>
    <t xml:space="preserve">品番により負荷が大きく変動</t>
  </si>
  <si>
    <t xml:space="preserve">搬送距離、仕掛り置場、ライン間の優先順位ルール</t>
  </si>
  <si>
    <r>
      <rPr>
        <sz val="10"/>
        <rFont val="WenQuanYi Zen Hei"/>
        <family val="2"/>
      </rPr>
      <t xml:space="preserve">生産管理・</t>
    </r>
    <r>
      <rPr>
        <sz val="10"/>
        <rFont val="Meiryo UI"/>
        <family val="0"/>
        <charset val="1"/>
      </rPr>
      <t xml:space="preserve">IE</t>
    </r>
  </si>
  <si>
    <t xml:space="preserve">型枠（テンプレート）</t>
  </si>
  <si>
    <t xml:space="preserve">品番別に製作・保管・識別</t>
  </si>
  <si>
    <t xml:space="preserve">多品種切替では型枠準備が律速になる</t>
  </si>
  <si>
    <t xml:space="preserve">新品番の投入前に型枠製作リードタイムを確保（生産準備ワークフローへ組込み）</t>
  </si>
  <si>
    <t xml:space="preserve">技術</t>
  </si>
  <si>
    <r>
      <rPr>
        <b val="true"/>
        <sz val="11"/>
        <color rgb="FF1F4E78"/>
        <rFont val="Meiryo UI"/>
        <family val="0"/>
        <charset val="1"/>
      </rPr>
      <t xml:space="preserve">4. </t>
    </r>
    <r>
      <rPr>
        <b val="true"/>
        <sz val="11"/>
        <color rgb="FF1F4E78"/>
        <rFont val="WenQuanYi Zen Hei"/>
        <family val="2"/>
      </rPr>
      <t xml:space="preserve">人配置の判断条件（</t>
    </r>
    <r>
      <rPr>
        <b val="true"/>
        <sz val="11"/>
        <color rgb="FF1F4E78"/>
        <rFont val="Meiryo UI"/>
        <family val="0"/>
        <charset val="1"/>
      </rPr>
      <t xml:space="preserve">1</t>
    </r>
    <r>
      <rPr>
        <b val="true"/>
        <sz val="11"/>
        <color rgb="FF1F4E78"/>
        <rFont val="WenQuanYi Zen Hei"/>
        <family val="2"/>
      </rPr>
      <t xml:space="preserve">人</t>
    </r>
    <r>
      <rPr>
        <b val="true"/>
        <sz val="11"/>
        <color rgb="FF1F4E78"/>
        <rFont val="Meiryo UI"/>
        <family val="0"/>
        <charset val="1"/>
      </rPr>
      <t xml:space="preserve">2</t>
    </r>
    <r>
      <rPr>
        <b val="true"/>
        <sz val="11"/>
        <color rgb="FF1F4E78"/>
        <rFont val="WenQuanYi Zen Hei"/>
        <family val="2"/>
      </rPr>
      <t xml:space="preserve">台にする場合）</t>
    </r>
  </si>
  <si>
    <t xml:space="preserve">条件</t>
  </si>
  <si>
    <t xml:space="preserve">判定方法</t>
  </si>
  <si>
    <r>
      <rPr>
        <sz val="10"/>
        <rFont val="WenQuanYi Zen Hei"/>
        <family val="2"/>
      </rPr>
      <t xml:space="preserve">自動縫製秒 ≥ もう</t>
    </r>
    <r>
      <rPr>
        <sz val="10"/>
        <rFont val="Meiryo UI"/>
        <family val="0"/>
        <charset val="1"/>
      </rPr>
      <t xml:space="preserve">1</t>
    </r>
    <r>
      <rPr>
        <sz val="10"/>
        <rFont val="WenQuanYi Zen Hei"/>
        <family val="2"/>
      </rPr>
      <t xml:space="preserve">台のセット秒＋取り出し秒＋検品秒＋移動秒</t>
    </r>
  </si>
  <si>
    <r>
      <rPr>
        <sz val="10"/>
        <rFont val="Meiryo UI"/>
        <family val="0"/>
        <charset val="1"/>
      </rPr>
      <t xml:space="preserve">07</t>
    </r>
    <r>
      <rPr>
        <sz val="10"/>
        <rFont val="WenQuanYi Zen Hei"/>
        <family val="2"/>
      </rPr>
      <t xml:space="preserve">表</t>
    </r>
    <r>
      <rPr>
        <sz val="10"/>
        <rFont val="Meiryo UI"/>
        <family val="0"/>
        <charset val="1"/>
      </rPr>
      <t xml:space="preserve">1</t>
    </r>
    <r>
      <rPr>
        <sz val="10"/>
        <rFont val="WenQuanYi Zen Hei"/>
        <family val="2"/>
      </rPr>
      <t xml:space="preserve">の実測値（自動縫製秒・並行作業秒）で確認</t>
    </r>
  </si>
  <si>
    <r>
      <rPr>
        <sz val="10"/>
        <rFont val="Meiryo UI"/>
        <family val="0"/>
        <charset val="1"/>
      </rPr>
      <t xml:space="preserve">2</t>
    </r>
    <r>
      <rPr>
        <sz val="10"/>
        <rFont val="WenQuanYi Zen Hei"/>
        <family val="2"/>
      </rPr>
      <t xml:space="preserve">台間の移動距離が短い（目安：数歩以内）</t>
    </r>
  </si>
  <si>
    <t xml:space="preserve">レイアウト図で確認</t>
  </si>
  <si>
    <t xml:space="preserve">待ち（機械待ち・人待ち）が発生しない</t>
  </si>
  <si>
    <r>
      <rPr>
        <sz val="10"/>
        <rFont val="Meiryo UI"/>
        <family val="0"/>
        <charset val="1"/>
      </rPr>
      <t xml:space="preserve">10</t>
    </r>
    <r>
      <rPr>
        <sz val="10"/>
        <rFont val="WenQuanYi Zen Hei"/>
        <family val="2"/>
      </rPr>
      <t xml:space="preserve">サイクル以上のビデオ測定で確認</t>
    </r>
  </si>
  <si>
    <r>
      <rPr>
        <b val="true"/>
        <sz val="11"/>
        <color rgb="FF1F4E78"/>
        <rFont val="Meiryo UI"/>
        <family val="0"/>
        <charset val="1"/>
      </rPr>
      <t xml:space="preserve">5. </t>
    </r>
    <r>
      <rPr>
        <b val="true"/>
        <sz val="11"/>
        <color rgb="FF1F4E78"/>
        <rFont val="WenQuanYi Zen Hei"/>
        <family val="2"/>
      </rPr>
      <t xml:space="preserve">測定計画</t>
    </r>
  </si>
  <si>
    <t xml:space="preserve">測定項目</t>
  </si>
  <si>
    <t xml:space="preserve">方法</t>
  </si>
  <si>
    <t xml:space="preserve">回数</t>
  </si>
  <si>
    <t xml:space="preserve">時期</t>
  </si>
  <si>
    <t xml:space="preserve">担当</t>
  </si>
  <si>
    <r>
      <rPr>
        <sz val="10"/>
        <rFont val="WenQuanYi Zen Hei"/>
        <family val="2"/>
      </rPr>
      <t xml:space="preserve">工程秒（</t>
    </r>
    <r>
      <rPr>
        <sz val="10"/>
        <rFont val="Meiryo UI"/>
        <family val="0"/>
        <charset val="1"/>
      </rPr>
      <t xml:space="preserve">Before</t>
    </r>
    <r>
      <rPr>
        <sz val="10"/>
        <rFont val="WenQuanYi Zen Hei"/>
        <family val="2"/>
      </rPr>
      <t xml:space="preserve">／</t>
    </r>
    <r>
      <rPr>
        <sz val="10"/>
        <rFont val="Meiryo UI"/>
        <family val="0"/>
        <charset val="1"/>
      </rPr>
      <t xml:space="preserve">After</t>
    </r>
    <r>
      <rPr>
        <sz val="10"/>
        <rFont val="WenQuanYi Zen Hei"/>
        <family val="2"/>
      </rPr>
      <t xml:space="preserve">）</t>
    </r>
  </si>
  <si>
    <t xml:space="preserve">ビデオ撮影＋ストップウォッチ</t>
  </si>
  <si>
    <r>
      <rPr>
        <sz val="10"/>
        <rFont val="WenQuanYi Zen Hei"/>
        <family val="2"/>
      </rPr>
      <t xml:space="preserve">各工程</t>
    </r>
    <r>
      <rPr>
        <sz val="10"/>
        <rFont val="Meiryo UI"/>
        <family val="0"/>
        <charset val="1"/>
      </rPr>
      <t xml:space="preserve">10</t>
    </r>
    <r>
      <rPr>
        <sz val="10"/>
        <rFont val="WenQuanYi Zen Hei"/>
        <family val="2"/>
      </rPr>
      <t xml:space="preserve">サイクル以上</t>
    </r>
  </si>
  <si>
    <r>
      <rPr>
        <sz val="10"/>
        <rFont val="WenQuanYi Zen Hei"/>
        <family val="2"/>
      </rPr>
      <t xml:space="preserve">導入前・導入</t>
    </r>
    <r>
      <rPr>
        <sz val="10"/>
        <rFont val="Meiryo UI"/>
        <family val="0"/>
        <charset val="1"/>
      </rPr>
      <t xml:space="preserve">1</t>
    </r>
    <r>
      <rPr>
        <sz val="10"/>
        <rFont val="WenQuanYi Zen Hei"/>
        <family val="2"/>
      </rPr>
      <t xml:space="preserve">か月後</t>
    </r>
  </si>
  <si>
    <r>
      <rPr>
        <sz val="10"/>
        <rFont val="Meiryo UI"/>
        <family val="0"/>
        <charset val="1"/>
      </rPr>
      <t xml:space="preserve">IE</t>
    </r>
    <r>
      <rPr>
        <sz val="10"/>
        <rFont val="WenQuanYi Zen Hei"/>
        <family val="2"/>
      </rPr>
      <t xml:space="preserve">・工程担当</t>
    </r>
  </si>
  <si>
    <t xml:space="preserve">作業者拘束時間・並行作業時間</t>
  </si>
  <si>
    <t xml:space="preserve">自動縫製中の作業内容を記録</t>
  </si>
  <si>
    <t xml:space="preserve">IE</t>
  </si>
  <si>
    <t xml:space="preserve">習熟期間</t>
  </si>
  <si>
    <t xml:space="preserve">新人が標準時間に到達するまでの日数</t>
  </si>
  <si>
    <t xml:space="preserve">対象者ごと</t>
  </si>
  <si>
    <t xml:space="preserve">導入後</t>
  </si>
  <si>
    <t xml:space="preserve">ライン長</t>
  </si>
  <si>
    <t xml:space="preserve">不良率</t>
  </si>
  <si>
    <t xml:space="preserve">工程内不良・最終検品</t>
  </si>
  <si>
    <r>
      <rPr>
        <sz val="10"/>
        <rFont val="Meiryo UI"/>
        <family val="0"/>
        <charset val="1"/>
      </rPr>
      <t xml:space="preserve">1</t>
    </r>
    <r>
      <rPr>
        <sz val="10"/>
        <rFont val="WenQuanYi Zen Hei"/>
        <family val="2"/>
      </rPr>
      <t xml:space="preserve">か月集計</t>
    </r>
  </si>
  <si>
    <t xml:space="preserve">導入前後</t>
  </si>
  <si>
    <t xml:space="preserve">QC</t>
  </si>
  <si>
    <t xml:space="preserve">稼働率</t>
  </si>
  <si>
    <r>
      <rPr>
        <sz val="10"/>
        <rFont val="Meiryo UI"/>
        <family val="0"/>
        <charset val="1"/>
      </rPr>
      <t xml:space="preserve">PS</t>
    </r>
    <r>
      <rPr>
        <sz val="10"/>
        <rFont val="WenQuanYi Zen Hei"/>
        <family val="2"/>
      </rPr>
      <t xml:space="preserve">稼働時間</t>
    </r>
    <r>
      <rPr>
        <sz val="10"/>
        <rFont val="Meiryo UI"/>
        <family val="0"/>
        <charset val="1"/>
      </rPr>
      <t xml:space="preserve">÷</t>
    </r>
    <r>
      <rPr>
        <sz val="10"/>
        <rFont val="WenQuanYi Zen Hei"/>
        <family val="2"/>
      </rPr>
      <t xml:space="preserve">就業時間</t>
    </r>
  </si>
  <si>
    <t xml:space="preserve">週次</t>
  </si>
  <si>
    <t xml:space="preserve">生産管理</t>
  </si>
  <si>
    <r>
      <rPr>
        <b val="true"/>
        <sz val="14"/>
        <color rgb="FF1F4E78"/>
        <rFont val="WenQuanYi Zen Hei"/>
        <family val="2"/>
      </rPr>
      <t xml:space="preserve">スポットプレス 必要台数と入替計画（</t>
    </r>
    <r>
      <rPr>
        <b val="true"/>
        <sz val="14"/>
        <color rgb="FF1F4E78"/>
        <rFont val="Meiryo UI"/>
        <family val="0"/>
        <charset val="1"/>
      </rPr>
      <t xml:space="preserve">No.11</t>
    </r>
    <r>
      <rPr>
        <b val="true"/>
        <sz val="14"/>
        <color rgb="FF1F4E78"/>
        <rFont val="WenQuanYi Zen Hei"/>
        <family val="2"/>
      </rPr>
      <t xml:space="preserve">・最優先／安全投資）</t>
    </r>
  </si>
  <si>
    <r>
      <rPr>
        <i val="true"/>
        <sz val="9"/>
        <color rgb="FF595959"/>
        <rFont val="WenQuanYi Zen Hei"/>
        <family val="2"/>
      </rPr>
      <t xml:space="preserve">安全装置なしの旧型は安全上の理由で全数入替。</t>
    </r>
    <r>
      <rPr>
        <i val="true"/>
        <sz val="9"/>
        <color rgb="FF595959"/>
        <rFont val="Meiryo UI"/>
        <family val="0"/>
        <charset val="1"/>
      </rPr>
      <t xml:space="preserve">ROI</t>
    </r>
    <r>
      <rPr>
        <i val="true"/>
        <sz val="9"/>
        <color rgb="FF595959"/>
        <rFont val="WenQuanYi Zen Hei"/>
        <family val="2"/>
      </rPr>
      <t xml:space="preserve">で判断しない。必要総数＝対象ライン数</t>
    </r>
    <r>
      <rPr>
        <i val="true"/>
        <sz val="9"/>
        <color rgb="FF595959"/>
        <rFont val="Meiryo UI"/>
        <family val="0"/>
        <charset val="1"/>
      </rPr>
      <t xml:space="preserve">×</t>
    </r>
    <r>
      <rPr>
        <i val="true"/>
        <sz val="9"/>
        <color rgb="FF595959"/>
        <rFont val="WenQuanYi Zen Hei"/>
        <family val="2"/>
      </rPr>
      <t xml:space="preserve">必要台数</t>
    </r>
    <r>
      <rPr>
        <i val="true"/>
        <sz val="9"/>
        <color rgb="FF595959"/>
        <rFont val="Meiryo UI"/>
        <family val="0"/>
        <charset val="1"/>
      </rPr>
      <t xml:space="preserve">/</t>
    </r>
    <r>
      <rPr>
        <i val="true"/>
        <sz val="9"/>
        <color rgb="FF595959"/>
        <rFont val="WenQuanYi Zen Hei"/>
        <family val="2"/>
      </rPr>
      <t xml:space="preserve">ライン＋共用分＋予備・保全分。</t>
    </r>
  </si>
  <si>
    <r>
      <rPr>
        <b val="true"/>
        <sz val="11"/>
        <color rgb="FF1F4E78"/>
        <rFont val="Meiryo UI"/>
        <family val="0"/>
        <charset val="1"/>
      </rPr>
      <t xml:space="preserve">A. </t>
    </r>
    <r>
      <rPr>
        <b val="true"/>
        <sz val="11"/>
        <color rgb="FF1F4E78"/>
        <rFont val="WenQuanYi Zen Hei"/>
        <family val="2"/>
      </rPr>
      <t xml:space="preserve">現有機の状況</t>
    </r>
  </si>
  <si>
    <t xml:space="preserve">区分</t>
  </si>
  <si>
    <t xml:space="preserve">年式・使用年数</t>
  </si>
  <si>
    <t xml:space="preserve">安全装置</t>
  </si>
  <si>
    <t xml:space="preserve">後付け可否</t>
  </si>
  <si>
    <t xml:space="preserve">修理可否</t>
  </si>
  <si>
    <t xml:space="preserve">旧型（アーム斜め動作）</t>
  </si>
  <si>
    <r>
      <rPr>
        <sz val="10"/>
        <rFont val="WenQuanYi Zen Hei"/>
        <family val="2"/>
      </rPr>
      <t xml:space="preserve">約</t>
    </r>
    <r>
      <rPr>
        <sz val="10"/>
        <rFont val="Meiryo UI"/>
        <family val="0"/>
        <charset val="1"/>
      </rPr>
      <t xml:space="preserve">15</t>
    </r>
    <r>
      <rPr>
        <sz val="10"/>
        <rFont val="WenQuanYi Zen Hei"/>
        <family val="2"/>
      </rPr>
      <t xml:space="preserve">年</t>
    </r>
  </si>
  <si>
    <t xml:space="preserve">無</t>
  </si>
  <si>
    <t xml:space="preserve">不可（メーカー確認、廃棄推奨）</t>
  </si>
  <si>
    <r>
      <rPr>
        <sz val="10"/>
        <rFont val="WenQuanYi Zen Hei"/>
        <family val="2"/>
      </rPr>
      <t xml:space="preserve">圧力計算不可・</t>
    </r>
    <r>
      <rPr>
        <sz val="10"/>
        <rFont val="Meiryo UI"/>
        <family val="0"/>
        <charset val="1"/>
      </rPr>
      <t xml:space="preserve">3L</t>
    </r>
    <r>
      <rPr>
        <sz val="10"/>
        <rFont val="WenQuanYi Zen Hei"/>
        <family val="2"/>
      </rPr>
      <t xml:space="preserve">等に使用不可。圧力ムラで再プレス増</t>
    </r>
  </si>
  <si>
    <r>
      <rPr>
        <sz val="10"/>
        <rFont val="WenQuanYi Zen Hei"/>
        <family val="2"/>
      </rPr>
      <t xml:space="preserve">新型 </t>
    </r>
    <r>
      <rPr>
        <sz val="10"/>
        <rFont val="Meiryo UI"/>
        <family val="0"/>
        <charset val="1"/>
      </rPr>
      <t xml:space="preserve">PTTG 30×10cm</t>
    </r>
  </si>
  <si>
    <t xml:space="preserve">有</t>
  </si>
  <si>
    <r>
      <rPr>
        <sz val="10"/>
        <rFont val="WenQuanYi Zen Hei"/>
        <family val="2"/>
      </rPr>
      <t xml:space="preserve">原案</t>
    </r>
    <r>
      <rPr>
        <sz val="10"/>
        <rFont val="Meiryo UI"/>
        <family val="0"/>
        <charset val="1"/>
      </rPr>
      <t xml:space="preserve">S14</t>
    </r>
    <r>
      <rPr>
        <sz val="10"/>
        <rFont val="WenQuanYi Zen Hei"/>
        <family val="2"/>
      </rPr>
      <t xml:space="preserve">・</t>
    </r>
    <r>
      <rPr>
        <sz val="10"/>
        <rFont val="Meiryo UI"/>
        <family val="0"/>
        <charset val="1"/>
      </rPr>
      <t xml:space="preserve">R14</t>
    </r>
  </si>
  <si>
    <r>
      <rPr>
        <b val="true"/>
        <sz val="11"/>
        <color rgb="FF1F4E78"/>
        <rFont val="Meiryo UI"/>
        <family val="0"/>
        <charset val="1"/>
      </rPr>
      <t xml:space="preserve">B. </t>
    </r>
    <r>
      <rPr>
        <b val="true"/>
        <sz val="11"/>
        <color rgb="FF1F4E78"/>
        <rFont val="WenQuanYi Zen Hei"/>
        <family val="2"/>
      </rPr>
      <t xml:space="preserve">必要台数の計算</t>
    </r>
  </si>
  <si>
    <t xml:space="preserve">対象ライン数</t>
  </si>
  <si>
    <t xml:space="preserve">スポットプレスを使う量産ライン数</t>
  </si>
  <si>
    <r>
      <rPr>
        <sz val="10"/>
        <rFont val="Meiryo UI"/>
        <family val="0"/>
        <charset val="1"/>
      </rPr>
      <t xml:space="preserve">1</t>
    </r>
    <r>
      <rPr>
        <sz val="10"/>
        <rFont val="WenQuanYi Zen Hei"/>
        <family val="2"/>
      </rPr>
      <t xml:space="preserve">ライン当たり必要台数</t>
    </r>
  </si>
  <si>
    <r>
      <rPr>
        <sz val="10"/>
        <rFont val="WenQuanYi Zen Hei"/>
        <family val="2"/>
      </rPr>
      <t xml:space="preserve">ライン別使用状況（</t>
    </r>
    <r>
      <rPr>
        <sz val="10"/>
        <rFont val="Meiryo UI"/>
        <family val="0"/>
        <charset val="1"/>
      </rPr>
      <t xml:space="preserve">C</t>
    </r>
    <r>
      <rPr>
        <sz val="10"/>
        <rFont val="WenQuanYi Zen Hei"/>
        <family val="2"/>
      </rPr>
      <t xml:space="preserve">表）から設定</t>
    </r>
  </si>
  <si>
    <t xml:space="preserve">ライン計</t>
  </si>
  <si>
    <t xml:space="preserve">共用分（仕上げ・サンプル・部分プレス等）</t>
  </si>
  <si>
    <t xml:space="preserve">予備・保全分</t>
  </si>
  <si>
    <t xml:space="preserve">故障・修理中の代替</t>
  </si>
  <si>
    <t xml:space="preserve">計算上の必要総数</t>
  </si>
  <si>
    <r>
      <rPr>
        <sz val="10"/>
        <rFont val="WenQuanYi Zen Hei"/>
        <family val="2"/>
      </rPr>
      <t xml:space="preserve">暫定 必要総数（</t>
    </r>
    <r>
      <rPr>
        <sz val="10"/>
        <rFont val="Meiryo UI"/>
        <family val="0"/>
        <charset val="1"/>
      </rPr>
      <t xml:space="preserve">3/25</t>
    </r>
    <r>
      <rPr>
        <sz val="10"/>
        <rFont val="WenQuanYi Zen Hei"/>
        <family val="2"/>
      </rPr>
      <t xml:space="preserve">概算</t>
    </r>
    <r>
      <rPr>
        <sz val="10"/>
        <rFont val="Meiryo UI"/>
        <family val="0"/>
        <charset val="1"/>
      </rPr>
      <t xml:space="preserve">45</t>
    </r>
    <r>
      <rPr>
        <sz val="10"/>
        <rFont val="WenQuanYi Zen Hei"/>
        <family val="2"/>
      </rPr>
      <t xml:space="preserve">〜</t>
    </r>
    <r>
      <rPr>
        <sz val="10"/>
        <rFont val="Meiryo UI"/>
        <family val="0"/>
        <charset val="1"/>
      </rPr>
      <t xml:space="preserve">50</t>
    </r>
    <r>
      <rPr>
        <sz val="10"/>
        <rFont val="WenQuanYi Zen Hei"/>
        <family val="2"/>
      </rPr>
      <t xml:space="preserve">台の下限）</t>
    </r>
  </si>
  <si>
    <t xml:space="preserve">計算根拠の入力が終わるまでの暫定値</t>
  </si>
  <si>
    <t xml:space="preserve">採用 必要総数</t>
  </si>
  <si>
    <t xml:space="preserve">新型（安全装置付）現有</t>
  </si>
  <si>
    <t xml:space="preserve">原案① 計上台数</t>
  </si>
  <si>
    <r>
      <rPr>
        <b val="true"/>
        <sz val="10"/>
        <rFont val="Meiryo UI"/>
        <family val="0"/>
        <charset val="1"/>
      </rPr>
      <t xml:space="preserve">2026</t>
    </r>
    <r>
      <rPr>
        <b val="true"/>
        <sz val="10"/>
        <rFont val="WenQuanYi Zen Hei"/>
        <family val="2"/>
      </rPr>
      <t xml:space="preserve">年度 購入必要数</t>
    </r>
  </si>
  <si>
    <r>
      <rPr>
        <sz val="10"/>
        <rFont val="Meiryo UI"/>
        <family val="0"/>
        <charset val="1"/>
      </rPr>
      <t xml:space="preserve">→ 02_</t>
    </r>
    <r>
      <rPr>
        <sz val="10"/>
        <rFont val="WenQuanYi Zen Hei"/>
        <family val="2"/>
      </rPr>
      <t xml:space="preserve">投資総括 </t>
    </r>
    <r>
      <rPr>
        <sz val="10"/>
        <rFont val="Meiryo UI"/>
        <family val="0"/>
        <charset val="1"/>
      </rPr>
      <t xml:space="preserve">No.11 </t>
    </r>
    <r>
      <rPr>
        <sz val="10"/>
        <rFont val="WenQuanYi Zen Hei"/>
        <family val="2"/>
      </rPr>
      <t xml:space="preserve">の調整案台数</t>
    </r>
  </si>
  <si>
    <t xml:space="preserve">うち 更新分（旧型の置換）</t>
  </si>
  <si>
    <t xml:space="preserve">原案との差（台）</t>
  </si>
  <si>
    <r>
      <rPr>
        <sz val="10"/>
        <rFont val="WenQuanYi Zen Hei"/>
        <family val="2"/>
      </rPr>
      <t xml:space="preserve">単価（</t>
    </r>
    <r>
      <rPr>
        <sz val="10"/>
        <rFont val="Meiryo UI"/>
        <family val="0"/>
        <charset val="1"/>
      </rPr>
      <t xml:space="preserve">USD</t>
    </r>
    <r>
      <rPr>
        <sz val="10"/>
        <rFont val="WenQuanYi Zen Hei"/>
        <family val="2"/>
      </rPr>
      <t xml:space="preserve">）</t>
    </r>
  </si>
  <si>
    <r>
      <rPr>
        <sz val="10"/>
        <rFont val="Meiryo UI"/>
        <family val="0"/>
        <charset val="1"/>
      </rPr>
      <t xml:space="preserve">02_</t>
    </r>
    <r>
      <rPr>
        <sz val="10"/>
        <rFont val="WenQuanYi Zen Hei"/>
        <family val="2"/>
      </rPr>
      <t xml:space="preserve">投資総括</t>
    </r>
  </si>
  <si>
    <r>
      <rPr>
        <sz val="10"/>
        <rFont val="WenQuanYi Zen Hei"/>
        <family val="2"/>
      </rPr>
      <t xml:space="preserve">購入金額（</t>
    </r>
    <r>
      <rPr>
        <sz val="10"/>
        <rFont val="Meiryo UI"/>
        <family val="0"/>
        <charset val="1"/>
      </rPr>
      <t xml:space="preserve">USD</t>
    </r>
    <r>
      <rPr>
        <sz val="10"/>
        <rFont val="WenQuanYi Zen Hei"/>
        <family val="2"/>
      </rPr>
      <t xml:space="preserve">）</t>
    </r>
  </si>
  <si>
    <t xml:space="preserve">購入金額（円）</t>
  </si>
  <si>
    <t xml:space="preserve">購入後の旧型（安全装置なし）</t>
  </si>
  <si>
    <t xml:space="preserve">全数使用停止・廃棄</t>
  </si>
  <si>
    <t xml:space="preserve">必要総数をすべて安全装置付で充足</t>
  </si>
  <si>
    <r>
      <rPr>
        <b val="true"/>
        <sz val="11"/>
        <color rgb="FF1F4E78"/>
        <rFont val="Meiryo UI"/>
        <family val="0"/>
        <charset val="1"/>
      </rPr>
      <t xml:space="preserve">C. </t>
    </r>
    <r>
      <rPr>
        <b val="true"/>
        <sz val="11"/>
        <color rgb="FF1F4E78"/>
        <rFont val="WenQuanYi Zen Hei"/>
        <family val="2"/>
      </rPr>
      <t xml:space="preserve">ライン別 使用状況（現況調査）</t>
    </r>
  </si>
  <si>
    <t xml:space="preserve">ライン・工程</t>
  </si>
  <si>
    <t xml:space="preserve">旧型 使用台数</t>
  </si>
  <si>
    <t xml:space="preserve">新型 使用台数</t>
  </si>
  <si>
    <t xml:space="preserve">ピーク時 必要台数</t>
  </si>
  <si>
    <r>
      <rPr>
        <b val="true"/>
        <sz val="11"/>
        <color rgb="FF1F4E78"/>
        <rFont val="Meiryo UI"/>
        <family val="0"/>
        <charset val="1"/>
      </rPr>
      <t xml:space="preserve">D. </t>
    </r>
    <r>
      <rPr>
        <b val="true"/>
        <sz val="11"/>
        <color rgb="FF1F4E78"/>
        <rFont val="WenQuanYi Zen Hei"/>
        <family val="2"/>
      </rPr>
      <t xml:space="preserve">証跡チェックリスト</t>
    </r>
  </si>
  <si>
    <t xml:space="preserve">証跡</t>
  </si>
  <si>
    <t xml:space="preserve">状態</t>
  </si>
  <si>
    <t xml:space="preserve">旧型の写真</t>
  </si>
  <si>
    <t xml:space="preserve">安全装置がないことが分かる写真（挟まれ箇所）</t>
  </si>
  <si>
    <t xml:space="preserve">メーカー見解</t>
  </si>
  <si>
    <t xml:space="preserve">安全装置の後付け不可・廃棄推奨の書面またはメール</t>
  </si>
  <si>
    <t xml:space="preserve">年式・台帳</t>
  </si>
  <si>
    <t xml:space="preserve">固定資産台帳の取得年・簿価</t>
  </si>
  <si>
    <t xml:space="preserve">故障・修理履歴</t>
  </si>
  <si>
    <t xml:space="preserve">修理可否、部品入手可否</t>
  </si>
  <si>
    <t xml:space="preserve">ヒヤリハット</t>
  </si>
  <si>
    <t xml:space="preserve">挟まれ・やけど等の記録（あれば）</t>
  </si>
  <si>
    <t xml:space="preserve">品質影響</t>
  </si>
  <si>
    <t xml:space="preserve">圧力ムラによる再プレス回数、耐水圧不良との関係</t>
  </si>
  <si>
    <r>
      <rPr>
        <b val="true"/>
        <sz val="11"/>
        <color rgb="FF1F4E78"/>
        <rFont val="Meiryo UI"/>
        <family val="0"/>
        <charset val="1"/>
      </rPr>
      <t xml:space="preserve">E. </t>
    </r>
    <r>
      <rPr>
        <b val="true"/>
        <sz val="11"/>
        <color rgb="FF1F4E78"/>
        <rFont val="WenQuanYi Zen Hei"/>
        <family val="2"/>
      </rPr>
      <t xml:space="preserve">説明文案</t>
    </r>
  </si>
  <si>
    <r>
      <rPr>
        <sz val="10"/>
        <rFont val="WenQuanYi Zen Hei"/>
        <family val="2"/>
      </rPr>
      <t xml:space="preserve">旧型スポットプレスは約</t>
    </r>
    <r>
      <rPr>
        <sz val="10"/>
        <rFont val="Meiryo UI"/>
        <family val="0"/>
        <charset val="1"/>
      </rPr>
      <t xml:space="preserve">15</t>
    </r>
    <r>
      <rPr>
        <sz val="10"/>
        <rFont val="WenQuanYi Zen Hei"/>
        <family val="2"/>
      </rPr>
      <t xml:space="preserve">年経過し、安全装置の後付けができずメーカーも廃棄を推奨している。安全上の問題があるため、費用対効果ではなく安全確保を理由に最優先で全数入替を行う。必要総数は［対象ライン数</t>
    </r>
    <r>
      <rPr>
        <sz val="10"/>
        <rFont val="Meiryo UI"/>
        <family val="0"/>
        <charset val="1"/>
      </rPr>
      <t xml:space="preserve">×</t>
    </r>
    <r>
      <rPr>
        <sz val="10"/>
        <rFont val="WenQuanYi Zen Hei"/>
        <family val="2"/>
      </rPr>
      <t xml:space="preserve">必要台数</t>
    </r>
    <r>
      <rPr>
        <sz val="10"/>
        <rFont val="Meiryo UI"/>
        <family val="0"/>
        <charset val="1"/>
      </rPr>
      <t xml:space="preserve">/</t>
    </r>
    <r>
      <rPr>
        <sz val="10"/>
        <rFont val="WenQuanYi Zen Hei"/>
        <family val="2"/>
      </rPr>
      <t xml:space="preserve">ライン＋共用分＋予備分］で算出し、安全装置付の新型現有</t>
    </r>
    <r>
      <rPr>
        <sz val="10"/>
        <rFont val="Meiryo UI"/>
        <family val="0"/>
        <charset val="1"/>
      </rPr>
      <t xml:space="preserve">15</t>
    </r>
    <r>
      <rPr>
        <sz val="10"/>
        <rFont val="WenQuanYi Zen Hei"/>
        <family val="2"/>
      </rPr>
      <t xml:space="preserve">台との差を</t>
    </r>
    <r>
      <rPr>
        <sz val="10"/>
        <rFont val="Meiryo UI"/>
        <family val="0"/>
        <charset val="1"/>
      </rPr>
      <t xml:space="preserve">2026</t>
    </r>
    <r>
      <rPr>
        <sz val="10"/>
        <rFont val="WenQuanYi Zen Hei"/>
        <family val="2"/>
      </rPr>
      <t xml:space="preserve">年度に購入する。</t>
    </r>
  </si>
  <si>
    <r>
      <rPr>
        <b val="true"/>
        <sz val="14"/>
        <color rgb="FF1F4E78"/>
        <rFont val="Meiryo UI"/>
        <family val="0"/>
        <charset val="1"/>
      </rPr>
      <t xml:space="preserve">No.10 </t>
    </r>
    <r>
      <rPr>
        <b val="true"/>
        <sz val="14"/>
        <color rgb="FF1F4E78"/>
        <rFont val="WenQuanYi Zen Hei"/>
        <family val="2"/>
      </rPr>
      <t xml:space="preserve">平プレス（</t>
    </r>
    <r>
      <rPr>
        <b val="true"/>
        <sz val="14"/>
        <color rgb="FF1F4E78"/>
        <rFont val="Meiryo UI"/>
        <family val="0"/>
        <charset val="1"/>
      </rPr>
      <t xml:space="preserve">125×83cm</t>
    </r>
    <r>
      <rPr>
        <b val="true"/>
        <sz val="14"/>
        <color rgb="FF1F4E78"/>
        <rFont val="WenQuanYi Zen Hei"/>
        <family val="2"/>
      </rPr>
      <t xml:space="preserve">） プレス精度の検証方法（</t>
    </r>
    <r>
      <rPr>
        <b val="true"/>
        <sz val="14"/>
        <color rgb="FF1F4E78"/>
        <rFont val="Meiryo UI"/>
        <family val="0"/>
        <charset val="1"/>
      </rPr>
      <t xml:space="preserve">3/25</t>
    </r>
    <r>
      <rPr>
        <b val="true"/>
        <sz val="14"/>
        <color rgb="FF1F4E78"/>
        <rFont val="WenQuanYi Zen Hei"/>
        <family val="2"/>
      </rPr>
      <t xml:space="preserve">要確認事項⑤）</t>
    </r>
  </si>
  <si>
    <r>
      <rPr>
        <i val="true"/>
        <sz val="9"/>
        <color rgb="FF595959"/>
        <rFont val="WenQuanYi Zen Hei"/>
        <family val="2"/>
      </rPr>
      <t xml:space="preserve">大型だからこそ圧力・温度の均一性が懸念にならないよう、受入時と定期で確認する。判定基準の数値はメーカー（</t>
    </r>
    <r>
      <rPr>
        <i val="true"/>
        <sz val="9"/>
        <color rgb="FF595959"/>
        <rFont val="Meiryo UI"/>
        <family val="0"/>
        <charset val="1"/>
      </rPr>
      <t xml:space="preserve">H&amp;H</t>
    </r>
    <r>
      <rPr>
        <i val="true"/>
        <sz val="9"/>
        <color rgb="FF595959"/>
        <rFont val="WenQuanYi Zen Hei"/>
        <family val="2"/>
      </rPr>
      <t xml:space="preserve">／</t>
    </r>
    <r>
      <rPr>
        <i val="true"/>
        <sz val="9"/>
        <color rgb="FF595959"/>
        <rFont val="Meiryo UI"/>
        <family val="0"/>
        <charset val="1"/>
      </rPr>
      <t xml:space="preserve">JUKI</t>
    </r>
    <r>
      <rPr>
        <i val="true"/>
        <sz val="9"/>
        <color rgb="FF595959"/>
        <rFont val="WenQuanYi Zen Hei"/>
        <family val="2"/>
      </rPr>
      <t xml:space="preserve">）規格を取得して記入。</t>
    </r>
  </si>
  <si>
    <t xml:space="preserve">検証項目</t>
  </si>
  <si>
    <t xml:space="preserve">検証方法</t>
  </si>
  <si>
    <t xml:space="preserve">判定基準</t>
  </si>
  <si>
    <t xml:space="preserve">確認頻度</t>
  </si>
  <si>
    <t xml:space="preserve">水平度</t>
  </si>
  <si>
    <r>
      <rPr>
        <sz val="10"/>
        <rFont val="WenQuanYi Zen Hei"/>
        <family val="2"/>
      </rPr>
      <t xml:space="preserve">水平器で熱板の</t>
    </r>
    <r>
      <rPr>
        <sz val="10"/>
        <rFont val="Meiryo UI"/>
        <family val="0"/>
        <charset val="1"/>
      </rPr>
      <t xml:space="preserve">4</t>
    </r>
    <r>
      <rPr>
        <sz val="10"/>
        <rFont val="WenQuanYi Zen Hei"/>
        <family val="2"/>
      </rPr>
      <t xml:space="preserve">隅を測定（必要に応じ中央を追加）</t>
    </r>
  </si>
  <si>
    <r>
      <rPr>
        <sz val="10"/>
        <rFont val="Meiryo UI"/>
        <family val="0"/>
        <charset val="1"/>
      </rPr>
      <t xml:space="preserve">4</t>
    </r>
    <r>
      <rPr>
        <sz val="10"/>
        <rFont val="WenQuanYi Zen Hei"/>
        <family val="2"/>
      </rPr>
      <t xml:space="preserve">点とも許容範囲内（許容値：メーカー規格）</t>
    </r>
  </si>
  <si>
    <r>
      <rPr>
        <sz val="10"/>
        <rFont val="WenQuanYi Zen Hei"/>
        <family val="2"/>
      </rPr>
      <t xml:space="preserve">受入時・月次・移設</t>
    </r>
    <r>
      <rPr>
        <sz val="10"/>
        <rFont val="Meiryo UI"/>
        <family val="0"/>
        <charset val="1"/>
      </rPr>
      <t xml:space="preserve">/</t>
    </r>
    <r>
      <rPr>
        <sz val="10"/>
        <rFont val="WenQuanYi Zen Hei"/>
        <family val="2"/>
      </rPr>
      <t xml:space="preserve">修理後</t>
    </r>
  </si>
  <si>
    <t xml:space="preserve">保全</t>
  </si>
  <si>
    <t xml:space="preserve">圧着均一性</t>
  </si>
  <si>
    <r>
      <rPr>
        <sz val="10"/>
        <rFont val="WenQuanYi Zen Hei"/>
        <family val="2"/>
      </rPr>
      <t xml:space="preserve">紙挟みテスト：熱板全面に紙片を配置（例：</t>
    </r>
    <r>
      <rPr>
        <sz val="10"/>
        <rFont val="Meiryo UI"/>
        <family val="0"/>
        <charset val="1"/>
      </rPr>
      <t xml:space="preserve">3×3</t>
    </r>
    <r>
      <rPr>
        <sz val="10"/>
        <rFont val="WenQuanYi Zen Hei"/>
        <family val="2"/>
      </rPr>
      <t xml:space="preserve">＝</t>
    </r>
    <r>
      <rPr>
        <sz val="10"/>
        <rFont val="Meiryo UI"/>
        <family val="0"/>
        <charset val="1"/>
      </rPr>
      <t xml:space="preserve">9</t>
    </r>
    <r>
      <rPr>
        <sz val="10"/>
        <rFont val="WenQuanYi Zen Hei"/>
        <family val="2"/>
      </rPr>
      <t xml:space="preserve">点）してプレスし、圧痕・引抜き抵抗の均一性を確認</t>
    </r>
  </si>
  <si>
    <t xml:space="preserve">全点で圧痕が均一、抜け・弱い点がない</t>
  </si>
  <si>
    <t xml:space="preserve">受入時・週次・品番切替時</t>
  </si>
  <si>
    <t xml:space="preserve">圧力分布（補足）</t>
  </si>
  <si>
    <t xml:space="preserve">感圧紙（圧力測定フィルム）で熱板全面の圧力分布を可視化</t>
  </si>
  <si>
    <t xml:space="preserve">発色ムラが許容範囲内</t>
  </si>
  <si>
    <t xml:space="preserve">受入時・年次・異常時</t>
  </si>
  <si>
    <t xml:space="preserve">技術／メーカー</t>
  </si>
  <si>
    <t xml:space="preserve">温度</t>
  </si>
  <si>
    <r>
      <rPr>
        <sz val="10"/>
        <rFont val="WenQuanYi Zen Hei"/>
        <family val="2"/>
      </rPr>
      <t xml:space="preserve">接触式表面温度計で熱板</t>
    </r>
    <r>
      <rPr>
        <sz val="10"/>
        <rFont val="Meiryo UI"/>
        <family val="0"/>
        <charset val="1"/>
      </rPr>
      <t xml:space="preserve">9</t>
    </r>
    <r>
      <rPr>
        <sz val="10"/>
        <rFont val="WenQuanYi Zen Hei"/>
        <family val="2"/>
      </rPr>
      <t xml:space="preserve">点を測定</t>
    </r>
  </si>
  <si>
    <r>
      <rPr>
        <sz val="10"/>
        <rFont val="WenQuanYi Zen Hei"/>
        <family val="2"/>
      </rPr>
      <t xml:space="preserve">設定温度</t>
    </r>
    <r>
      <rPr>
        <sz val="10"/>
        <rFont val="Meiryo UI"/>
        <family val="0"/>
        <charset val="1"/>
      </rPr>
      <t xml:space="preserve">±</t>
    </r>
    <r>
      <rPr>
        <sz val="10"/>
        <rFont val="WenQuanYi Zen Hei"/>
        <family val="2"/>
      </rPr>
      <t xml:space="preserve">許容差内（メーカー規格）</t>
    </r>
  </si>
  <si>
    <r>
      <rPr>
        <sz val="10"/>
        <rFont val="WenQuanYi Zen Hei"/>
        <family val="2"/>
      </rPr>
      <t xml:space="preserve">始業時（中央</t>
    </r>
    <r>
      <rPr>
        <sz val="10"/>
        <rFont val="Meiryo UI"/>
        <family val="0"/>
        <charset val="1"/>
      </rPr>
      <t xml:space="preserve">1</t>
    </r>
    <r>
      <rPr>
        <sz val="10"/>
        <rFont val="WenQuanYi Zen Hei"/>
        <family val="2"/>
      </rPr>
      <t xml:space="preserve">点）・月次（</t>
    </r>
    <r>
      <rPr>
        <sz val="10"/>
        <rFont val="Meiryo UI"/>
        <family val="0"/>
        <charset val="1"/>
      </rPr>
      <t xml:space="preserve">9</t>
    </r>
    <r>
      <rPr>
        <sz val="10"/>
        <rFont val="WenQuanYi Zen Hei"/>
        <family val="2"/>
      </rPr>
      <t xml:space="preserve">点）</t>
    </r>
  </si>
  <si>
    <t xml:space="preserve">工程リーダー／保全</t>
  </si>
  <si>
    <t xml:space="preserve">圧力</t>
  </si>
  <si>
    <t xml:space="preserve">圧力計の表示と設定値を照合</t>
  </si>
  <si>
    <r>
      <rPr>
        <sz val="10"/>
        <rFont val="WenQuanYi Zen Hei"/>
        <family val="2"/>
      </rPr>
      <t xml:space="preserve">設定値</t>
    </r>
    <r>
      <rPr>
        <sz val="10"/>
        <rFont val="Meiryo UI"/>
        <family val="0"/>
        <charset val="1"/>
      </rPr>
      <t xml:space="preserve">±</t>
    </r>
    <r>
      <rPr>
        <sz val="10"/>
        <rFont val="WenQuanYi Zen Hei"/>
        <family val="2"/>
      </rPr>
      <t xml:space="preserve">許容差内（メーカー規格）</t>
    </r>
  </si>
  <si>
    <t xml:space="preserve">始業時</t>
  </si>
  <si>
    <t xml:space="preserve">工程リーダー</t>
  </si>
  <si>
    <t xml:space="preserve">接着品質</t>
  </si>
  <si>
    <r>
      <rPr>
        <sz val="10"/>
        <rFont val="WenQuanYi Zen Hei"/>
        <family val="2"/>
      </rPr>
      <t xml:space="preserve">実素材（</t>
    </r>
    <r>
      <rPr>
        <sz val="10"/>
        <rFont val="Meiryo UI"/>
        <family val="0"/>
        <charset val="1"/>
      </rPr>
      <t xml:space="preserve">PUR</t>
    </r>
    <r>
      <rPr>
        <sz val="10"/>
        <rFont val="WenQuanYi Zen Hei"/>
        <family val="2"/>
      </rPr>
      <t xml:space="preserve">接着・</t>
    </r>
    <r>
      <rPr>
        <sz val="10"/>
        <rFont val="Meiryo UI"/>
        <family val="0"/>
        <charset val="1"/>
      </rPr>
      <t xml:space="preserve">TNF</t>
    </r>
    <r>
      <rPr>
        <sz val="10"/>
        <rFont val="WenQuanYi Zen Hei"/>
        <family val="2"/>
      </rPr>
      <t xml:space="preserve">エアチャンバー）のテストピースで剥離強度・耐水圧・外観を確認</t>
    </r>
  </si>
  <si>
    <t xml:space="preserve">顧客／社内規格を満たす</t>
  </si>
  <si>
    <t xml:space="preserve">受入時・新品番立上げ時</t>
  </si>
  <si>
    <t xml:space="preserve">品質</t>
  </si>
  <si>
    <t xml:space="preserve">メーカー校正・保守</t>
  </si>
  <si>
    <t xml:space="preserve">メーカーによる温度・圧力のキャリブレーションと定期保守</t>
  </si>
  <si>
    <t xml:space="preserve">校正記録を保管</t>
  </si>
  <si>
    <r>
      <rPr>
        <sz val="10"/>
        <rFont val="WenQuanYi Zen Hei"/>
        <family val="2"/>
      </rPr>
      <t xml:space="preserve">年</t>
    </r>
    <r>
      <rPr>
        <sz val="10"/>
        <rFont val="Meiryo UI"/>
        <family val="0"/>
        <charset val="1"/>
      </rPr>
      <t xml:space="preserve">1</t>
    </r>
    <r>
      <rPr>
        <sz val="10"/>
        <rFont val="WenQuanYi Zen Hei"/>
        <family val="2"/>
      </rPr>
      <t xml:space="preserve">回（頻度はメーカー推奨を確認）</t>
    </r>
  </si>
  <si>
    <t xml:space="preserve">保全／メーカー</t>
  </si>
  <si>
    <t xml:space="preserve">記録：検証結果は日付・測定値・判定・担当を記録表に残し、異常時はプレス停止→保全連絡→再検証の手順とする。</t>
  </si>
  <si>
    <r>
      <rPr>
        <b val="true"/>
        <sz val="14"/>
        <color rgb="FF1F4E78"/>
        <rFont val="WenQuanYi Zen Hei"/>
        <family val="2"/>
      </rPr>
      <t xml:space="preserve">縮絨機 検討ステップ（</t>
    </r>
    <r>
      <rPr>
        <b val="true"/>
        <sz val="14"/>
        <color rgb="FF1F4E78"/>
        <rFont val="Meiryo UI"/>
        <family val="0"/>
        <charset val="1"/>
      </rPr>
      <t xml:space="preserve">3/25</t>
    </r>
    <r>
      <rPr>
        <b val="true"/>
        <sz val="14"/>
        <color rgb="FF1F4E78"/>
        <rFont val="WenQuanYi Zen Hei"/>
        <family val="2"/>
      </rPr>
      <t xml:space="preserve">要確認事項⑦）</t>
    </r>
  </si>
  <si>
    <r>
      <rPr>
        <i val="true"/>
        <sz val="9"/>
        <color rgb="FF595959"/>
        <rFont val="WenQuanYi Zen Hei"/>
        <family val="2"/>
      </rPr>
      <t xml:space="preserve">結論：</t>
    </r>
    <r>
      <rPr>
        <i val="true"/>
        <sz val="9"/>
        <color rgb="FF595959"/>
        <rFont val="Meiryo UI"/>
        <family val="0"/>
        <charset val="1"/>
      </rPr>
      <t xml:space="preserve">2026</t>
    </r>
    <r>
      <rPr>
        <i val="true"/>
        <sz val="9"/>
        <color rgb="FF595959"/>
        <rFont val="WenQuanYi Zen Hei"/>
        <family val="2"/>
      </rPr>
      <t xml:space="preserve">年度予算には計上しない。</t>
    </r>
    <r>
      <rPr>
        <i val="true"/>
        <sz val="9"/>
        <color rgb="FF595959"/>
        <rFont val="Meiryo UI"/>
        <family val="0"/>
        <charset val="1"/>
      </rPr>
      <t xml:space="preserve">QN</t>
    </r>
    <r>
      <rPr>
        <i val="true"/>
        <sz val="9"/>
        <color rgb="FF595959"/>
        <rFont val="WenQuanYi Zen Hei"/>
        <family val="2"/>
      </rPr>
      <t xml:space="preserve">事例確認と小規模試験の結果で導入／見送りを判断する（試験後に導入判断）。</t>
    </r>
  </si>
  <si>
    <t xml:space="preserve">判断基準</t>
  </si>
  <si>
    <r>
      <rPr>
        <sz val="10"/>
        <rFont val="Meiryo UI"/>
        <family val="0"/>
        <charset val="1"/>
      </rPr>
      <t xml:space="preserve">QN</t>
    </r>
    <r>
      <rPr>
        <sz val="10"/>
        <rFont val="WenQuanYi Zen Hei"/>
        <family val="2"/>
      </rPr>
      <t xml:space="preserve">事例確認</t>
    </r>
  </si>
  <si>
    <r>
      <rPr>
        <sz val="10"/>
        <rFont val="Meiryo UI"/>
        <family val="0"/>
        <charset val="1"/>
      </rPr>
      <t xml:space="preserve">QN</t>
    </r>
    <r>
      <rPr>
        <sz val="10"/>
        <rFont val="WenQuanYi Zen Hei"/>
        <family val="2"/>
      </rPr>
      <t xml:space="preserve">で使用している生地、条件（温度・時間・張力）、改善した品質項目</t>
    </r>
  </si>
  <si>
    <t xml:space="preserve">事例と効果データがあるか</t>
  </si>
  <si>
    <r>
      <rPr>
        <sz val="10"/>
        <rFont val="Meiryo UI"/>
        <family val="0"/>
        <charset val="1"/>
      </rPr>
      <t xml:space="preserve">TIVN</t>
    </r>
    <r>
      <rPr>
        <sz val="10"/>
        <rFont val="WenQuanYi Zen Hei"/>
        <family val="2"/>
      </rPr>
      <t xml:space="preserve">・加技部</t>
    </r>
  </si>
  <si>
    <t xml:space="preserve">対象生地の選定</t>
  </si>
  <si>
    <r>
      <rPr>
        <sz val="10"/>
        <rFont val="Meiryo UI"/>
        <family val="0"/>
        <charset val="1"/>
      </rPr>
      <t xml:space="preserve">APIC</t>
    </r>
    <r>
      <rPr>
        <sz val="10"/>
        <rFont val="WenQuanYi Zen Hei"/>
        <family val="2"/>
      </rPr>
      <t xml:space="preserve">で寸法・風合いが不安定な生地（サプライヤー別）</t>
    </r>
  </si>
  <si>
    <t xml:space="preserve">不良・クレーム実績</t>
  </si>
  <si>
    <r>
      <rPr>
        <sz val="10"/>
        <rFont val="Meiryo UI"/>
        <family val="0"/>
        <charset val="1"/>
      </rPr>
      <t xml:space="preserve">APIC</t>
    </r>
    <r>
      <rPr>
        <sz val="10"/>
        <rFont val="WenQuanYi Zen Hei"/>
        <family val="2"/>
      </rPr>
      <t xml:space="preserve">品質</t>
    </r>
  </si>
  <si>
    <t xml:space="preserve">使用条件</t>
  </si>
  <si>
    <t xml:space="preserve">どの工程で使うか（裁断前の生地安定化など）</t>
  </si>
  <si>
    <r>
      <rPr>
        <sz val="10"/>
        <rFont val="WenQuanYi Zen Hei"/>
        <family val="2"/>
      </rPr>
      <t xml:space="preserve">工程・</t>
    </r>
    <r>
      <rPr>
        <sz val="10"/>
        <rFont val="Meiryo UI"/>
        <family val="0"/>
        <charset val="1"/>
      </rPr>
      <t xml:space="preserve">LT</t>
    </r>
    <r>
      <rPr>
        <sz val="10"/>
        <rFont val="WenQuanYi Zen Hei"/>
        <family val="2"/>
      </rPr>
      <t xml:space="preserve">への影響</t>
    </r>
  </si>
  <si>
    <r>
      <rPr>
        <sz val="10"/>
        <rFont val="Meiryo UI"/>
        <family val="0"/>
        <charset val="1"/>
      </rPr>
      <t xml:space="preserve">APIC</t>
    </r>
    <r>
      <rPr>
        <sz val="10"/>
        <rFont val="WenQuanYi Zen Hei"/>
        <family val="2"/>
      </rPr>
      <t xml:space="preserve">技術</t>
    </r>
  </si>
  <si>
    <t xml:space="preserve">品質改善効果</t>
  </si>
  <si>
    <r>
      <rPr>
        <sz val="10"/>
        <rFont val="WenQuanYi Zen Hei"/>
        <family val="2"/>
      </rPr>
      <t xml:space="preserve">寸法変化率・斜行・外観の </t>
    </r>
    <r>
      <rPr>
        <sz val="10"/>
        <rFont val="Meiryo UI"/>
        <family val="0"/>
        <charset val="1"/>
      </rPr>
      <t xml:space="preserve">Before</t>
    </r>
    <r>
      <rPr>
        <sz val="10"/>
        <rFont val="WenQuanYi Zen Hei"/>
        <family val="2"/>
      </rPr>
      <t xml:space="preserve">／</t>
    </r>
    <r>
      <rPr>
        <sz val="10"/>
        <rFont val="Meiryo UI"/>
        <family val="0"/>
        <charset val="1"/>
      </rPr>
      <t xml:space="preserve">After</t>
    </r>
  </si>
  <si>
    <t xml:space="preserve">改善幅が規格内に収まるか</t>
  </si>
  <si>
    <r>
      <rPr>
        <sz val="10"/>
        <rFont val="Meiryo UI"/>
        <family val="0"/>
        <charset val="1"/>
      </rPr>
      <t xml:space="preserve">APIC</t>
    </r>
    <r>
      <rPr>
        <sz val="10"/>
        <rFont val="WenQuanYi Zen Hei"/>
        <family val="2"/>
      </rPr>
      <t xml:space="preserve">適用性</t>
    </r>
  </si>
  <si>
    <t xml:space="preserve">設置スペース、処理能力、リードタイム影響、外注の可否</t>
  </si>
  <si>
    <t xml:space="preserve">内製の必要性</t>
  </si>
  <si>
    <r>
      <rPr>
        <sz val="10"/>
        <rFont val="Meiryo UI"/>
        <family val="0"/>
        <charset val="1"/>
      </rPr>
      <t xml:space="preserve">APIC</t>
    </r>
    <r>
      <rPr>
        <sz val="10"/>
        <rFont val="WenQuanYi Zen Hei"/>
        <family val="2"/>
      </rPr>
      <t xml:space="preserve">生産管理</t>
    </r>
  </si>
  <si>
    <t xml:space="preserve">小規模試験</t>
  </si>
  <si>
    <r>
      <rPr>
        <sz val="10"/>
        <rFont val="Meiryo UI"/>
        <family val="0"/>
        <charset val="1"/>
      </rPr>
      <t xml:space="preserve">QN</t>
    </r>
    <r>
      <rPr>
        <sz val="10"/>
        <rFont val="WenQuanYi Zen Hei"/>
        <family val="2"/>
      </rPr>
      <t xml:space="preserve">または外部で小ロット試験</t>
    </r>
  </si>
  <si>
    <r>
      <rPr>
        <sz val="10"/>
        <rFont val="Meiryo UI"/>
        <family val="0"/>
        <charset val="1"/>
      </rPr>
      <t xml:space="preserve">4</t>
    </r>
    <r>
      <rPr>
        <sz val="10"/>
        <rFont val="WenQuanYi Zen Hei"/>
        <family val="2"/>
      </rPr>
      <t xml:space="preserve">の基準を満たすか</t>
    </r>
  </si>
  <si>
    <t xml:space="preserve">TIVN</t>
  </si>
  <si>
    <t xml:space="preserve">導入／見送り判断</t>
  </si>
  <si>
    <t xml:space="preserve">効果が数値で確認できた場合のみ次年度以降に予算化</t>
  </si>
  <si>
    <r>
      <rPr>
        <sz val="10"/>
        <rFont val="Meiryo UI"/>
        <family val="0"/>
        <charset val="1"/>
      </rPr>
      <t xml:space="preserve">TIVN</t>
    </r>
    <r>
      <rPr>
        <sz val="10"/>
        <rFont val="WenQuanYi Zen Hei"/>
        <family val="2"/>
      </rPr>
      <t xml:space="preserve">・</t>
    </r>
    <r>
      <rPr>
        <sz val="10"/>
        <rFont val="Meiryo UI"/>
        <family val="0"/>
        <charset val="1"/>
      </rPr>
      <t xml:space="preserve">TIJ</t>
    </r>
  </si>
  <si>
    <r>
      <rPr>
        <i val="true"/>
        <sz val="9"/>
        <color rgb="FF595959"/>
        <rFont val="WenQuanYi Zen Hei"/>
        <family val="2"/>
      </rPr>
      <t xml:space="preserve">経緯：過去に</t>
    </r>
    <r>
      <rPr>
        <i val="true"/>
        <sz val="9"/>
        <color rgb="FF595959"/>
        <rFont val="Meiryo UI"/>
        <family val="0"/>
        <charset val="1"/>
      </rPr>
      <t xml:space="preserve">APIC</t>
    </r>
    <r>
      <rPr>
        <i val="true"/>
        <sz val="9"/>
        <color rgb="FF595959"/>
        <rFont val="WenQuanYi Zen Hei"/>
        <family val="2"/>
      </rPr>
      <t xml:space="preserve">でウールの縮絨テストを実施したが効果は明確でなかった。生地が不安定なサプライヤーが多く、工場側で生地を安定させる手段として検討。</t>
    </r>
  </si>
  <si>
    <r>
      <rPr>
        <b val="true"/>
        <sz val="14"/>
        <color rgb="FF1F4E78"/>
        <rFont val="WenQuanYi Zen Hei"/>
        <family val="2"/>
      </rPr>
      <t xml:space="preserve">外部レンタル費と投資による回避可能額（</t>
    </r>
    <r>
      <rPr>
        <b val="true"/>
        <sz val="14"/>
        <color rgb="FF1F4E78"/>
        <rFont val="Meiryo UI"/>
        <family val="0"/>
        <charset val="1"/>
      </rPr>
      <t xml:space="preserve">3/25</t>
    </r>
    <r>
      <rPr>
        <b val="true"/>
        <sz val="14"/>
        <color rgb="FF1F4E78"/>
        <rFont val="WenQuanYi Zen Hei"/>
        <family val="2"/>
      </rPr>
      <t xml:space="preserve">要確認事項①）</t>
    </r>
  </si>
  <si>
    <r>
      <rPr>
        <i val="true"/>
        <sz val="9"/>
        <color rgb="FF595959"/>
        <rFont val="WenQuanYi Zen Hei"/>
        <family val="2"/>
      </rPr>
      <t xml:space="preserve">投資でレンタルが全てなくなるわけではない。回避率（</t>
    </r>
    <r>
      <rPr>
        <i val="true"/>
        <sz val="9"/>
        <color rgb="FF595959"/>
        <rFont val="Meiryo UI"/>
        <family val="0"/>
        <charset val="1"/>
      </rPr>
      <t xml:space="preserve">G</t>
    </r>
    <r>
      <rPr>
        <i val="true"/>
        <sz val="9"/>
        <color rgb="FF595959"/>
        <rFont val="WenQuanYi Zen Hei"/>
        <family val="2"/>
      </rPr>
      <t xml:space="preserve">列）を機種別に設定し、回避可能な部分のみを効果として計上する。</t>
    </r>
  </si>
  <si>
    <r>
      <rPr>
        <b val="true"/>
        <sz val="10"/>
        <rFont val="Meiryo UI"/>
        <family val="0"/>
        <charset val="1"/>
      </rPr>
      <t xml:space="preserve">2025</t>
    </r>
    <r>
      <rPr>
        <b val="true"/>
        <sz val="10"/>
        <rFont val="WenQuanYi Zen Hei"/>
        <family val="2"/>
      </rPr>
      <t xml:space="preserve">年 レンタル費 総額（</t>
    </r>
    <r>
      <rPr>
        <b val="true"/>
        <sz val="10"/>
        <rFont val="Meiryo UI"/>
        <family val="0"/>
        <charset val="1"/>
      </rPr>
      <t xml:space="preserve">USD</t>
    </r>
    <r>
      <rPr>
        <b val="true"/>
        <sz val="10"/>
        <rFont val="WenQuanYi Zen Hei"/>
        <family val="2"/>
      </rPr>
      <t xml:space="preserve">）</t>
    </r>
  </si>
  <si>
    <r>
      <rPr>
        <i val="true"/>
        <sz val="9"/>
        <color rgb="FF595959"/>
        <rFont val="WenQuanYi Zen Hei"/>
        <family val="2"/>
      </rPr>
      <t xml:space="preserve">出所：</t>
    </r>
    <r>
      <rPr>
        <i val="true"/>
        <sz val="9"/>
        <color rgb="FF595959"/>
        <rFont val="Meiryo UI"/>
        <family val="0"/>
        <charset val="1"/>
      </rPr>
      <t xml:space="preserve">APIC_2025</t>
    </r>
    <r>
      <rPr>
        <i val="true"/>
        <sz val="9"/>
        <color rgb="FF595959"/>
        <rFont val="WenQuanYi Zen Hei"/>
        <family val="2"/>
      </rPr>
      <t xml:space="preserve">年 機械レンタル費用総額</t>
    </r>
    <r>
      <rPr>
        <i val="true"/>
        <sz val="9"/>
        <color rgb="FF595959"/>
        <rFont val="Meiryo UI"/>
        <family val="0"/>
        <charset val="1"/>
      </rPr>
      <t xml:space="preserve">.xlsx</t>
    </r>
  </si>
  <si>
    <t xml:space="preserve">区分・機種</t>
  </si>
  <si>
    <t xml:space="preserve">期間</t>
  </si>
  <si>
    <r>
      <rPr>
        <b val="true"/>
        <sz val="10"/>
        <color rgb="FFFFFFFF"/>
        <rFont val="WenQuanYi Zen Hei"/>
        <family val="2"/>
      </rPr>
      <t xml:space="preserve">金額</t>
    </r>
    <r>
      <rPr>
        <b val="true"/>
        <sz val="10"/>
        <color rgb="FFFFFFFF"/>
        <rFont val="Meiryo UI"/>
        <family val="0"/>
        <charset val="1"/>
      </rPr>
      <t xml:space="preserve">(USD)</t>
    </r>
  </si>
  <si>
    <t xml:space="preserve">対応投資キー</t>
  </si>
  <si>
    <t xml:space="preserve">回避率</t>
  </si>
  <si>
    <r>
      <rPr>
        <b val="true"/>
        <sz val="10"/>
        <color rgb="FFFFFFFF"/>
        <rFont val="WenQuanYi Zen Hei"/>
        <family val="2"/>
      </rPr>
      <t xml:space="preserve">回避可能額</t>
    </r>
    <r>
      <rPr>
        <b val="true"/>
        <sz val="10"/>
        <color rgb="FFFFFFFF"/>
        <rFont val="Meiryo UI"/>
        <family val="0"/>
        <charset val="1"/>
      </rPr>
      <t xml:space="preserve">(USD)</t>
    </r>
  </si>
  <si>
    <t xml:space="preserve">2025</t>
  </si>
  <si>
    <t xml:space="preserve">大型パターンシーマ</t>
  </si>
  <si>
    <r>
      <rPr>
        <sz val="10"/>
        <color rgb="FF0000FF"/>
        <rFont val="Meiryo UI"/>
        <family val="0"/>
        <charset val="1"/>
      </rPr>
      <t xml:space="preserve">PS</t>
    </r>
    <r>
      <rPr>
        <sz val="10"/>
        <color rgb="FF0000FF"/>
        <rFont val="WenQuanYi Zen Hei"/>
        <family val="2"/>
      </rPr>
      <t xml:space="preserve">大</t>
    </r>
  </si>
  <si>
    <r>
      <rPr>
        <sz val="10"/>
        <rFont val="WenQuanYi Zen Hei"/>
        <family val="2"/>
      </rPr>
      <t xml:space="preserve">回避率</t>
    </r>
    <r>
      <rPr>
        <sz val="10"/>
        <rFont val="Meiryo UI"/>
        <family val="0"/>
        <charset val="1"/>
      </rPr>
      <t xml:space="preserve">100%</t>
    </r>
    <r>
      <rPr>
        <sz val="10"/>
        <rFont val="WenQuanYi Zen Hei"/>
        <family val="2"/>
      </rPr>
      <t xml:space="preserve">は『</t>
    </r>
    <r>
      <rPr>
        <sz val="10"/>
        <rFont val="Meiryo UI"/>
        <family val="0"/>
        <charset val="1"/>
      </rPr>
      <t xml:space="preserve">No.5</t>
    </r>
    <r>
      <rPr>
        <sz val="10"/>
        <rFont val="WenQuanYi Zen Hei"/>
        <family val="2"/>
      </rPr>
      <t xml:space="preserve">購入台数で繁忙期需要を賄える』前提（仮）。レンタル台数・期間を確認</t>
    </r>
  </si>
  <si>
    <t xml:space="preserve">その他機種（内訳未確認）</t>
  </si>
  <si>
    <r>
      <rPr>
        <sz val="10"/>
        <rFont val="WenQuanYi Zen Hei"/>
        <family val="2"/>
      </rPr>
      <t xml:space="preserve">内訳確認後に機種別へ分割。原案</t>
    </r>
    <r>
      <rPr>
        <sz val="10"/>
        <rFont val="Meiryo UI"/>
        <family val="0"/>
        <charset val="1"/>
      </rPr>
      <t xml:space="preserve">No.6</t>
    </r>
    <r>
      <rPr>
        <sz val="10"/>
        <rFont val="WenQuanYi Zen Hei"/>
        <family val="2"/>
      </rPr>
      <t xml:space="preserve">の</t>
    </r>
    <r>
      <rPr>
        <sz val="10"/>
        <rFont val="Meiryo UI"/>
        <family val="0"/>
        <charset val="1"/>
      </rPr>
      <t xml:space="preserve">13,440USD/</t>
    </r>
    <r>
      <rPr>
        <sz val="10"/>
        <rFont val="WenQuanYi Zen Hei"/>
        <family val="2"/>
      </rPr>
      <t xml:space="preserve">年はこの金額（最大</t>
    </r>
    <r>
      <rPr>
        <sz val="10"/>
        <rFont val="Meiryo UI"/>
        <family val="0"/>
        <charset val="1"/>
      </rPr>
      <t xml:space="preserve">1,874.21USD</t>
    </r>
    <r>
      <rPr>
        <sz val="10"/>
        <rFont val="WenQuanYi Zen Hei"/>
        <family val="2"/>
      </rPr>
      <t xml:space="preserve">）と整合しない</t>
    </r>
  </si>
  <si>
    <t xml:space="preserve">2024</t>
  </si>
  <si>
    <r>
      <rPr>
        <sz val="10"/>
        <rFont val="WenQuanYi Zen Hei"/>
        <family val="2"/>
      </rPr>
      <t xml:space="preserve">ロックミシン（</t>
    </r>
    <r>
      <rPr>
        <sz val="10"/>
        <rFont val="Meiryo UI"/>
        <family val="0"/>
        <charset val="1"/>
      </rPr>
      <t xml:space="preserve">10</t>
    </r>
    <r>
      <rPr>
        <sz val="10"/>
        <rFont val="WenQuanYi Zen Hei"/>
        <family val="2"/>
      </rPr>
      <t xml:space="preserve">〜</t>
    </r>
    <r>
      <rPr>
        <sz val="10"/>
        <rFont val="Meiryo UI"/>
        <family val="0"/>
        <charset val="1"/>
      </rPr>
      <t xml:space="preserve">12</t>
    </r>
    <r>
      <rPr>
        <sz val="10"/>
        <rFont val="WenQuanYi Zen Hei"/>
        <family val="2"/>
      </rPr>
      <t xml:space="preserve">月、約</t>
    </r>
    <r>
      <rPr>
        <sz val="10"/>
        <rFont val="Meiryo UI"/>
        <family val="0"/>
        <charset val="1"/>
      </rPr>
      <t xml:space="preserve">10</t>
    </r>
    <r>
      <rPr>
        <sz val="10"/>
        <rFont val="WenQuanYi Zen Hei"/>
        <family val="2"/>
      </rPr>
      <t xml:space="preserve">台）</t>
    </r>
  </si>
  <si>
    <r>
      <rPr>
        <sz val="10"/>
        <color rgb="FF0000FF"/>
        <rFont val="Meiryo UI"/>
        <family val="0"/>
        <charset val="1"/>
      </rPr>
      <t xml:space="preserve">3</t>
    </r>
    <r>
      <rPr>
        <sz val="10"/>
        <color rgb="FF0000FF"/>
        <rFont val="WenQuanYi Zen Hei"/>
        <family val="2"/>
      </rPr>
      <t xml:space="preserve">か月</t>
    </r>
  </si>
  <si>
    <t xml:space="preserve">ロック</t>
  </si>
  <si>
    <r>
      <rPr>
        <sz val="10"/>
        <rFont val="WenQuanYi Zen Hei"/>
        <family val="2"/>
      </rPr>
      <t xml:space="preserve">金額は</t>
    </r>
    <r>
      <rPr>
        <sz val="10"/>
        <rFont val="Meiryo UI"/>
        <family val="0"/>
        <charset val="1"/>
      </rPr>
      <t xml:space="preserve">D/N</t>
    </r>
    <r>
      <rPr>
        <sz val="10"/>
        <rFont val="WenQuanYi Zen Hei"/>
        <family val="2"/>
      </rPr>
      <t xml:space="preserve">から入力。回避率は購入後も残る不足（</t>
    </r>
    <r>
      <rPr>
        <sz val="10"/>
        <rFont val="Meiryo UI"/>
        <family val="0"/>
        <charset val="1"/>
      </rPr>
      <t xml:space="preserve">05</t>
    </r>
    <r>
      <rPr>
        <sz val="10"/>
        <rFont val="WenQuanYi Zen Hei"/>
        <family val="2"/>
      </rPr>
      <t xml:space="preserve">）を考慮して設定</t>
    </r>
  </si>
  <si>
    <t xml:space="preserve">その他</t>
  </si>
  <si>
    <t xml:space="preserve">2026</t>
  </si>
  <si>
    <t xml:space="preserve">実績（年初〜）</t>
  </si>
  <si>
    <t xml:space="preserve">年度が混在（直近実績ベース）。同一機種の重複計上に注意</t>
  </si>
  <si>
    <r>
      <rPr>
        <i val="true"/>
        <sz val="9"/>
        <color rgb="FF595959"/>
        <rFont val="WenQuanYi Zen Hei"/>
        <family val="2"/>
      </rPr>
      <t xml:space="preserve">対応投資キー：ロック／</t>
    </r>
    <r>
      <rPr>
        <i val="true"/>
        <sz val="9"/>
        <color rgb="FF595959"/>
        <rFont val="Meiryo UI"/>
        <family val="0"/>
        <charset val="1"/>
      </rPr>
      <t xml:space="preserve">PS</t>
    </r>
    <r>
      <rPr>
        <i val="true"/>
        <sz val="9"/>
        <color rgb="FF595959"/>
        <rFont val="WenQuanYi Zen Hei"/>
        <family val="2"/>
      </rPr>
      <t xml:space="preserve">大／</t>
    </r>
    <r>
      <rPr>
        <i val="true"/>
        <sz val="9"/>
        <color rgb="FF595959"/>
        <rFont val="Meiryo UI"/>
        <family val="0"/>
        <charset val="1"/>
      </rPr>
      <t xml:space="preserve">PS</t>
    </r>
    <r>
      <rPr>
        <i val="true"/>
        <sz val="9"/>
        <color rgb="FF595959"/>
        <rFont val="WenQuanYi Zen Hei"/>
        <family val="2"/>
      </rPr>
      <t xml:space="preserve">中／</t>
    </r>
    <r>
      <rPr>
        <i val="true"/>
        <sz val="9"/>
        <color rgb="FF595959"/>
        <rFont val="Meiryo UI"/>
        <family val="0"/>
        <charset val="1"/>
      </rPr>
      <t xml:space="preserve">DUMA</t>
    </r>
    <r>
      <rPr>
        <i val="true"/>
        <sz val="9"/>
        <color rgb="FF595959"/>
        <rFont val="WenQuanYi Zen Hei"/>
        <family val="2"/>
      </rPr>
      <t xml:space="preserve">／</t>
    </r>
    <r>
      <rPr>
        <i val="true"/>
        <sz val="9"/>
        <color rgb="FF595959"/>
        <rFont val="Meiryo UI"/>
        <family val="0"/>
        <charset val="1"/>
      </rPr>
      <t xml:space="preserve">SpecD</t>
    </r>
    <r>
      <rPr>
        <i val="true"/>
        <sz val="9"/>
        <color rgb="FF595959"/>
        <rFont val="WenQuanYi Zen Hei"/>
        <family val="2"/>
      </rPr>
      <t xml:space="preserve">／温冷／平プレス（</t>
    </r>
    <r>
      <rPr>
        <i val="true"/>
        <sz val="9"/>
        <color rgb="FF595959"/>
        <rFont val="Meiryo UI"/>
        <family val="0"/>
        <charset val="1"/>
      </rPr>
      <t xml:space="preserve">13_</t>
    </r>
    <r>
      <rPr>
        <i val="true"/>
        <sz val="9"/>
        <color rgb="FF595959"/>
        <rFont val="WenQuanYi Zen Hei"/>
        <family val="2"/>
      </rPr>
      <t xml:space="preserve">費用対効果</t>
    </r>
    <r>
      <rPr>
        <i val="true"/>
        <sz val="9"/>
        <color rgb="FF595959"/>
        <rFont val="Meiryo UI"/>
        <family val="0"/>
        <charset val="1"/>
      </rPr>
      <t xml:space="preserve">PL</t>
    </r>
    <r>
      <rPr>
        <i val="true"/>
        <sz val="9"/>
        <color rgb="FF595959"/>
        <rFont val="WenQuanYi Zen Hei"/>
        <family val="2"/>
      </rPr>
      <t xml:space="preserve">が同じキーで集計）。</t>
    </r>
  </si>
  <si>
    <r>
      <rPr>
        <b val="true"/>
        <sz val="11"/>
        <color rgb="FF1F4E78"/>
        <rFont val="WenQuanYi Zen Hei"/>
        <family val="2"/>
      </rPr>
      <t xml:space="preserve">明細（</t>
    </r>
    <r>
      <rPr>
        <b val="true"/>
        <sz val="11"/>
        <color rgb="FF1F4E78"/>
        <rFont val="Meiryo UI"/>
        <family val="0"/>
        <charset val="1"/>
      </rPr>
      <t xml:space="preserve">D/N</t>
    </r>
    <r>
      <rPr>
        <b val="true"/>
        <sz val="11"/>
        <color rgb="FF1F4E78"/>
        <rFont val="WenQuanYi Zen Hei"/>
        <family val="2"/>
      </rPr>
      <t xml:space="preserve">・</t>
    </r>
    <r>
      <rPr>
        <b val="true"/>
        <sz val="11"/>
        <color rgb="FF1F4E78"/>
        <rFont val="Meiryo UI"/>
        <family val="0"/>
        <charset val="1"/>
      </rPr>
      <t xml:space="preserve">Invoice</t>
    </r>
    <r>
      <rPr>
        <b val="true"/>
        <sz val="11"/>
        <color rgb="FF1F4E78"/>
        <rFont val="WenQuanYi Zen Hei"/>
        <family val="2"/>
      </rPr>
      <t xml:space="preserve">単位）</t>
    </r>
  </si>
  <si>
    <t xml:space="preserve">年月</t>
  </si>
  <si>
    <r>
      <rPr>
        <b val="true"/>
        <sz val="10"/>
        <color rgb="FFFFFFFF"/>
        <rFont val="Meiryo UI"/>
        <family val="0"/>
        <charset val="1"/>
      </rPr>
      <t xml:space="preserve">D/N</t>
    </r>
    <r>
      <rPr>
        <b val="true"/>
        <sz val="10"/>
        <color rgb="FFFFFFFF"/>
        <rFont val="WenQuanYi Zen Hei"/>
        <family val="2"/>
      </rPr>
      <t xml:space="preserve">・</t>
    </r>
    <r>
      <rPr>
        <b val="true"/>
        <sz val="10"/>
        <color rgb="FFFFFFFF"/>
        <rFont val="Meiryo UI"/>
        <family val="0"/>
        <charset val="1"/>
      </rPr>
      <t xml:space="preserve">Invoice No.</t>
    </r>
  </si>
  <si>
    <r>
      <rPr>
        <b val="true"/>
        <sz val="10"/>
        <color rgb="FFFFFFFF"/>
        <rFont val="WenQuanYi Zen Hei"/>
        <family val="2"/>
      </rPr>
      <t xml:space="preserve">期間</t>
    </r>
    <r>
      <rPr>
        <b val="true"/>
        <sz val="10"/>
        <color rgb="FFFFFFFF"/>
        <rFont val="Meiryo UI"/>
        <family val="0"/>
        <charset val="1"/>
      </rPr>
      <t xml:space="preserve">(</t>
    </r>
    <r>
      <rPr>
        <b val="true"/>
        <sz val="10"/>
        <color rgb="FFFFFFFF"/>
        <rFont val="WenQuanYi Zen Hei"/>
        <family val="2"/>
      </rPr>
      <t xml:space="preserve">日</t>
    </r>
    <r>
      <rPr>
        <b val="true"/>
        <sz val="10"/>
        <color rgb="FFFFFFFF"/>
        <rFont val="Meiryo UI"/>
        <family val="0"/>
        <charset val="1"/>
      </rPr>
      <t xml:space="preserve">)</t>
    </r>
  </si>
  <si>
    <t xml:space="preserve">機種・型式</t>
  </si>
  <si>
    <t xml:space="preserve">style</t>
  </si>
  <si>
    <t xml:space="preserve">line</t>
  </si>
  <si>
    <t xml:space="preserve">回避可否・理由</t>
  </si>
  <si>
    <r>
      <rPr>
        <b val="true"/>
        <sz val="14"/>
        <color rgb="FF1F4E78"/>
        <rFont val="WenQuanYi Zen Hei"/>
        <family val="2"/>
      </rPr>
      <t xml:space="preserve">費用対効果（改善投資）と当年度</t>
    </r>
    <r>
      <rPr>
        <b val="true"/>
        <sz val="14"/>
        <color rgb="FF1F4E78"/>
        <rFont val="Meiryo UI"/>
        <family val="0"/>
        <charset val="1"/>
      </rPr>
      <t xml:space="preserve">P/L</t>
    </r>
    <r>
      <rPr>
        <b val="true"/>
        <sz val="14"/>
        <color rgb="FF1F4E78"/>
        <rFont val="WenQuanYi Zen Hei"/>
        <family val="2"/>
      </rPr>
      <t xml:space="preserve">影響</t>
    </r>
  </si>
  <si>
    <r>
      <rPr>
        <i val="true"/>
        <sz val="9"/>
        <color rgb="FF595959"/>
        <rFont val="WenQuanYi Zen Hei"/>
        <family val="2"/>
      </rPr>
      <t xml:space="preserve">年間純効果＝レンタル削減＋外注費削減＋省人効果＋品質効果＋電力削減−追加保守・消耗品　／　単純回収年数＝投資額</t>
    </r>
    <r>
      <rPr>
        <i val="true"/>
        <sz val="9"/>
        <color rgb="FF595959"/>
        <rFont val="Meiryo UI"/>
        <family val="0"/>
        <charset val="1"/>
      </rPr>
      <t xml:space="preserve">÷</t>
    </r>
    <r>
      <rPr>
        <i val="true"/>
        <sz val="9"/>
        <color rgb="FF595959"/>
        <rFont val="WenQuanYi Zen Hei"/>
        <family val="2"/>
      </rPr>
      <t xml:space="preserve">年間純効果</t>
    </r>
  </si>
  <si>
    <t xml:space="preserve">投資案件</t>
  </si>
  <si>
    <r>
      <rPr>
        <b val="true"/>
        <sz val="10"/>
        <color rgb="FFFFFFFF"/>
        <rFont val="WenQuanYi Zen Hei"/>
        <family val="2"/>
      </rPr>
      <t xml:space="preserve">投資額</t>
    </r>
    <r>
      <rPr>
        <b val="true"/>
        <sz val="10"/>
        <color rgb="FFFFFFFF"/>
        <rFont val="Meiryo UI"/>
        <family val="0"/>
        <charset val="1"/>
      </rPr>
      <t xml:space="preserve">(USD)</t>
    </r>
  </si>
  <si>
    <t xml:space="preserve">レンタル削減</t>
  </si>
  <si>
    <t xml:space="preserve">外注費削減</t>
  </si>
  <si>
    <t xml:space="preserve">省人効果</t>
  </si>
  <si>
    <t xml:space="preserve">品質効果</t>
  </si>
  <si>
    <t xml:space="preserve">電力削減</t>
  </si>
  <si>
    <t xml:space="preserve">追加保守・消耗品</t>
  </si>
  <si>
    <r>
      <rPr>
        <b val="true"/>
        <sz val="10"/>
        <color rgb="FFFFFFFF"/>
        <rFont val="WenQuanYi Zen Hei"/>
        <family val="2"/>
      </rPr>
      <t xml:space="preserve">年間純効果</t>
    </r>
    <r>
      <rPr>
        <b val="true"/>
        <sz val="10"/>
        <color rgb="FFFFFFFF"/>
        <rFont val="Meiryo UI"/>
        <family val="0"/>
        <charset val="1"/>
      </rPr>
      <t xml:space="preserve">(USD/</t>
    </r>
    <r>
      <rPr>
        <b val="true"/>
        <sz val="10"/>
        <color rgb="FFFFFFFF"/>
        <rFont val="WenQuanYi Zen Hei"/>
        <family val="2"/>
      </rPr>
      <t xml:space="preserve">年</t>
    </r>
    <r>
      <rPr>
        <b val="true"/>
        <sz val="10"/>
        <color rgb="FFFFFFFF"/>
        <rFont val="Meiryo UI"/>
        <family val="0"/>
        <charset val="1"/>
      </rPr>
      <t xml:space="preserve">)</t>
    </r>
  </si>
  <si>
    <t xml:space="preserve">単純回収年数</t>
  </si>
  <si>
    <t xml:space="preserve">評価・備考</t>
  </si>
  <si>
    <r>
      <rPr>
        <sz val="10"/>
        <rFont val="WenQuanYi Zen Hei"/>
        <family val="2"/>
      </rPr>
      <t xml:space="preserve">ロックミシン </t>
    </r>
    <r>
      <rPr>
        <sz val="10"/>
        <rFont val="Meiryo UI"/>
        <family val="0"/>
        <charset val="1"/>
      </rPr>
      <t xml:space="preserve">OL</t>
    </r>
    <r>
      <rPr>
        <sz val="10"/>
        <rFont val="WenQuanYi Zen Hei"/>
        <family val="2"/>
      </rPr>
      <t xml:space="preserve">＋</t>
    </r>
    <r>
      <rPr>
        <sz val="10"/>
        <rFont val="Meiryo UI"/>
        <family val="0"/>
        <charset val="1"/>
      </rPr>
      <t xml:space="preserve">IL</t>
    </r>
  </si>
  <si>
    <t xml:space="preserve">1,2</t>
  </si>
  <si>
    <t xml:space="preserve">主目的は不足解消（生産継続）。電力は副次効果</t>
  </si>
  <si>
    <t xml:space="preserve">パターンシーマ 中型</t>
  </si>
  <si>
    <r>
      <rPr>
        <sz val="10"/>
        <rFont val="WenQuanYi Zen Hei"/>
        <family val="2"/>
      </rPr>
      <t xml:space="preserve">省人は</t>
    </r>
    <r>
      <rPr>
        <sz val="10"/>
        <rFont val="Meiryo UI"/>
        <family val="0"/>
        <charset val="1"/>
      </rPr>
      <t xml:space="preserve">07</t>
    </r>
    <r>
      <rPr>
        <sz val="10"/>
        <rFont val="WenQuanYi Zen Hei"/>
        <family val="2"/>
      </rPr>
      <t xml:space="preserve">の実測入力後に確定</t>
    </r>
  </si>
  <si>
    <t xml:space="preserve">パターンシーマ 大型</t>
  </si>
  <si>
    <r>
      <rPr>
        <sz val="10"/>
        <rFont val="WenQuanYi Zen Hei"/>
        <family val="2"/>
      </rPr>
      <t xml:space="preserve">外注費</t>
    </r>
    <r>
      <rPr>
        <sz val="10"/>
        <rFont val="Meiryo UI"/>
        <family val="0"/>
        <charset val="1"/>
      </rPr>
      <t xml:space="preserve">3,000USD</t>
    </r>
    <r>
      <rPr>
        <sz val="10"/>
        <rFont val="WenQuanYi Zen Hei"/>
        <family val="2"/>
      </rPr>
      <t xml:space="preserve">＝</t>
    </r>
    <r>
      <rPr>
        <sz val="10"/>
        <rFont val="Meiryo UI"/>
        <family val="0"/>
        <charset val="1"/>
      </rPr>
      <t xml:space="preserve">25FW</t>
    </r>
    <r>
      <rPr>
        <sz val="10"/>
        <rFont val="WenQuanYi Zen Hei"/>
        <family val="2"/>
      </rPr>
      <t xml:space="preserve">キルティング外注（原案</t>
    </r>
    <r>
      <rPr>
        <sz val="10"/>
        <rFont val="Meiryo UI"/>
        <family val="0"/>
        <charset val="1"/>
      </rPr>
      <t xml:space="preserve">R8</t>
    </r>
    <r>
      <rPr>
        <sz val="10"/>
        <rFont val="WenQuanYi Zen Hei"/>
        <family val="2"/>
      </rPr>
      <t xml:space="preserve">）。年間額（</t>
    </r>
    <r>
      <rPr>
        <sz val="10"/>
        <rFont val="Meiryo UI"/>
        <family val="0"/>
        <charset val="1"/>
      </rPr>
      <t xml:space="preserve">SS</t>
    </r>
    <r>
      <rPr>
        <sz val="10"/>
        <rFont val="WenQuanYi Zen Hei"/>
        <family val="2"/>
      </rPr>
      <t xml:space="preserve">＋</t>
    </r>
    <r>
      <rPr>
        <sz val="10"/>
        <rFont val="Meiryo UI"/>
        <family val="0"/>
        <charset val="1"/>
      </rPr>
      <t xml:space="preserve">FW</t>
    </r>
    <r>
      <rPr>
        <sz val="10"/>
        <rFont val="WenQuanYi Zen Hei"/>
        <family val="2"/>
      </rPr>
      <t xml:space="preserve">）を確認</t>
    </r>
  </si>
  <si>
    <r>
      <rPr>
        <sz val="10"/>
        <rFont val="WenQuanYi Zen Hei"/>
        <family val="2"/>
      </rPr>
      <t xml:space="preserve">本縫針送りミシン </t>
    </r>
    <r>
      <rPr>
        <sz val="10"/>
        <rFont val="Meiryo UI"/>
        <family val="0"/>
        <charset val="1"/>
      </rPr>
      <t xml:space="preserve">DUMA</t>
    </r>
  </si>
  <si>
    <r>
      <rPr>
        <sz val="10"/>
        <rFont val="WenQuanYi Zen Hei"/>
        <family val="2"/>
      </rPr>
      <t xml:space="preserve">レンタル削減は</t>
    </r>
    <r>
      <rPr>
        <sz val="10"/>
        <rFont val="Meiryo UI"/>
        <family val="0"/>
        <charset val="1"/>
      </rPr>
      <t xml:space="preserve">2025</t>
    </r>
    <r>
      <rPr>
        <sz val="10"/>
        <rFont val="WenQuanYi Zen Hei"/>
        <family val="2"/>
      </rPr>
      <t xml:space="preserve">明細で確認（原案の</t>
    </r>
    <r>
      <rPr>
        <sz val="10"/>
        <rFont val="Meiryo UI"/>
        <family val="0"/>
        <charset val="1"/>
      </rPr>
      <t xml:space="preserve">13,440USD/</t>
    </r>
    <r>
      <rPr>
        <sz val="10"/>
        <rFont val="WenQuanYi Zen Hei"/>
        <family val="2"/>
      </rPr>
      <t xml:space="preserve">年は不整合）</t>
    </r>
  </si>
  <si>
    <r>
      <rPr>
        <sz val="10"/>
        <rFont val="WenQuanYi Zen Hei"/>
        <family val="2"/>
      </rPr>
      <t xml:space="preserve">シームシーリング </t>
    </r>
    <r>
      <rPr>
        <sz val="10"/>
        <rFont val="Meiryo UI"/>
        <family val="0"/>
        <charset val="1"/>
      </rPr>
      <t xml:space="preserve">Spec-D</t>
    </r>
  </si>
  <si>
    <r>
      <rPr>
        <sz val="10"/>
        <rFont val="Meiryo UI"/>
        <family val="0"/>
        <charset val="1"/>
      </rPr>
      <t xml:space="preserve">2</t>
    </r>
    <r>
      <rPr>
        <sz val="10"/>
        <rFont val="WenQuanYi Zen Hei"/>
        <family val="2"/>
      </rPr>
      <t xml:space="preserve">名体制→</t>
    </r>
    <r>
      <rPr>
        <sz val="10"/>
        <rFont val="Meiryo UI"/>
        <family val="0"/>
        <charset val="1"/>
      </rPr>
      <t xml:space="preserve">1</t>
    </r>
    <r>
      <rPr>
        <sz val="10"/>
        <rFont val="WenQuanYi Zen Hei"/>
        <family val="2"/>
      </rPr>
      <t xml:space="preserve">名化の効果</t>
    </r>
  </si>
  <si>
    <r>
      <rPr>
        <sz val="10"/>
        <rFont val="WenQuanYi Zen Hei"/>
        <family val="2"/>
      </rPr>
      <t xml:space="preserve">温冷プレス </t>
    </r>
    <r>
      <rPr>
        <sz val="10"/>
        <rFont val="Meiryo UI"/>
        <family val="0"/>
        <charset val="1"/>
      </rPr>
      <t xml:space="preserve">60×12</t>
    </r>
  </si>
  <si>
    <r>
      <rPr>
        <sz val="10"/>
        <rFont val="WenQuanYi Zen Hei"/>
        <family val="2"/>
      </rPr>
      <t xml:space="preserve">工程秒約半減（原案）→ 削減秒</t>
    </r>
    <r>
      <rPr>
        <sz val="10"/>
        <rFont val="Meiryo UI"/>
        <family val="0"/>
        <charset val="1"/>
      </rPr>
      <t xml:space="preserve">×</t>
    </r>
    <r>
      <rPr>
        <sz val="10"/>
        <rFont val="WenQuanYi Zen Hei"/>
        <family val="2"/>
      </rPr>
      <t xml:space="preserve">数量で省人を算出し入力</t>
    </r>
  </si>
  <si>
    <r>
      <rPr>
        <sz val="10"/>
        <rFont val="WenQuanYi Zen Hei"/>
        <family val="2"/>
      </rPr>
      <t xml:space="preserve">平プレス </t>
    </r>
    <r>
      <rPr>
        <sz val="10"/>
        <rFont val="Meiryo UI"/>
        <family val="0"/>
        <charset val="1"/>
      </rPr>
      <t xml:space="preserve">125×83</t>
    </r>
  </si>
  <si>
    <t xml:space="preserve">プレス回数削減を品番別に計測</t>
  </si>
  <si>
    <t xml:space="preserve">改善投資 合計</t>
  </si>
  <si>
    <r>
      <rPr>
        <i val="true"/>
        <sz val="9"/>
        <color rgb="FF595959"/>
        <rFont val="WenQuanYi Zen Hei"/>
        <family val="2"/>
      </rPr>
      <t xml:space="preserve">省人効果（</t>
    </r>
    <r>
      <rPr>
        <i val="true"/>
        <sz val="9"/>
        <color rgb="FF595959"/>
        <rFont val="Meiryo UI"/>
        <family val="0"/>
        <charset val="1"/>
      </rPr>
      <t xml:space="preserve">G</t>
    </r>
    <r>
      <rPr>
        <i val="true"/>
        <sz val="9"/>
        <color rgb="FF595959"/>
        <rFont val="WenQuanYi Zen Hei"/>
        <family val="2"/>
      </rPr>
      <t xml:space="preserve">列）は前提条件</t>
    </r>
    <r>
      <rPr>
        <i val="true"/>
        <sz val="9"/>
        <color rgb="FF595959"/>
        <rFont val="Meiryo UI"/>
        <family val="0"/>
        <charset val="1"/>
      </rPr>
      <t xml:space="preserve">C14</t>
    </r>
    <r>
      <rPr>
        <i val="true"/>
        <sz val="9"/>
        <color rgb="FF595959"/>
        <rFont val="WenQuanYi Zen Hei"/>
        <family val="2"/>
      </rPr>
      <t xml:space="preserve">（人件費）入力後に金額化。省人は再配置であり、人件費の削減ではなく『追加採用の回避・生産量増』として説明する。</t>
    </r>
  </si>
  <si>
    <r>
      <rPr>
        <b val="true"/>
        <sz val="11"/>
        <color rgb="FF1F4E78"/>
        <rFont val="Meiryo UI"/>
        <family val="0"/>
        <charset val="1"/>
      </rPr>
      <t xml:space="preserve">ROI</t>
    </r>
    <r>
      <rPr>
        <b val="true"/>
        <sz val="11"/>
        <color rgb="FF1F4E78"/>
        <rFont val="WenQuanYi Zen Hei"/>
        <family val="2"/>
      </rPr>
      <t xml:space="preserve">対象外（安全・顧客要求・検証）</t>
    </r>
  </si>
  <si>
    <t xml:space="preserve">判断理由</t>
  </si>
  <si>
    <t xml:space="preserve">スポットプレス</t>
  </si>
  <si>
    <t xml:space="preserve">安全（安全装置なし旧型の全数入替）。金額換算しない</t>
  </si>
  <si>
    <r>
      <rPr>
        <sz val="10"/>
        <rFont val="Meiryo UI"/>
        <family val="0"/>
        <charset val="1"/>
      </rPr>
      <t xml:space="preserve">Nawon</t>
    </r>
    <r>
      <rPr>
        <sz val="10"/>
        <rFont val="WenQuanYi Zen Hei"/>
        <family val="2"/>
      </rPr>
      <t xml:space="preserve">温冷プレス </t>
    </r>
    <r>
      <rPr>
        <sz val="10"/>
        <rFont val="Meiryo UI"/>
        <family val="0"/>
        <charset val="1"/>
      </rPr>
      <t xml:space="preserve">4</t>
    </r>
    <r>
      <rPr>
        <sz val="10"/>
        <rFont val="WenQuanYi Zen Hei"/>
        <family val="2"/>
      </rPr>
      <t xml:space="preserve">種</t>
    </r>
  </si>
  <si>
    <t xml:space="preserve">12-15</t>
  </si>
  <si>
    <r>
      <rPr>
        <sz val="10"/>
        <rFont val="WenQuanYi Zen Hei"/>
        <family val="2"/>
      </rPr>
      <t xml:space="preserve">顧客要求（</t>
    </r>
    <r>
      <rPr>
        <sz val="10"/>
        <rFont val="Meiryo UI"/>
        <family val="0"/>
        <charset val="1"/>
      </rPr>
      <t xml:space="preserve">26FW GW</t>
    </r>
    <r>
      <rPr>
        <sz val="10"/>
        <rFont val="WenQuanYi Zen Hei"/>
        <family val="2"/>
      </rPr>
      <t xml:space="preserve">要請）。受注維持</t>
    </r>
  </si>
  <si>
    <r>
      <rPr>
        <sz val="10"/>
        <rFont val="Meiryo UI"/>
        <family val="0"/>
        <charset val="1"/>
      </rPr>
      <t xml:space="preserve">Spec-IJ</t>
    </r>
    <r>
      <rPr>
        <sz val="10"/>
        <rFont val="WenQuanYi Zen Hei"/>
        <family val="2"/>
      </rPr>
      <t xml:space="preserve">・</t>
    </r>
    <r>
      <rPr>
        <sz val="10"/>
        <rFont val="Meiryo UI"/>
        <family val="0"/>
        <charset val="1"/>
      </rPr>
      <t xml:space="preserve">US-512</t>
    </r>
  </si>
  <si>
    <t xml:space="preserve">8,18</t>
  </si>
  <si>
    <t xml:space="preserve">戦略／検証（少数導入して評価）</t>
  </si>
  <si>
    <r>
      <rPr>
        <b val="true"/>
        <sz val="11"/>
        <color rgb="FF1F4E78"/>
        <rFont val="WenQuanYi Zen Hei"/>
        <family val="2"/>
      </rPr>
      <t xml:space="preserve">当年度</t>
    </r>
    <r>
      <rPr>
        <b val="true"/>
        <sz val="11"/>
        <color rgb="FF1F4E78"/>
        <rFont val="Meiryo UI"/>
        <family val="0"/>
        <charset val="1"/>
      </rPr>
      <t xml:space="preserve">P/L</t>
    </r>
    <r>
      <rPr>
        <b val="true"/>
        <sz val="11"/>
        <color rgb="FF1F4E78"/>
        <rFont val="WenQuanYi Zen Hei"/>
        <family val="2"/>
      </rPr>
      <t xml:space="preserve">影響（年額・円）</t>
    </r>
  </si>
  <si>
    <r>
      <rPr>
        <i val="true"/>
        <sz val="9"/>
        <color rgb="FF595959"/>
        <rFont val="WenQuanYi Zen Hei"/>
        <family val="2"/>
      </rPr>
      <t xml:space="preserve">当年度</t>
    </r>
    <r>
      <rPr>
        <i val="true"/>
        <sz val="9"/>
        <color rgb="FF595959"/>
        <rFont val="Meiryo UI"/>
        <family val="0"/>
        <charset val="1"/>
      </rPr>
      <t xml:space="preserve">P/L</t>
    </r>
    <r>
      <rPr>
        <i val="true"/>
        <sz val="9"/>
        <color rgb="FF595959"/>
        <rFont val="WenQuanYi Zen Hei"/>
        <family val="2"/>
      </rPr>
      <t xml:space="preserve">影響＝新規設備年間償却−既存設備償却減少額−年間削減効果　（＋＝費用増 → 安全・顧客要求・生産継続の必要性で説明／−＝</t>
    </r>
    <r>
      <rPr>
        <i val="true"/>
        <sz val="9"/>
        <color rgb="FF595959"/>
        <rFont val="Meiryo UI"/>
        <family val="0"/>
        <charset val="1"/>
      </rPr>
      <t xml:space="preserve">P/L</t>
    </r>
    <r>
      <rPr>
        <i val="true"/>
        <sz val="9"/>
        <color rgb="FF595959"/>
        <rFont val="WenQuanYi Zen Hei"/>
        <family val="2"/>
      </rPr>
      <t xml:space="preserve">改善）</t>
    </r>
  </si>
  <si>
    <r>
      <rPr>
        <b val="true"/>
        <sz val="10"/>
        <color rgb="FFFFFFFF"/>
        <rFont val="WenQuanYi Zen Hei"/>
        <family val="2"/>
      </rPr>
      <t xml:space="preserve">ケース</t>
    </r>
    <r>
      <rPr>
        <b val="true"/>
        <sz val="10"/>
        <color rgb="FFFFFFFF"/>
        <rFont val="Meiryo UI"/>
        <family val="0"/>
        <charset val="1"/>
      </rPr>
      <t xml:space="preserve">A</t>
    </r>
  </si>
  <si>
    <r>
      <rPr>
        <b val="true"/>
        <sz val="10"/>
        <color rgb="FFFFFFFF"/>
        <rFont val="WenQuanYi Zen Hei"/>
        <family val="2"/>
      </rPr>
      <t xml:space="preserve">ケース</t>
    </r>
    <r>
      <rPr>
        <b val="true"/>
        <sz val="10"/>
        <color rgb="FFFFFFFF"/>
        <rFont val="Meiryo UI"/>
        <family val="0"/>
        <charset val="1"/>
      </rPr>
      <t xml:space="preserve">B</t>
    </r>
  </si>
  <si>
    <r>
      <rPr>
        <sz val="10"/>
        <rFont val="WenQuanYi Zen Hei"/>
        <family val="2"/>
      </rPr>
      <t xml:space="preserve">調整案 投資総額（</t>
    </r>
    <r>
      <rPr>
        <sz val="10"/>
        <rFont val="Meiryo UI"/>
        <family val="0"/>
        <charset val="1"/>
      </rPr>
      <t xml:space="preserve">USD</t>
    </r>
    <r>
      <rPr>
        <sz val="10"/>
        <rFont val="WenQuanYi Zen Hei"/>
        <family val="2"/>
      </rPr>
      <t xml:space="preserve">）</t>
    </r>
  </si>
  <si>
    <r>
      <rPr>
        <sz val="10"/>
        <rFont val="WenQuanYi Zen Hei"/>
        <family val="2"/>
      </rPr>
      <t xml:space="preserve">うち</t>
    </r>
    <r>
      <rPr>
        <sz val="10"/>
        <rFont val="Meiryo UI"/>
        <family val="0"/>
        <charset val="1"/>
      </rPr>
      <t xml:space="preserve">TI</t>
    </r>
    <r>
      <rPr>
        <sz val="10"/>
        <rFont val="WenQuanYi Zen Hei"/>
        <family val="2"/>
      </rPr>
      <t xml:space="preserve">償却対象（</t>
    </r>
    <r>
      <rPr>
        <sz val="10"/>
        <rFont val="Meiryo UI"/>
        <family val="0"/>
        <charset val="1"/>
      </rPr>
      <t xml:space="preserve">USD</t>
    </r>
    <r>
      <rPr>
        <sz val="10"/>
        <rFont val="WenQuanYi Zen Hei"/>
        <family val="2"/>
      </rPr>
      <t xml:space="preserve">）</t>
    </r>
  </si>
  <si>
    <r>
      <rPr>
        <sz val="10"/>
        <rFont val="Meiryo UI"/>
        <family val="0"/>
        <charset val="1"/>
      </rPr>
      <t xml:space="preserve">A</t>
    </r>
    <r>
      <rPr>
        <sz val="10"/>
        <rFont val="WenQuanYi Zen Hei"/>
        <family val="2"/>
      </rPr>
      <t xml:space="preserve">：</t>
    </r>
    <r>
      <rPr>
        <sz val="10"/>
        <rFont val="Meiryo UI"/>
        <family val="0"/>
        <charset val="1"/>
      </rPr>
      <t xml:space="preserve">APIC</t>
    </r>
    <r>
      <rPr>
        <sz val="10"/>
        <rFont val="WenQuanYi Zen Hei"/>
        <family val="2"/>
      </rPr>
      <t xml:space="preserve">負担分も</t>
    </r>
    <r>
      <rPr>
        <sz val="10"/>
        <rFont val="Meiryo UI"/>
        <family val="0"/>
        <charset val="1"/>
      </rPr>
      <t xml:space="preserve">TI</t>
    </r>
    <r>
      <rPr>
        <sz val="10"/>
        <rFont val="WenQuanYi Zen Hei"/>
        <family val="2"/>
      </rPr>
      <t xml:space="preserve">資産として償却（保守的）／</t>
    </r>
    <r>
      <rPr>
        <sz val="10"/>
        <rFont val="Meiryo UI"/>
        <family val="0"/>
        <charset val="1"/>
      </rPr>
      <t xml:space="preserve">B</t>
    </r>
    <r>
      <rPr>
        <sz val="10"/>
        <rFont val="WenQuanYi Zen Hei"/>
        <family val="2"/>
      </rPr>
      <t xml:space="preserve">：</t>
    </r>
    <r>
      <rPr>
        <sz val="10"/>
        <rFont val="Meiryo UI"/>
        <family val="0"/>
        <charset val="1"/>
      </rPr>
      <t xml:space="preserve">APIC</t>
    </r>
    <r>
      <rPr>
        <sz val="10"/>
        <rFont val="WenQuanYi Zen Hei"/>
        <family val="2"/>
      </rPr>
      <t xml:space="preserve">負担</t>
    </r>
    <r>
      <rPr>
        <sz val="10"/>
        <rFont val="Meiryo UI"/>
        <family val="0"/>
        <charset val="1"/>
      </rPr>
      <t xml:space="preserve">50,000USD</t>
    </r>
    <r>
      <rPr>
        <sz val="10"/>
        <rFont val="WenQuanYi Zen Hei"/>
        <family val="2"/>
      </rPr>
      <t xml:space="preserve">を</t>
    </r>
    <r>
      <rPr>
        <sz val="10"/>
        <rFont val="Meiryo UI"/>
        <family val="0"/>
        <charset val="1"/>
      </rPr>
      <t xml:space="preserve">TI</t>
    </r>
    <r>
      <rPr>
        <sz val="10"/>
        <rFont val="WenQuanYi Zen Hei"/>
        <family val="2"/>
      </rPr>
      <t xml:space="preserve">償却対象から除外。資産保有者・償却処理を確認するまで</t>
    </r>
    <r>
      <rPr>
        <sz val="10"/>
        <rFont val="Meiryo UI"/>
        <family val="0"/>
        <charset val="1"/>
      </rPr>
      <t xml:space="preserve">A</t>
    </r>
    <r>
      <rPr>
        <sz val="10"/>
        <rFont val="WenQuanYi Zen Hei"/>
        <family val="2"/>
      </rPr>
      <t xml:space="preserve">を基本とする</t>
    </r>
  </si>
  <si>
    <t xml:space="preserve">新規設備 年間償却（円）</t>
  </si>
  <si>
    <t xml:space="preserve">定額・償却年数は前提条件</t>
  </si>
  <si>
    <t xml:space="preserve">既存設備 償却減少額（円）</t>
  </si>
  <si>
    <r>
      <rPr>
        <sz val="10"/>
        <rFont val="WenQuanYi Zen Hei"/>
        <family val="2"/>
      </rPr>
      <t xml:space="preserve">入替で除却する既存機の年間償却。ロック旧機・旧型スポットプレスは償却済が多い（例：原案</t>
    </r>
    <r>
      <rPr>
        <sz val="10"/>
        <rFont val="Meiryo UI"/>
        <family val="0"/>
        <charset val="1"/>
      </rPr>
      <t xml:space="preserve">V4</t>
    </r>
    <r>
      <rPr>
        <sz val="10"/>
        <rFont val="WenQuanYi Zen Hei"/>
        <family val="2"/>
      </rPr>
      <t xml:space="preserve">＝</t>
    </r>
    <r>
      <rPr>
        <sz val="10"/>
        <rFont val="Meiryo UI"/>
        <family val="0"/>
        <charset val="1"/>
      </rPr>
      <t xml:space="preserve">W4</t>
    </r>
    <r>
      <rPr>
        <sz val="10"/>
        <rFont val="WenQuanYi Zen Hei"/>
        <family val="2"/>
      </rPr>
      <t xml:space="preserve">）→ </t>
    </r>
    <r>
      <rPr>
        <sz val="10"/>
        <rFont val="Meiryo UI"/>
        <family val="0"/>
        <charset val="1"/>
      </rPr>
      <t xml:space="preserve">0</t>
    </r>
    <r>
      <rPr>
        <sz val="10"/>
        <rFont val="WenQuanYi Zen Hei"/>
        <family val="2"/>
      </rPr>
      <t xml:space="preserve">なら空欄</t>
    </r>
  </si>
  <si>
    <t xml:space="preserve">年間削減効果（円）</t>
  </si>
  <si>
    <t xml:space="preserve">改善投資の年間純効果（上表）</t>
  </si>
  <si>
    <r>
      <rPr>
        <b val="true"/>
        <sz val="10"/>
        <rFont val="WenQuanYi Zen Hei"/>
        <family val="2"/>
      </rPr>
      <t xml:space="preserve">当年度</t>
    </r>
    <r>
      <rPr>
        <b val="true"/>
        <sz val="10"/>
        <rFont val="Meiryo UI"/>
        <family val="0"/>
        <charset val="1"/>
      </rPr>
      <t xml:space="preserve">P/L</t>
    </r>
    <r>
      <rPr>
        <b val="true"/>
        <sz val="10"/>
        <rFont val="WenQuanYi Zen Hei"/>
        <family val="2"/>
      </rPr>
      <t xml:space="preserve">影響（円）</t>
    </r>
  </si>
  <si>
    <r>
      <rPr>
        <b val="true"/>
        <sz val="14"/>
        <color rgb="FF1F4E78"/>
        <rFont val="WenQuanYi Zen Hei"/>
        <family val="2"/>
      </rPr>
      <t xml:space="preserve">原案（</t>
    </r>
    <r>
      <rPr>
        <b val="true"/>
        <sz val="14"/>
        <color rgb="FF1F4E78"/>
        <rFont val="Meiryo UI"/>
        <family val="0"/>
        <charset val="1"/>
      </rPr>
      <t xml:space="preserve">20260403</t>
    </r>
    <r>
      <rPr>
        <b val="true"/>
        <sz val="14"/>
        <color rgb="FF1F4E78"/>
        <rFont val="WenQuanYi Zen Hei"/>
        <family val="2"/>
      </rPr>
      <t xml:space="preserve">版）の整合性チェック ― 提出前の修正候補</t>
    </r>
  </si>
  <si>
    <r>
      <rPr>
        <i val="true"/>
        <sz val="9"/>
        <color rgb="FF595959"/>
        <rFont val="Meiryo UI"/>
        <family val="0"/>
        <charset val="1"/>
      </rPr>
      <t xml:space="preserve">TIJ</t>
    </r>
    <r>
      <rPr>
        <i val="true"/>
        <sz val="9"/>
        <color rgb="FF595959"/>
        <rFont val="WenQuanYi Zen Hei"/>
        <family val="2"/>
      </rPr>
      <t xml:space="preserve">から指摘される前に修正しておくべき箇所。原案ファイル『</t>
    </r>
    <r>
      <rPr>
        <i val="true"/>
        <sz val="9"/>
        <color rgb="FF595959"/>
        <rFont val="Meiryo UI"/>
        <family val="0"/>
        <charset val="1"/>
      </rPr>
      <t xml:space="preserve">2026</t>
    </r>
    <r>
      <rPr>
        <i val="true"/>
        <sz val="9"/>
        <color rgb="FF595959"/>
        <rFont val="WenQuanYi Zen Hei"/>
        <family val="2"/>
      </rPr>
      <t xml:space="preserve">年度 設備投資案』シートのセル番地で記載。</t>
    </r>
  </si>
  <si>
    <t xml:space="preserve">箇所</t>
  </si>
  <si>
    <t xml:space="preserve">影響</t>
  </si>
  <si>
    <t xml:space="preserve">対応案</t>
  </si>
  <si>
    <r>
      <rPr>
        <sz val="10"/>
        <rFont val="Meiryo UI"/>
        <family val="0"/>
        <charset val="1"/>
      </rPr>
      <t xml:space="preserve">R9</t>
    </r>
    <r>
      <rPr>
        <sz val="10"/>
        <rFont val="WenQuanYi Zen Hei"/>
        <family val="2"/>
      </rPr>
      <t xml:space="preserve">（</t>
    </r>
    <r>
      <rPr>
        <sz val="10"/>
        <rFont val="Meiryo UI"/>
        <family val="0"/>
        <charset val="1"/>
      </rPr>
      <t xml:space="preserve">No.6 DUMA</t>
    </r>
    <r>
      <rPr>
        <sz val="10"/>
        <rFont val="WenQuanYi Zen Hei"/>
        <family val="2"/>
      </rPr>
      <t xml:space="preserve">）</t>
    </r>
  </si>
  <si>
    <r>
      <rPr>
        <sz val="10"/>
        <rFont val="WenQuanYi Zen Hei"/>
        <family val="2"/>
      </rPr>
      <t xml:space="preserve">年間レンタル費削減額 </t>
    </r>
    <r>
      <rPr>
        <sz val="10"/>
        <rFont val="Meiryo UI"/>
        <family val="0"/>
        <charset val="1"/>
      </rPr>
      <t xml:space="preserve">112USD×12</t>
    </r>
    <r>
      <rPr>
        <sz val="10"/>
        <rFont val="WenQuanYi Zen Hei"/>
        <family val="2"/>
      </rPr>
      <t xml:space="preserve">か月</t>
    </r>
    <r>
      <rPr>
        <sz val="10"/>
        <rFont val="Meiryo UI"/>
        <family val="0"/>
        <charset val="1"/>
      </rPr>
      <t xml:space="preserve">×10</t>
    </r>
    <r>
      <rPr>
        <sz val="10"/>
        <rFont val="WenQuanYi Zen Hei"/>
        <family val="2"/>
      </rPr>
      <t xml:space="preserve">台＝</t>
    </r>
    <r>
      <rPr>
        <sz val="10"/>
        <rFont val="Meiryo UI"/>
        <family val="0"/>
        <charset val="1"/>
      </rPr>
      <t xml:space="preserve">13,440USD/</t>
    </r>
    <r>
      <rPr>
        <sz val="10"/>
        <rFont val="WenQuanYi Zen Hei"/>
        <family val="2"/>
      </rPr>
      <t xml:space="preserve">年、回収</t>
    </r>
    <r>
      <rPr>
        <sz val="10"/>
        <rFont val="Meiryo UI"/>
        <family val="0"/>
        <charset val="1"/>
      </rPr>
      <t xml:space="preserve">0.7</t>
    </r>
    <r>
      <rPr>
        <sz val="10"/>
        <rFont val="WenQuanYi Zen Hei"/>
        <family val="2"/>
      </rPr>
      <t xml:space="preserve">年と記載</t>
    </r>
  </si>
  <si>
    <r>
      <rPr>
        <sz val="10"/>
        <rFont val="Meiryo UI"/>
        <family val="0"/>
        <charset val="1"/>
      </rPr>
      <t xml:space="preserve">2025</t>
    </r>
    <r>
      <rPr>
        <sz val="10"/>
        <rFont val="WenQuanYi Zen Hei"/>
        <family val="2"/>
      </rPr>
      <t xml:space="preserve">年のレンタル費総額は</t>
    </r>
    <r>
      <rPr>
        <sz val="10"/>
        <rFont val="Meiryo UI"/>
        <family val="0"/>
        <charset val="1"/>
      </rPr>
      <t xml:space="preserve">4,890.75USD</t>
    </r>
    <r>
      <rPr>
        <sz val="10"/>
        <rFont val="WenQuanYi Zen Hei"/>
        <family val="2"/>
      </rPr>
      <t xml:space="preserve">（大型</t>
    </r>
    <r>
      <rPr>
        <sz val="10"/>
        <rFont val="Meiryo UI"/>
        <family val="0"/>
        <charset val="1"/>
      </rPr>
      <t xml:space="preserve">PS</t>
    </r>
    <r>
      <rPr>
        <sz val="10"/>
        <rFont val="WenQuanYi Zen Hei"/>
        <family val="2"/>
      </rPr>
      <t xml:space="preserve">を除くと</t>
    </r>
    <r>
      <rPr>
        <sz val="10"/>
        <rFont val="Meiryo UI"/>
        <family val="0"/>
        <charset val="1"/>
      </rPr>
      <t xml:space="preserve">1,874.21USD</t>
    </r>
    <r>
      <rPr>
        <sz val="10"/>
        <rFont val="WenQuanYi Zen Hei"/>
        <family val="2"/>
      </rPr>
      <t xml:space="preserve">）で、記載の削減額は実績と整合しない。数値根拠の信頼性が問われる</t>
    </r>
  </si>
  <si>
    <r>
      <rPr>
        <sz val="10"/>
        <rFont val="Meiryo UI"/>
        <family val="0"/>
        <charset val="1"/>
      </rPr>
      <t xml:space="preserve">2025</t>
    </r>
    <r>
      <rPr>
        <sz val="10"/>
        <rFont val="WenQuanYi Zen Hei"/>
        <family val="2"/>
      </rPr>
      <t xml:space="preserve">明細の針送りミシン分に置き換える。または『レンタル単価</t>
    </r>
    <r>
      <rPr>
        <sz val="10"/>
        <rFont val="Meiryo UI"/>
        <family val="0"/>
        <charset val="1"/>
      </rPr>
      <t xml:space="preserve">112USD/</t>
    </r>
    <r>
      <rPr>
        <sz val="10"/>
        <rFont val="WenQuanYi Zen Hei"/>
        <family val="2"/>
      </rPr>
      <t xml:space="preserve">月・台』を前提とした想定値と明記する</t>
    </r>
  </si>
  <si>
    <r>
      <rPr>
        <sz val="10"/>
        <rFont val="Meiryo UI"/>
        <family val="0"/>
        <charset val="1"/>
      </rPr>
      <t xml:space="preserve">R4</t>
    </r>
    <r>
      <rPr>
        <sz val="10"/>
        <rFont val="WenQuanYi Zen Hei"/>
        <family val="2"/>
      </rPr>
      <t xml:space="preserve">（</t>
    </r>
    <r>
      <rPr>
        <sz val="10"/>
        <rFont val="Meiryo UI"/>
        <family val="0"/>
        <charset val="1"/>
      </rPr>
      <t xml:space="preserve">No.1</t>
    </r>
    <r>
      <rPr>
        <sz val="10"/>
        <rFont val="WenQuanYi Zen Hei"/>
        <family val="2"/>
      </rPr>
      <t xml:space="preserve">）</t>
    </r>
  </si>
  <si>
    <r>
      <rPr>
        <sz val="10"/>
        <rFont val="WenQuanYi Zen Hei"/>
        <family val="2"/>
      </rPr>
      <t xml:space="preserve">『</t>
    </r>
    <r>
      <rPr>
        <sz val="10"/>
        <rFont val="Meiryo UI"/>
        <family val="0"/>
        <charset val="1"/>
      </rPr>
      <t xml:space="preserve">1</t>
    </r>
    <r>
      <rPr>
        <sz val="10"/>
        <rFont val="WenQuanYi Zen Hei"/>
        <family val="2"/>
      </rPr>
      <t xml:space="preserve">ラインあたり平均</t>
    </r>
    <r>
      <rPr>
        <sz val="10"/>
        <rFont val="Meiryo UI"/>
        <family val="0"/>
        <charset val="1"/>
      </rPr>
      <t xml:space="preserve">4</t>
    </r>
    <r>
      <rPr>
        <sz val="10"/>
        <rFont val="WenQuanYi Zen Hei"/>
        <family val="2"/>
      </rPr>
      <t xml:space="preserve">台稼働』と記載</t>
    </r>
  </si>
  <si>
    <r>
      <rPr>
        <sz val="10"/>
        <rFont val="Meiryo UI"/>
        <family val="0"/>
        <charset val="1"/>
      </rPr>
      <t xml:space="preserve">31</t>
    </r>
    <r>
      <rPr>
        <sz val="10"/>
        <rFont val="WenQuanYi Zen Hei"/>
        <family val="2"/>
      </rPr>
      <t xml:space="preserve">ライン</t>
    </r>
    <r>
      <rPr>
        <sz val="10"/>
        <rFont val="Meiryo UI"/>
        <family val="0"/>
        <charset val="1"/>
      </rPr>
      <t xml:space="preserve">×4</t>
    </r>
    <r>
      <rPr>
        <sz val="10"/>
        <rFont val="WenQuanYi Zen Hei"/>
        <family val="2"/>
      </rPr>
      <t xml:space="preserve">台＝</t>
    </r>
    <r>
      <rPr>
        <sz val="10"/>
        <rFont val="Meiryo UI"/>
        <family val="0"/>
        <charset val="1"/>
      </rPr>
      <t xml:space="preserve">124</t>
    </r>
    <r>
      <rPr>
        <sz val="10"/>
        <rFont val="WenQuanYi Zen Hei"/>
        <family val="2"/>
      </rPr>
      <t xml:space="preserve">台となり必要台数が過大に見える</t>
    </r>
  </si>
  <si>
    <r>
      <rPr>
        <sz val="10"/>
        <rFont val="WenQuanYi Zen Hei"/>
        <family val="2"/>
      </rPr>
      <t xml:space="preserve">製品構成（</t>
    </r>
    <r>
      <rPr>
        <sz val="10"/>
        <rFont val="Meiryo UI"/>
        <family val="0"/>
        <charset val="1"/>
      </rPr>
      <t xml:space="preserve">80%×3</t>
    </r>
    <r>
      <rPr>
        <sz val="10"/>
        <rFont val="WenQuanYi Zen Hei"/>
        <family val="2"/>
      </rPr>
      <t xml:space="preserve">台＋</t>
    </r>
    <r>
      <rPr>
        <sz val="10"/>
        <rFont val="Meiryo UI"/>
        <family val="0"/>
        <charset val="1"/>
      </rPr>
      <t xml:space="preserve">20%×4</t>
    </r>
    <r>
      <rPr>
        <sz val="10"/>
        <rFont val="WenQuanYi Zen Hei"/>
        <family val="2"/>
      </rPr>
      <t xml:space="preserve">台）＝平均</t>
    </r>
    <r>
      <rPr>
        <sz val="10"/>
        <rFont val="Meiryo UI"/>
        <family val="0"/>
        <charset val="1"/>
      </rPr>
      <t xml:space="preserve">3.2</t>
    </r>
    <r>
      <rPr>
        <sz val="10"/>
        <rFont val="WenQuanYi Zen Hei"/>
        <family val="2"/>
      </rPr>
      <t xml:space="preserve">台、通常</t>
    </r>
    <r>
      <rPr>
        <sz val="10"/>
        <rFont val="Meiryo UI"/>
        <family val="0"/>
        <charset val="1"/>
      </rPr>
      <t xml:space="preserve">100</t>
    </r>
    <r>
      <rPr>
        <sz val="10"/>
        <rFont val="WenQuanYi Zen Hei"/>
        <family val="2"/>
      </rPr>
      <t xml:space="preserve">台／ピーク</t>
    </r>
    <r>
      <rPr>
        <sz val="10"/>
        <rFont val="Meiryo UI"/>
        <family val="0"/>
        <charset val="1"/>
      </rPr>
      <t xml:space="preserve">112</t>
    </r>
    <r>
      <rPr>
        <sz val="10"/>
        <rFont val="WenQuanYi Zen Hei"/>
        <family val="2"/>
      </rPr>
      <t xml:space="preserve">台に統一（</t>
    </r>
    <r>
      <rPr>
        <sz val="10"/>
        <rFont val="Meiryo UI"/>
        <family val="0"/>
        <charset val="1"/>
      </rPr>
      <t xml:space="preserve">05</t>
    </r>
    <r>
      <rPr>
        <sz val="10"/>
        <rFont val="WenQuanYi Zen Hei"/>
        <family val="2"/>
      </rPr>
      <t xml:space="preserve">）</t>
    </r>
  </si>
  <si>
    <r>
      <rPr>
        <sz val="10"/>
        <rFont val="Meiryo UI"/>
        <family val="0"/>
        <charset val="1"/>
      </rPr>
      <t xml:space="preserve">R4</t>
    </r>
    <r>
      <rPr>
        <sz val="10"/>
        <rFont val="WenQuanYi Zen Hei"/>
        <family val="2"/>
      </rPr>
      <t xml:space="preserve">・</t>
    </r>
    <r>
      <rPr>
        <sz val="10"/>
        <rFont val="Meiryo UI"/>
        <family val="0"/>
        <charset val="1"/>
      </rPr>
      <t xml:space="preserve">S4</t>
    </r>
    <r>
      <rPr>
        <sz val="10"/>
        <rFont val="WenQuanYi Zen Hei"/>
        <family val="2"/>
      </rPr>
      <t xml:space="preserve">（</t>
    </r>
    <r>
      <rPr>
        <sz val="10"/>
        <rFont val="Meiryo UI"/>
        <family val="0"/>
        <charset val="1"/>
      </rPr>
      <t xml:space="preserve">No.1</t>
    </r>
    <r>
      <rPr>
        <sz val="10"/>
        <rFont val="WenQuanYi Zen Hei"/>
        <family val="2"/>
      </rPr>
      <t xml:space="preserve">）</t>
    </r>
  </si>
  <si>
    <r>
      <rPr>
        <sz val="10"/>
        <rFont val="WenQuanYi Zen Hei"/>
        <family val="2"/>
      </rPr>
      <t xml:space="preserve">『</t>
    </r>
    <r>
      <rPr>
        <sz val="10"/>
        <rFont val="Meiryo UI"/>
        <family val="0"/>
        <charset val="1"/>
      </rPr>
      <t xml:space="preserve">C</t>
    </r>
    <r>
      <rPr>
        <sz val="10"/>
        <rFont val="WenQuanYi Zen Hei"/>
        <family val="2"/>
      </rPr>
      <t xml:space="preserve">判定機種が</t>
    </r>
    <r>
      <rPr>
        <sz val="10"/>
        <rFont val="Meiryo UI"/>
        <family val="0"/>
        <charset val="1"/>
      </rPr>
      <t xml:space="preserve">4</t>
    </r>
    <r>
      <rPr>
        <sz val="10"/>
        <rFont val="WenQuanYi Zen Hei"/>
        <family val="2"/>
      </rPr>
      <t xml:space="preserve">台』</t>
    </r>
  </si>
  <si>
    <r>
      <rPr>
        <sz val="10"/>
        <rFont val="WenQuanYi Zen Hei"/>
        <family val="2"/>
      </rPr>
      <t xml:space="preserve">新ロジック（老朽化重大故障</t>
    </r>
    <r>
      <rPr>
        <sz val="10"/>
        <rFont val="Meiryo UI"/>
        <family val="0"/>
        <charset val="1"/>
      </rPr>
      <t xml:space="preserve">4</t>
    </r>
    <r>
      <rPr>
        <sz val="10"/>
        <rFont val="WenQuanYi Zen Hei"/>
        <family val="2"/>
      </rPr>
      <t xml:space="preserve">台・修理復旧不可・実稼働対象外）と表現が異なる</t>
    </r>
  </si>
  <si>
    <r>
      <rPr>
        <sz val="10"/>
        <rFont val="WenQuanYi Zen Hei"/>
        <family val="2"/>
      </rPr>
      <t xml:space="preserve">『修理復旧不可</t>
    </r>
    <r>
      <rPr>
        <sz val="10"/>
        <rFont val="Meiryo UI"/>
        <family val="0"/>
        <charset val="1"/>
      </rPr>
      <t xml:space="preserve">4</t>
    </r>
    <r>
      <rPr>
        <sz val="10"/>
        <rFont val="WenQuanYi Zen Hei"/>
        <family val="2"/>
      </rPr>
      <t xml:space="preserve">台』に統一</t>
    </r>
  </si>
  <si>
    <r>
      <rPr>
        <sz val="10"/>
        <rFont val="Meiryo UI"/>
        <family val="0"/>
        <charset val="1"/>
      </rPr>
      <t xml:space="preserve">R5</t>
    </r>
    <r>
      <rPr>
        <sz val="10"/>
        <rFont val="WenQuanYi Zen Hei"/>
        <family val="2"/>
      </rPr>
      <t xml:space="preserve">・</t>
    </r>
    <r>
      <rPr>
        <sz val="10"/>
        <rFont val="Meiryo UI"/>
        <family val="0"/>
        <charset val="1"/>
      </rPr>
      <t xml:space="preserve">S5</t>
    </r>
    <r>
      <rPr>
        <sz val="10"/>
        <rFont val="WenQuanYi Zen Hei"/>
        <family val="2"/>
      </rPr>
      <t xml:space="preserve">（</t>
    </r>
    <r>
      <rPr>
        <sz val="10"/>
        <rFont val="Meiryo UI"/>
        <family val="0"/>
        <charset val="1"/>
      </rPr>
      <t xml:space="preserve">No.2</t>
    </r>
    <r>
      <rPr>
        <sz val="10"/>
        <rFont val="WenQuanYi Zen Hei"/>
        <family val="2"/>
      </rPr>
      <t xml:space="preserve">）</t>
    </r>
  </si>
  <si>
    <r>
      <rPr>
        <sz val="10"/>
        <rFont val="Meiryo UI"/>
        <family val="0"/>
        <charset val="1"/>
      </rPr>
      <t xml:space="preserve">R5</t>
    </r>
    <r>
      <rPr>
        <sz val="10"/>
        <rFont val="WenQuanYi Zen Hei"/>
        <family val="2"/>
      </rPr>
      <t xml:space="preserve">『現状</t>
    </r>
    <r>
      <rPr>
        <sz val="10"/>
        <rFont val="Meiryo UI"/>
        <family val="0"/>
        <charset val="1"/>
      </rPr>
      <t xml:space="preserve">67</t>
    </r>
    <r>
      <rPr>
        <sz val="10"/>
        <rFont val="WenQuanYi Zen Hei"/>
        <family val="2"/>
      </rPr>
      <t xml:space="preserve">台が稼働』、</t>
    </r>
    <r>
      <rPr>
        <sz val="10"/>
        <rFont val="Meiryo UI"/>
        <family val="0"/>
        <charset val="1"/>
      </rPr>
      <t xml:space="preserve">S5</t>
    </r>
    <r>
      <rPr>
        <sz val="10"/>
        <rFont val="WenQuanYi Zen Hei"/>
        <family val="2"/>
      </rPr>
      <t xml:space="preserve">『</t>
    </r>
    <r>
      <rPr>
        <sz val="10"/>
        <rFont val="Meiryo UI"/>
        <family val="0"/>
        <charset val="1"/>
      </rPr>
      <t xml:space="preserve">68</t>
    </r>
    <r>
      <rPr>
        <sz val="10"/>
        <rFont val="WenQuanYi Zen Hei"/>
        <family val="2"/>
      </rPr>
      <t xml:space="preserve">台』</t>
    </r>
  </si>
  <si>
    <t xml:space="preserve">数値不一致</t>
  </si>
  <si>
    <r>
      <rPr>
        <sz val="10"/>
        <rFont val="WenQuanYi Zen Hei"/>
        <family val="2"/>
      </rPr>
      <t xml:space="preserve">現有</t>
    </r>
    <r>
      <rPr>
        <sz val="10"/>
        <rFont val="Meiryo UI"/>
        <family val="0"/>
        <charset val="1"/>
      </rPr>
      <t xml:space="preserve">68</t>
    </r>
    <r>
      <rPr>
        <sz val="10"/>
        <rFont val="WenQuanYi Zen Hei"/>
        <family val="2"/>
      </rPr>
      <t xml:space="preserve">台（うちサンプル固定</t>
    </r>
    <r>
      <rPr>
        <sz val="10"/>
        <rFont val="Meiryo UI"/>
        <family val="0"/>
        <charset val="1"/>
      </rPr>
      <t xml:space="preserve">4</t>
    </r>
    <r>
      <rPr>
        <sz val="10"/>
        <rFont val="WenQuanYi Zen Hei"/>
        <family val="2"/>
      </rPr>
      <t xml:space="preserve">台、生産用</t>
    </r>
    <r>
      <rPr>
        <sz val="10"/>
        <rFont val="Meiryo UI"/>
        <family val="0"/>
        <charset val="1"/>
      </rPr>
      <t xml:space="preserve">64</t>
    </r>
    <r>
      <rPr>
        <sz val="10"/>
        <rFont val="WenQuanYi Zen Hei"/>
        <family val="2"/>
      </rPr>
      <t xml:space="preserve">台）に統一</t>
    </r>
  </si>
  <si>
    <r>
      <rPr>
        <sz val="10"/>
        <rFont val="Meiryo UI"/>
        <family val="0"/>
        <charset val="1"/>
      </rPr>
      <t xml:space="preserve">I25</t>
    </r>
    <r>
      <rPr>
        <sz val="10"/>
        <rFont val="WenQuanYi Zen Hei"/>
        <family val="2"/>
      </rPr>
      <t xml:space="preserve">・</t>
    </r>
    <r>
      <rPr>
        <sz val="10"/>
        <rFont val="Meiryo UI"/>
        <family val="0"/>
        <charset val="1"/>
      </rPr>
      <t xml:space="preserve">J25</t>
    </r>
    <r>
      <rPr>
        <sz val="10"/>
        <rFont val="WenQuanYi Zen Hei"/>
        <family val="2"/>
      </rPr>
      <t xml:space="preserve">・</t>
    </r>
    <r>
      <rPr>
        <sz val="10"/>
        <rFont val="Meiryo UI"/>
        <family val="0"/>
        <charset val="1"/>
      </rPr>
      <t xml:space="preserve">O25</t>
    </r>
  </si>
  <si>
    <r>
      <rPr>
        <sz val="10"/>
        <rFont val="WenQuanYi Zen Hei"/>
        <family val="2"/>
      </rPr>
      <t xml:space="preserve">合計式が </t>
    </r>
    <r>
      <rPr>
        <sz val="10"/>
        <rFont val="Meiryo UI"/>
        <family val="0"/>
        <charset val="1"/>
      </rPr>
      <t xml:space="preserve">=SUM(I12:I24) </t>
    </r>
    <r>
      <rPr>
        <sz val="10"/>
        <rFont val="WenQuanYi Zen Hei"/>
        <family val="2"/>
      </rPr>
      <t xml:space="preserve">等で</t>
    </r>
    <r>
      <rPr>
        <sz val="10"/>
        <rFont val="Meiryo UI"/>
        <family val="0"/>
        <charset val="1"/>
      </rPr>
      <t xml:space="preserve">4</t>
    </r>
    <r>
      <rPr>
        <sz val="10"/>
        <rFont val="WenQuanYi Zen Hei"/>
        <family val="2"/>
      </rPr>
      <t xml:space="preserve">〜</t>
    </r>
    <r>
      <rPr>
        <sz val="10"/>
        <rFont val="Meiryo UI"/>
        <family val="0"/>
        <charset val="1"/>
      </rPr>
      <t xml:space="preserve">11</t>
    </r>
    <r>
      <rPr>
        <sz val="10"/>
        <rFont val="WenQuanYi Zen Hei"/>
        <family val="2"/>
      </rPr>
      <t xml:space="preserve">行目を含まない</t>
    </r>
  </si>
  <si>
    <r>
      <rPr>
        <sz val="10"/>
        <rFont val="WenQuanYi Zen Hei"/>
        <family val="2"/>
      </rPr>
      <t xml:space="preserve">優先②の台数が</t>
    </r>
    <r>
      <rPr>
        <sz val="10"/>
        <rFont val="Meiryo UI"/>
        <family val="0"/>
        <charset val="1"/>
      </rPr>
      <t xml:space="preserve">10</t>
    </r>
    <r>
      <rPr>
        <sz val="10"/>
        <rFont val="WenQuanYi Zen Hei"/>
        <family val="2"/>
      </rPr>
      <t xml:space="preserve">台（実際</t>
    </r>
    <r>
      <rPr>
        <sz val="10"/>
        <rFont val="Meiryo UI"/>
        <family val="0"/>
        <charset val="1"/>
      </rPr>
      <t xml:space="preserve">38</t>
    </r>
    <r>
      <rPr>
        <sz val="10"/>
        <rFont val="WenQuanYi Zen Hei"/>
        <family val="2"/>
      </rPr>
      <t xml:space="preserve">台）、②金額が</t>
    </r>
    <r>
      <rPr>
        <sz val="10"/>
        <rFont val="Meiryo UI"/>
        <family val="0"/>
        <charset val="1"/>
      </rPr>
      <t xml:space="preserve">258,730USD</t>
    </r>
    <r>
      <rPr>
        <sz val="10"/>
        <rFont val="WenQuanYi Zen Hei"/>
        <family val="2"/>
      </rPr>
      <t xml:space="preserve">（実際</t>
    </r>
    <r>
      <rPr>
        <sz val="10"/>
        <rFont val="Meiryo UI"/>
        <family val="0"/>
        <charset val="1"/>
      </rPr>
      <t xml:space="preserve">355,230USD</t>
    </r>
    <r>
      <rPr>
        <sz val="10"/>
        <rFont val="WenQuanYi Zen Hei"/>
        <family val="2"/>
      </rPr>
      <t xml:space="preserve">）と過小表示</t>
    </r>
  </si>
  <si>
    <r>
      <rPr>
        <sz val="10"/>
        <rFont val="WenQuanYi Zen Hei"/>
        <family val="2"/>
      </rPr>
      <t xml:space="preserve">合計式を </t>
    </r>
    <r>
      <rPr>
        <sz val="10"/>
        <rFont val="Meiryo UI"/>
        <family val="0"/>
        <charset val="1"/>
      </rPr>
      <t xml:space="preserve">SUM(I4:I24) </t>
    </r>
    <r>
      <rPr>
        <sz val="10"/>
        <rFont val="WenQuanYi Zen Hei"/>
        <family val="2"/>
      </rPr>
      <t xml:space="preserve">等に修正</t>
    </r>
  </si>
  <si>
    <t xml:space="preserve">M27</t>
  </si>
  <si>
    <r>
      <rPr>
        <sz val="10"/>
        <rFont val="Meiryo UI"/>
        <family val="0"/>
        <charset val="1"/>
      </rPr>
      <t xml:space="preserve">SUM</t>
    </r>
    <r>
      <rPr>
        <sz val="10"/>
        <rFont val="WenQuanYi Zen Hei"/>
        <family val="2"/>
      </rPr>
      <t xml:space="preserve">式の参照先が削除されている（参照切れ）</t>
    </r>
  </si>
  <si>
    <t xml:space="preserve">エラー値が表示される</t>
  </si>
  <si>
    <t xml:space="preserve">削除または参照を修正</t>
  </si>
  <si>
    <r>
      <rPr>
        <sz val="10"/>
        <rFont val="Meiryo UI"/>
        <family val="0"/>
        <charset val="1"/>
      </rPr>
      <t xml:space="preserve">A21</t>
    </r>
    <r>
      <rPr>
        <sz val="10"/>
        <rFont val="WenQuanYi Zen Hei"/>
        <family val="2"/>
      </rPr>
      <t xml:space="preserve">・</t>
    </r>
    <r>
      <rPr>
        <sz val="10"/>
        <rFont val="Meiryo UI"/>
        <family val="0"/>
        <charset val="1"/>
      </rPr>
      <t xml:space="preserve">A22</t>
    </r>
  </si>
  <si>
    <r>
      <rPr>
        <sz val="10"/>
        <rFont val="Meiryo UI"/>
        <family val="0"/>
        <charset val="1"/>
      </rPr>
      <t xml:space="preserve">No.18</t>
    </r>
    <r>
      <rPr>
        <sz val="10"/>
        <rFont val="WenQuanYi Zen Hei"/>
        <family val="2"/>
      </rPr>
      <t xml:space="preserve">が</t>
    </r>
    <r>
      <rPr>
        <sz val="10"/>
        <rFont val="Meiryo UI"/>
        <family val="0"/>
        <charset val="1"/>
      </rPr>
      <t xml:space="preserve">2</t>
    </r>
    <r>
      <rPr>
        <sz val="10"/>
        <rFont val="WenQuanYi Zen Hei"/>
        <family val="2"/>
      </rPr>
      <t xml:space="preserve">行重複</t>
    </r>
  </si>
  <si>
    <t xml:space="preserve">以降の番号がずれる</t>
  </si>
  <si>
    <t xml:space="preserve">連番を振り直す</t>
  </si>
  <si>
    <r>
      <rPr>
        <sz val="10"/>
        <rFont val="Meiryo UI"/>
        <family val="0"/>
        <charset val="1"/>
      </rPr>
      <t xml:space="preserve">N6</t>
    </r>
    <r>
      <rPr>
        <sz val="10"/>
        <rFont val="WenQuanYi Zen Hei"/>
        <family val="2"/>
      </rPr>
      <t xml:space="preserve">・</t>
    </r>
    <r>
      <rPr>
        <sz val="10"/>
        <rFont val="Meiryo UI"/>
        <family val="0"/>
        <charset val="1"/>
      </rPr>
      <t xml:space="preserve">N16</t>
    </r>
    <r>
      <rPr>
        <sz val="10"/>
        <rFont val="WenQuanYi Zen Hei"/>
        <family val="2"/>
      </rPr>
      <t xml:space="preserve">・</t>
    </r>
    <r>
      <rPr>
        <sz val="10"/>
        <rFont val="Meiryo UI"/>
        <family val="0"/>
        <charset val="1"/>
      </rPr>
      <t xml:space="preserve">N19</t>
    </r>
    <r>
      <rPr>
        <sz val="10"/>
        <rFont val="WenQuanYi Zen Hei"/>
        <family val="2"/>
      </rPr>
      <t xml:space="preserve">・</t>
    </r>
    <r>
      <rPr>
        <sz val="10"/>
        <rFont val="Meiryo UI"/>
        <family val="0"/>
        <charset val="1"/>
      </rPr>
      <t xml:space="preserve">N22</t>
    </r>
    <r>
      <rPr>
        <sz val="10"/>
        <rFont val="WenQuanYi Zen Hei"/>
        <family val="2"/>
      </rPr>
      <t xml:space="preserve">〜</t>
    </r>
    <r>
      <rPr>
        <sz val="10"/>
        <rFont val="Meiryo UI"/>
        <family val="0"/>
        <charset val="1"/>
      </rPr>
      <t xml:space="preserve">N24</t>
    </r>
  </si>
  <si>
    <r>
      <rPr>
        <sz val="10"/>
        <rFont val="WenQuanYi Zen Hei"/>
        <family val="2"/>
      </rPr>
      <t xml:space="preserve">優先①金額（</t>
    </r>
    <r>
      <rPr>
        <sz val="10"/>
        <rFont val="Meiryo UI"/>
        <family val="0"/>
        <charset val="1"/>
      </rPr>
      <t xml:space="preserve">N</t>
    </r>
    <r>
      <rPr>
        <sz val="10"/>
        <rFont val="WenQuanYi Zen Hei"/>
        <family val="2"/>
      </rPr>
      <t xml:space="preserve">列）の式が優先②台数（</t>
    </r>
    <r>
      <rPr>
        <sz val="10"/>
        <rFont val="Meiryo UI"/>
        <family val="0"/>
        <charset val="1"/>
      </rPr>
      <t xml:space="preserve">I</t>
    </r>
    <r>
      <rPr>
        <sz val="10"/>
        <rFont val="WenQuanYi Zen Hei"/>
        <family val="2"/>
      </rPr>
      <t xml:space="preserve">列）</t>
    </r>
    <r>
      <rPr>
        <sz val="10"/>
        <rFont val="Meiryo UI"/>
        <family val="0"/>
        <charset val="1"/>
      </rPr>
      <t xml:space="preserve">×L</t>
    </r>
    <r>
      <rPr>
        <sz val="10"/>
        <rFont val="WenQuanYi Zen Hei"/>
        <family val="2"/>
      </rPr>
      <t xml:space="preserve">列を参照</t>
    </r>
  </si>
  <si>
    <r>
      <rPr>
        <sz val="10"/>
        <rFont val="WenQuanYi Zen Hei"/>
        <family val="2"/>
      </rPr>
      <t xml:space="preserve">現在は</t>
    </r>
    <r>
      <rPr>
        <sz val="10"/>
        <rFont val="Meiryo UI"/>
        <family val="0"/>
        <charset val="1"/>
      </rPr>
      <t xml:space="preserve">0</t>
    </r>
    <r>
      <rPr>
        <sz val="10"/>
        <rFont val="WenQuanYi Zen Hei"/>
        <family val="2"/>
      </rPr>
      <t xml:space="preserve">表示で実害はないが式が不統一</t>
    </r>
  </si>
  <si>
    <r>
      <rPr>
        <sz val="10"/>
        <rFont val="Meiryo UI"/>
        <family val="0"/>
        <charset val="1"/>
      </rPr>
      <t xml:space="preserve">N</t>
    </r>
    <r>
      <rPr>
        <sz val="10"/>
        <rFont val="WenQuanYi Zen Hei"/>
        <family val="2"/>
      </rPr>
      <t xml:space="preserve">列の式を『</t>
    </r>
    <r>
      <rPr>
        <sz val="10"/>
        <rFont val="Meiryo UI"/>
        <family val="0"/>
        <charset val="1"/>
      </rPr>
      <t xml:space="preserve">H</t>
    </r>
    <r>
      <rPr>
        <sz val="10"/>
        <rFont val="WenQuanYi Zen Hei"/>
        <family val="2"/>
      </rPr>
      <t xml:space="preserve">列</t>
    </r>
    <r>
      <rPr>
        <sz val="10"/>
        <rFont val="Meiryo UI"/>
        <family val="0"/>
        <charset val="1"/>
      </rPr>
      <t xml:space="preserve">×L</t>
    </r>
    <r>
      <rPr>
        <sz val="10"/>
        <rFont val="WenQuanYi Zen Hei"/>
        <family val="2"/>
      </rPr>
      <t xml:space="preserve">列』に統一</t>
    </r>
  </si>
  <si>
    <t xml:space="preserve">X18</t>
  </si>
  <si>
    <r>
      <rPr>
        <sz val="10"/>
        <rFont val="WenQuanYi Zen Hei"/>
        <family val="2"/>
      </rPr>
      <t xml:space="preserve">残存簿価が『</t>
    </r>
    <r>
      <rPr>
        <sz val="10"/>
        <rFont val="Meiryo UI"/>
        <family val="0"/>
        <charset val="1"/>
      </rPr>
      <t xml:space="preserve">-</t>
    </r>
    <r>
      <rPr>
        <sz val="10"/>
        <rFont val="WenQuanYi Zen Hei"/>
        <family val="2"/>
      </rPr>
      <t xml:space="preserve">』（</t>
    </r>
    <r>
      <rPr>
        <sz val="10"/>
        <rFont val="Meiryo UI"/>
        <family val="0"/>
        <charset val="1"/>
      </rPr>
      <t xml:space="preserve">V18</t>
    </r>
    <r>
      <rPr>
        <sz val="10"/>
        <rFont val="WenQuanYi Zen Hei"/>
        <family val="2"/>
      </rPr>
      <t xml:space="preserve">・</t>
    </r>
    <r>
      <rPr>
        <sz val="10"/>
        <rFont val="Meiryo UI"/>
        <family val="0"/>
        <charset val="1"/>
      </rPr>
      <t xml:space="preserve">W18</t>
    </r>
    <r>
      <rPr>
        <sz val="10"/>
        <rFont val="WenQuanYi Zen Hei"/>
        <family val="2"/>
      </rPr>
      <t xml:space="preserve">は入力済）</t>
    </r>
  </si>
  <si>
    <t xml:space="preserve">簿価が表示されない</t>
  </si>
  <si>
    <r>
      <rPr>
        <sz val="10"/>
        <rFont val="Meiryo UI"/>
        <family val="0"/>
        <charset val="1"/>
      </rPr>
      <t xml:space="preserve">X18</t>
    </r>
    <r>
      <rPr>
        <sz val="10"/>
        <rFont val="WenQuanYi Zen Hei"/>
        <family val="2"/>
      </rPr>
      <t xml:space="preserve">を</t>
    </r>
    <r>
      <rPr>
        <sz val="10"/>
        <rFont val="Meiryo UI"/>
        <family val="0"/>
        <charset val="1"/>
      </rPr>
      <t xml:space="preserve">V18−W18</t>
    </r>
    <r>
      <rPr>
        <sz val="10"/>
        <rFont val="WenQuanYi Zen Hei"/>
        <family val="2"/>
      </rPr>
      <t xml:space="preserve">の式に修正</t>
    </r>
  </si>
  <si>
    <r>
      <rPr>
        <sz val="10"/>
        <rFont val="Meiryo UI"/>
        <family val="0"/>
        <charset val="1"/>
      </rPr>
      <t xml:space="preserve">O26</t>
    </r>
    <r>
      <rPr>
        <sz val="10"/>
        <rFont val="WenQuanYi Zen Hei"/>
        <family val="2"/>
      </rPr>
      <t xml:space="preserve">・</t>
    </r>
    <r>
      <rPr>
        <sz val="10"/>
        <rFont val="Meiryo UI"/>
        <family val="0"/>
        <charset val="1"/>
      </rPr>
      <t xml:space="preserve">P26</t>
    </r>
    <r>
      <rPr>
        <sz val="10"/>
        <rFont val="WenQuanYi Zen Hei"/>
        <family val="2"/>
      </rPr>
      <t xml:space="preserve">・</t>
    </r>
    <r>
      <rPr>
        <sz val="10"/>
        <rFont val="Meiryo UI"/>
        <family val="0"/>
        <charset val="1"/>
      </rPr>
      <t xml:space="preserve">P30</t>
    </r>
  </si>
  <si>
    <r>
      <rPr>
        <sz val="10"/>
        <rFont val="WenQuanYi Zen Hei"/>
        <family val="2"/>
      </rPr>
      <t xml:space="preserve">為替</t>
    </r>
    <r>
      <rPr>
        <sz val="10"/>
        <rFont val="Meiryo UI"/>
        <family val="0"/>
        <charset val="1"/>
      </rPr>
      <t xml:space="preserve">150</t>
    </r>
    <r>
      <rPr>
        <sz val="10"/>
        <rFont val="WenQuanYi Zen Hei"/>
        <family val="2"/>
      </rPr>
      <t xml:space="preserve">円と</t>
    </r>
    <r>
      <rPr>
        <sz val="10"/>
        <rFont val="Meiryo UI"/>
        <family val="0"/>
        <charset val="1"/>
      </rPr>
      <t xml:space="preserve">160</t>
    </r>
    <r>
      <rPr>
        <sz val="10"/>
        <rFont val="WenQuanYi Zen Hei"/>
        <family val="2"/>
      </rPr>
      <t xml:space="preserve">円が混在</t>
    </r>
  </si>
  <si>
    <t xml:space="preserve">資料により円換算額が異なる</t>
  </si>
  <si>
    <r>
      <rPr>
        <sz val="10"/>
        <rFont val="Meiryo UI"/>
        <family val="0"/>
        <charset val="1"/>
      </rPr>
      <t xml:space="preserve">1</t>
    </r>
    <r>
      <rPr>
        <sz val="10"/>
        <rFont val="WenQuanYi Zen Hei"/>
        <family val="2"/>
      </rPr>
      <t xml:space="preserve">レートに統一（本資料は</t>
    </r>
    <r>
      <rPr>
        <sz val="10"/>
        <rFont val="Meiryo UI"/>
        <family val="0"/>
        <charset val="1"/>
      </rPr>
      <t xml:space="preserve">160</t>
    </r>
    <r>
      <rPr>
        <sz val="10"/>
        <rFont val="WenQuanYi Zen Hei"/>
        <family val="2"/>
      </rPr>
      <t xml:space="preserve">円）</t>
    </r>
  </si>
  <si>
    <r>
      <rPr>
        <sz val="10"/>
        <rFont val="Meiryo UI"/>
        <family val="0"/>
        <charset val="1"/>
      </rPr>
      <t xml:space="preserve">R8</t>
    </r>
    <r>
      <rPr>
        <sz val="10"/>
        <rFont val="WenQuanYi Zen Hei"/>
        <family val="2"/>
      </rPr>
      <t xml:space="preserve">（</t>
    </r>
    <r>
      <rPr>
        <sz val="10"/>
        <rFont val="Meiryo UI"/>
        <family val="0"/>
        <charset val="1"/>
      </rPr>
      <t xml:space="preserve">No.5</t>
    </r>
    <r>
      <rPr>
        <sz val="10"/>
        <rFont val="WenQuanYi Zen Hei"/>
        <family val="2"/>
      </rPr>
      <t xml:space="preserve">）</t>
    </r>
  </si>
  <si>
    <r>
      <rPr>
        <sz val="10"/>
        <rFont val="WenQuanYi Zen Hei"/>
        <family val="2"/>
      </rPr>
      <t xml:space="preserve">キルティング外注『</t>
    </r>
    <r>
      <rPr>
        <sz val="10"/>
        <rFont val="Meiryo UI"/>
        <family val="0"/>
        <charset val="1"/>
      </rPr>
      <t xml:space="preserve">25FW</t>
    </r>
    <r>
      <rPr>
        <sz val="10"/>
        <rFont val="WenQuanYi Zen Hei"/>
        <family val="2"/>
      </rPr>
      <t xml:space="preserve">で約</t>
    </r>
    <r>
      <rPr>
        <sz val="10"/>
        <rFont val="Meiryo UI"/>
        <family val="0"/>
        <charset val="1"/>
      </rPr>
      <t xml:space="preserve">3</t>
    </r>
    <r>
      <rPr>
        <sz val="10"/>
        <rFont val="WenQuanYi Zen Hei"/>
        <family val="2"/>
      </rPr>
      <t xml:space="preserve">千</t>
    </r>
    <r>
      <rPr>
        <sz val="10"/>
        <rFont val="Meiryo UI"/>
        <family val="0"/>
        <charset val="1"/>
      </rPr>
      <t xml:space="preserve">USD</t>
    </r>
    <r>
      <rPr>
        <sz val="10"/>
        <rFont val="WenQuanYi Zen Hei"/>
        <family val="2"/>
      </rPr>
      <t xml:space="preserve">』</t>
    </r>
  </si>
  <si>
    <t xml:space="preserve">年間額か季節額か不明</t>
  </si>
  <si>
    <r>
      <rPr>
        <sz val="10"/>
        <rFont val="Meiryo UI"/>
        <family val="0"/>
        <charset val="1"/>
      </rPr>
      <t xml:space="preserve">SS</t>
    </r>
    <r>
      <rPr>
        <sz val="10"/>
        <rFont val="WenQuanYi Zen Hei"/>
        <family val="2"/>
      </rPr>
      <t xml:space="preserve">＋</t>
    </r>
    <r>
      <rPr>
        <sz val="10"/>
        <rFont val="Meiryo UI"/>
        <family val="0"/>
        <charset val="1"/>
      </rPr>
      <t xml:space="preserve">FW</t>
    </r>
    <r>
      <rPr>
        <sz val="10"/>
        <rFont val="WenQuanYi Zen Hei"/>
        <family val="2"/>
      </rPr>
      <t xml:space="preserve">の年間額を確認</t>
    </r>
  </si>
  <si>
    <t xml:space="preserve">議事メモシート</t>
  </si>
  <si>
    <t xml:space="preserve">発言者の個人名を含む発言録が同じブックにある</t>
  </si>
  <si>
    <t xml:space="preserve">公式報告書に個人名を記載しない方針</t>
  </si>
  <si>
    <t xml:space="preserve">提出版から議事メモシートを外すか、発言者名を削除</t>
  </si>
  <si>
    <r>
      <rPr>
        <sz val="10"/>
        <rFont val="Meiryo UI"/>
        <family val="0"/>
        <charset val="1"/>
      </rPr>
      <t xml:space="preserve">3.27</t>
    </r>
    <r>
      <rPr>
        <sz val="10"/>
        <rFont val="WenQuanYi Zen Hei"/>
        <family val="2"/>
      </rPr>
      <t xml:space="preserve">確認事項シート</t>
    </r>
  </si>
  <si>
    <r>
      <rPr>
        <sz val="10"/>
        <rFont val="WenQuanYi Zen Hei"/>
        <family val="2"/>
      </rPr>
      <t xml:space="preserve">日付が</t>
    </r>
    <r>
      <rPr>
        <sz val="10"/>
        <rFont val="Meiryo UI"/>
        <family val="0"/>
        <charset val="1"/>
      </rPr>
      <t xml:space="preserve">2025/3/27</t>
    </r>
    <r>
      <rPr>
        <sz val="10"/>
        <rFont val="WenQuanYi Zen Hei"/>
        <family val="2"/>
      </rPr>
      <t xml:space="preserve">（前年度の説明会資料）</t>
    </r>
  </si>
  <si>
    <r>
      <rPr>
        <sz val="10"/>
        <rFont val="Meiryo UI"/>
        <family val="0"/>
        <charset val="1"/>
      </rPr>
      <t xml:space="preserve">2026</t>
    </r>
    <r>
      <rPr>
        <sz val="10"/>
        <rFont val="WenQuanYi Zen Hei"/>
        <family val="2"/>
      </rPr>
      <t xml:space="preserve">年度資料と混同される</t>
    </r>
  </si>
  <si>
    <t xml:space="preserve">提出版から外す</t>
  </si>
  <si>
    <r>
      <rPr>
        <b val="true"/>
        <sz val="14"/>
        <color rgb="FF1F4E78"/>
        <rFont val="WenQuanYi Zen Hei"/>
        <family val="2"/>
      </rPr>
      <t xml:space="preserve">要確認事項への回答（</t>
    </r>
    <r>
      <rPr>
        <b val="true"/>
        <sz val="14"/>
        <color rgb="FF1F4E78"/>
        <rFont val="Meiryo UI"/>
        <family val="0"/>
        <charset val="1"/>
      </rPr>
      <t xml:space="preserve">3/25</t>
    </r>
    <r>
      <rPr>
        <b val="true"/>
        <sz val="14"/>
        <color rgb="FF1F4E78"/>
        <rFont val="WenQuanYi Zen Hei"/>
        <family val="2"/>
      </rPr>
      <t xml:space="preserve">打合せ ①〜⑦＋新規条件）</t>
    </r>
  </si>
  <si>
    <t xml:space="preserve">現状 → 課題 → 数値根拠 → 導入効果 → 費用対効果 → 投資妥当性 → 優先順位 の順に説明する。</t>
  </si>
  <si>
    <t xml:space="preserve">確認事項</t>
  </si>
  <si>
    <t xml:space="preserve">回答骨子</t>
  </si>
  <si>
    <t xml:space="preserve">数値・根拠</t>
  </si>
  <si>
    <t xml:space="preserve">未確定データ・次アクション</t>
  </si>
  <si>
    <r>
      <rPr>
        <sz val="10"/>
        <rFont val="WenQuanYi Zen Hei"/>
        <family val="2"/>
      </rPr>
      <t xml:space="preserve">機材導入で削減できる年間外部レンタル費。パターンシーマ・</t>
    </r>
    <r>
      <rPr>
        <sz val="10"/>
        <rFont val="Meiryo UI"/>
        <family val="0"/>
        <charset val="1"/>
      </rPr>
      <t xml:space="preserve">Spec-D</t>
    </r>
    <r>
      <rPr>
        <sz val="10"/>
        <rFont val="WenQuanYi Zen Hei"/>
        <family val="2"/>
      </rPr>
      <t xml:space="preserve">導入による要員減の数値</t>
    </r>
  </si>
  <si>
    <r>
      <rPr>
        <sz val="10"/>
        <rFont val="WenQuanYi Zen Hei"/>
        <family val="2"/>
      </rPr>
      <t xml:space="preserve">レンタル費は機種別に『投資で回避できる部分』だけを効果計上（</t>
    </r>
    <r>
      <rPr>
        <sz val="10"/>
        <rFont val="Meiryo UI"/>
        <family val="0"/>
        <charset val="1"/>
      </rPr>
      <t xml:space="preserve">100%</t>
    </r>
    <r>
      <rPr>
        <sz val="10"/>
        <rFont val="WenQuanYi Zen Hei"/>
        <family val="2"/>
      </rPr>
      <t xml:space="preserve">計上しない）。省人化は人員削減ではなく『工程秒削減→必要工数削減→必要人員減→余力人員の再配置→工場全体の生産性向上』と定義し、</t>
    </r>
    <r>
      <rPr>
        <sz val="10"/>
        <rFont val="Meiryo UI"/>
        <family val="0"/>
        <charset val="1"/>
      </rPr>
      <t xml:space="preserve">Before/After</t>
    </r>
    <r>
      <rPr>
        <sz val="10"/>
        <rFont val="WenQuanYi Zen Hei"/>
        <family val="2"/>
      </rPr>
      <t xml:space="preserve">実測で算出。</t>
    </r>
  </si>
  <si>
    <r>
      <rPr>
        <sz val="10"/>
        <rFont val="Meiryo UI"/>
        <family val="0"/>
        <charset val="1"/>
      </rPr>
      <t xml:space="preserve">2025</t>
    </r>
    <r>
      <rPr>
        <sz val="10"/>
        <rFont val="WenQuanYi Zen Hei"/>
        <family val="2"/>
      </rPr>
      <t xml:space="preserve">年レンタル総額</t>
    </r>
    <r>
      <rPr>
        <sz val="10"/>
        <rFont val="Meiryo UI"/>
        <family val="0"/>
        <charset val="1"/>
      </rPr>
      <t xml:space="preserve">4,890.75USD</t>
    </r>
    <r>
      <rPr>
        <sz val="10"/>
        <rFont val="WenQuanYi Zen Hei"/>
        <family val="2"/>
      </rPr>
      <t xml:space="preserve">（うち大型</t>
    </r>
    <r>
      <rPr>
        <sz val="10"/>
        <rFont val="Meiryo UI"/>
        <family val="0"/>
        <charset val="1"/>
      </rPr>
      <t xml:space="preserve">PS 3,016.54USD</t>
    </r>
    <r>
      <rPr>
        <sz val="10"/>
        <rFont val="WenQuanYi Zen Hei"/>
        <family val="2"/>
      </rPr>
      <t xml:space="preserve">）。省人工数＝年間削減工数</t>
    </r>
    <r>
      <rPr>
        <sz val="10"/>
        <rFont val="Meiryo UI"/>
        <family val="0"/>
        <charset val="1"/>
      </rPr>
      <t xml:space="preserve">÷1</t>
    </r>
    <r>
      <rPr>
        <sz val="10"/>
        <rFont val="WenQuanYi Zen Hei"/>
        <family val="2"/>
      </rPr>
      <t xml:space="preserve">人年間有効稼働秒（</t>
    </r>
    <r>
      <rPr>
        <sz val="10"/>
        <rFont val="Meiryo UI"/>
        <family val="0"/>
        <charset val="1"/>
      </rPr>
      <t xml:space="preserve">8h×295</t>
    </r>
    <r>
      <rPr>
        <sz val="10"/>
        <rFont val="WenQuanYi Zen Hei"/>
        <family val="2"/>
      </rPr>
      <t xml:space="preserve">日）。</t>
    </r>
  </si>
  <si>
    <r>
      <rPr>
        <sz val="10"/>
        <rFont val="Meiryo UI"/>
        <family val="0"/>
        <charset val="1"/>
      </rPr>
      <t xml:space="preserve">12_</t>
    </r>
    <r>
      <rPr>
        <sz val="10"/>
        <rFont val="WenQuanYi Zen Hei"/>
        <family val="2"/>
      </rPr>
      <t xml:space="preserve">レンタル費
</t>
    </r>
    <r>
      <rPr>
        <sz val="10"/>
        <rFont val="Meiryo UI"/>
        <family val="0"/>
        <charset val="1"/>
      </rPr>
      <t xml:space="preserve">07_</t>
    </r>
    <r>
      <rPr>
        <sz val="10"/>
        <rFont val="WenQuanYi Zen Hei"/>
        <family val="2"/>
      </rPr>
      <t xml:space="preserve">省人効果
</t>
    </r>
    <r>
      <rPr>
        <sz val="10"/>
        <rFont val="Meiryo UI"/>
        <family val="0"/>
        <charset val="1"/>
      </rPr>
      <t xml:space="preserve">13_</t>
    </r>
    <r>
      <rPr>
        <sz val="10"/>
        <rFont val="WenQuanYi Zen Hei"/>
        <family val="2"/>
      </rPr>
      <t xml:space="preserve">費用対効果</t>
    </r>
    <r>
      <rPr>
        <sz val="10"/>
        <rFont val="Meiryo UI"/>
        <family val="0"/>
        <charset val="1"/>
      </rPr>
      <t xml:space="preserve">PL</t>
    </r>
  </si>
  <si>
    <r>
      <rPr>
        <sz val="10"/>
        <rFont val="Meiryo UI"/>
        <family val="0"/>
        <charset val="1"/>
      </rPr>
      <t xml:space="preserve">2024</t>
    </r>
    <r>
      <rPr>
        <sz val="10"/>
        <rFont val="WenQuanYi Zen Hei"/>
        <family val="2"/>
      </rPr>
      <t xml:space="preserve">・</t>
    </r>
    <r>
      <rPr>
        <sz val="10"/>
        <rFont val="Meiryo UI"/>
        <family val="0"/>
        <charset val="1"/>
      </rPr>
      <t xml:space="preserve">2026</t>
    </r>
    <r>
      <rPr>
        <sz val="10"/>
        <rFont val="WenQuanYi Zen Hei"/>
        <family val="2"/>
      </rPr>
      <t xml:space="preserve">年レンタル明細（機種・台数・期間・</t>
    </r>
    <r>
      <rPr>
        <sz val="10"/>
        <rFont val="Meiryo UI"/>
        <family val="0"/>
        <charset val="1"/>
      </rPr>
      <t xml:space="preserve">D/N</t>
    </r>
    <r>
      <rPr>
        <sz val="10"/>
        <rFont val="WenQuanYi Zen Hei"/>
        <family val="2"/>
      </rPr>
      <t xml:space="preserve">・</t>
    </r>
    <r>
      <rPr>
        <sz val="10"/>
        <rFont val="Meiryo UI"/>
        <family val="0"/>
        <charset val="1"/>
      </rPr>
      <t xml:space="preserve">style/line</t>
    </r>
    <r>
      <rPr>
        <sz val="10"/>
        <rFont val="WenQuanYi Zen Hei"/>
        <family val="2"/>
      </rPr>
      <t xml:space="preserve">）、</t>
    </r>
    <r>
      <rPr>
        <sz val="10"/>
        <rFont val="Meiryo UI"/>
        <family val="0"/>
        <charset val="1"/>
      </rPr>
      <t xml:space="preserve">PS</t>
    </r>
    <r>
      <rPr>
        <sz val="10"/>
        <rFont val="WenQuanYi Zen Hei"/>
        <family val="2"/>
      </rPr>
      <t xml:space="preserve">・</t>
    </r>
    <r>
      <rPr>
        <sz val="10"/>
        <rFont val="Meiryo UI"/>
        <family val="0"/>
        <charset val="1"/>
      </rPr>
      <t xml:space="preserve">Spec-D</t>
    </r>
    <r>
      <rPr>
        <sz val="10"/>
        <rFont val="WenQuanYi Zen Hei"/>
        <family val="2"/>
      </rPr>
      <t xml:space="preserve">の実測（工程秒・拘束秒）、対象品番の年間数量</t>
    </r>
  </si>
  <si>
    <t xml:space="preserve">枠組み完成・データ入力待ち</t>
  </si>
  <si>
    <t xml:space="preserve">パターンシーマ導入時の動線・工員配置・縫製中の動きの設計</t>
  </si>
  <si>
    <r>
      <rPr>
        <sz val="10"/>
        <rFont val="WenQuanYi Zen Hei"/>
        <family val="2"/>
      </rPr>
      <t xml:space="preserve">導入を目的化しない。中型はライン内配置、大型は共用セル。自動縫製中に次製品をセットする型枠</t>
    </r>
    <r>
      <rPr>
        <sz val="10"/>
        <rFont val="Meiryo UI"/>
        <family val="0"/>
        <charset val="1"/>
      </rPr>
      <t xml:space="preserve">2</t>
    </r>
    <r>
      <rPr>
        <sz val="10"/>
        <rFont val="WenQuanYi Zen Hei"/>
        <family val="2"/>
      </rPr>
      <t xml:space="preserve">枚運用を前提とし、</t>
    </r>
    <r>
      <rPr>
        <sz val="10"/>
        <rFont val="Meiryo UI"/>
        <family val="0"/>
        <charset val="1"/>
      </rPr>
      <t xml:space="preserve">1</t>
    </r>
    <r>
      <rPr>
        <sz val="10"/>
        <rFont val="WenQuanYi Zen Hei"/>
        <family val="2"/>
      </rPr>
      <t xml:space="preserve">人複数台は実測で並行作業時間を確認できた場合のみ採用。</t>
    </r>
  </si>
  <si>
    <r>
      <rPr>
        <sz val="10"/>
        <rFont val="Meiryo UI"/>
        <family val="0"/>
        <charset val="1"/>
      </rPr>
      <t xml:space="preserve">Before/After</t>
    </r>
    <r>
      <rPr>
        <sz val="10"/>
        <rFont val="WenQuanYi Zen Hei"/>
        <family val="2"/>
      </rPr>
      <t xml:space="preserve">フロー（作業者→セット→自動縫製→縫製中に次製品準備→取り出し）と測定計画（各工程</t>
    </r>
    <r>
      <rPr>
        <sz val="10"/>
        <rFont val="Meiryo UI"/>
        <family val="0"/>
        <charset val="1"/>
      </rPr>
      <t xml:space="preserve">10</t>
    </r>
    <r>
      <rPr>
        <sz val="10"/>
        <rFont val="WenQuanYi Zen Hei"/>
        <family val="2"/>
      </rPr>
      <t xml:space="preserve">サイクル以上）</t>
    </r>
  </si>
  <si>
    <r>
      <rPr>
        <sz val="10"/>
        <rFont val="Meiryo UI"/>
        <family val="0"/>
        <charset val="1"/>
      </rPr>
      <t xml:space="preserve">08_PS</t>
    </r>
    <r>
      <rPr>
        <sz val="10"/>
        <rFont val="WenQuanYi Zen Hei"/>
        <family val="2"/>
      </rPr>
      <t xml:space="preserve">運用設計</t>
    </r>
  </si>
  <si>
    <t xml:space="preserve">現場レイアウト図、型枠製作体制、実測結果</t>
  </si>
  <si>
    <t xml:space="preserve">運用案作成済・現場検証待ち</t>
  </si>
  <si>
    <t xml:space="preserve">スポットプレスを最優先で入替。必要台数の計算根拠と現在の運用状況</t>
  </si>
  <si>
    <r>
      <rPr>
        <sz val="10"/>
        <rFont val="WenQuanYi Zen Hei"/>
        <family val="2"/>
      </rPr>
      <t xml:space="preserve">安全装置なしの旧型（約</t>
    </r>
    <r>
      <rPr>
        <sz val="10"/>
        <rFont val="Meiryo UI"/>
        <family val="0"/>
        <charset val="1"/>
      </rPr>
      <t xml:space="preserve">15</t>
    </r>
    <r>
      <rPr>
        <sz val="10"/>
        <rFont val="WenQuanYi Zen Hei"/>
        <family val="2"/>
      </rPr>
      <t xml:space="preserve">年、後付け不可・メーカー廃棄推奨）は安全上の理由で全数入替。必要総数＝対象ライン数</t>
    </r>
    <r>
      <rPr>
        <sz val="10"/>
        <rFont val="Meiryo UI"/>
        <family val="0"/>
        <charset val="1"/>
      </rPr>
      <t xml:space="preserve">×</t>
    </r>
    <r>
      <rPr>
        <sz val="10"/>
        <rFont val="WenQuanYi Zen Hei"/>
        <family val="2"/>
      </rPr>
      <t xml:space="preserve">必要台数</t>
    </r>
    <r>
      <rPr>
        <sz val="10"/>
        <rFont val="Meiryo UI"/>
        <family val="0"/>
        <charset val="1"/>
      </rPr>
      <t xml:space="preserve">/</t>
    </r>
    <r>
      <rPr>
        <sz val="10"/>
        <rFont val="WenQuanYi Zen Hei"/>
        <family val="2"/>
      </rPr>
      <t xml:space="preserve">ライン＋共用分＋予備・保全分。</t>
    </r>
    <r>
      <rPr>
        <sz val="10"/>
        <rFont val="Meiryo UI"/>
        <family val="0"/>
        <charset val="1"/>
      </rPr>
      <t xml:space="preserve">ROI</t>
    </r>
    <r>
      <rPr>
        <sz val="10"/>
        <rFont val="WenQuanYi Zen Hei"/>
        <family val="2"/>
      </rPr>
      <t xml:space="preserve">ではなく安全で判断。更新分と純増分を分けて表示。</t>
    </r>
  </si>
  <si>
    <t xml:space="preserve">旧型台数・年式・修理可否、ライン別使用台数、ピーク需要、写真・ヒヤリハット</t>
  </si>
  <si>
    <t xml:space="preserve">計算式完成・現況データ待ち</t>
  </si>
  <si>
    <t xml:space="preserve">④</t>
  </si>
  <si>
    <t xml:space="preserve">ダウン充填機の優先度を下げる</t>
  </si>
  <si>
    <r>
      <rPr>
        <sz val="10"/>
        <rFont val="Meiryo UI"/>
        <family val="0"/>
        <charset val="1"/>
      </rPr>
      <t xml:space="preserve">2026</t>
    </r>
    <r>
      <rPr>
        <sz val="10"/>
        <rFont val="WenQuanYi Zen Hei"/>
        <family val="2"/>
      </rPr>
      <t xml:space="preserve">年度は購入見送り（現有</t>
    </r>
    <r>
      <rPr>
        <sz val="10"/>
        <rFont val="Meiryo UI"/>
        <family val="0"/>
        <charset val="1"/>
      </rPr>
      <t xml:space="preserve">4</t>
    </r>
    <r>
      <rPr>
        <sz val="10"/>
        <rFont val="WenQuanYi Zen Hei"/>
        <family val="2"/>
      </rPr>
      <t xml:space="preserve">台で最大</t>
    </r>
    <r>
      <rPr>
        <sz val="10"/>
        <rFont val="Meiryo UI"/>
        <family val="0"/>
        <charset val="1"/>
      </rPr>
      <t xml:space="preserve">10</t>
    </r>
    <r>
      <rPr>
        <sz val="10"/>
        <rFont val="WenQuanYi Zen Hei"/>
        <family val="2"/>
      </rPr>
      <t xml:space="preserve">ライン対応可）</t>
    </r>
  </si>
  <si>
    <t xml:space="preserve">対応済</t>
  </si>
  <si>
    <r>
      <rPr>
        <sz val="10"/>
        <rFont val="Meiryo UI"/>
        <family val="0"/>
        <charset val="1"/>
      </rPr>
      <t xml:space="preserve">No.10</t>
    </r>
    <r>
      <rPr>
        <sz val="10"/>
        <rFont val="WenQuanYi Zen Hei"/>
        <family val="2"/>
      </rPr>
      <t xml:space="preserve">平プレスのプレス精度の検証方法</t>
    </r>
  </si>
  <si>
    <r>
      <rPr>
        <sz val="10"/>
        <rFont val="WenQuanYi Zen Hei"/>
        <family val="2"/>
      </rPr>
      <t xml:space="preserve">水平器</t>
    </r>
    <r>
      <rPr>
        <sz val="10"/>
        <rFont val="Meiryo UI"/>
        <family val="0"/>
        <charset val="1"/>
      </rPr>
      <t xml:space="preserve">4</t>
    </r>
    <r>
      <rPr>
        <sz val="10"/>
        <rFont val="WenQuanYi Zen Hei"/>
        <family val="2"/>
      </rPr>
      <t xml:space="preserve">点測定、紙挟みテスト（＋感圧紙）、温度・圧力の実測、実素材での接着評価、メーカー校正を組み合わせ、受入時と定期で確認。</t>
    </r>
  </si>
  <si>
    <t xml:space="preserve">検証項目｜検証方法｜判定基準｜確認頻度｜担当 の表で定義</t>
  </si>
  <si>
    <t xml:space="preserve">判定基準のメーカー規格値、校正周期</t>
  </si>
  <si>
    <t xml:space="preserve">案作成済・メーカー確認待ち</t>
  </si>
  <si>
    <t xml:space="preserve">⑥</t>
  </si>
  <si>
    <r>
      <rPr>
        <sz val="10"/>
        <rFont val="WenQuanYi Zen Hei"/>
        <family val="2"/>
      </rPr>
      <t xml:space="preserve">定常投資とは別に</t>
    </r>
    <r>
      <rPr>
        <sz val="10"/>
        <rFont val="Meiryo UI"/>
        <family val="0"/>
        <charset val="1"/>
      </rPr>
      <t xml:space="preserve">48</t>
    </r>
    <r>
      <rPr>
        <sz val="10"/>
        <rFont val="WenQuanYi Zen Hei"/>
        <family val="2"/>
      </rPr>
      <t xml:space="preserve">百万円枠を利用できるか</t>
    </r>
  </si>
  <si>
    <r>
      <rPr>
        <sz val="10"/>
        <rFont val="WenQuanYi Zen Hei"/>
        <family val="2"/>
      </rPr>
      <t xml:space="preserve">本資料の対象外（</t>
    </r>
    <r>
      <rPr>
        <sz val="10"/>
        <rFont val="Meiryo UI"/>
        <family val="0"/>
        <charset val="1"/>
      </rPr>
      <t xml:space="preserve">TIJ</t>
    </r>
    <r>
      <rPr>
        <sz val="10"/>
        <rFont val="WenQuanYi Zen Hei"/>
        <family val="2"/>
      </rPr>
      <t xml:space="preserve">側の確認事項）。本案は定常投資枠内・</t>
    </r>
    <r>
      <rPr>
        <sz val="10"/>
        <rFont val="Meiryo UI"/>
        <family val="0"/>
        <charset val="1"/>
      </rPr>
      <t xml:space="preserve">4,000</t>
    </r>
    <r>
      <rPr>
        <sz val="10"/>
        <rFont val="WenQuanYi Zen Hei"/>
        <family val="2"/>
      </rPr>
      <t xml:space="preserve">万円以下で構成。</t>
    </r>
  </si>
  <si>
    <r>
      <rPr>
        <sz val="10"/>
        <rFont val="Meiryo UI"/>
        <family val="0"/>
        <charset val="1"/>
      </rPr>
      <t xml:space="preserve">TIJ</t>
    </r>
    <r>
      <rPr>
        <sz val="10"/>
        <rFont val="WenQuanYi Zen Hei"/>
        <family val="2"/>
      </rPr>
      <t xml:space="preserve">確認</t>
    </r>
  </si>
  <si>
    <r>
      <rPr>
        <sz val="10"/>
        <rFont val="WenQuanYi Zen Hei"/>
        <family val="2"/>
      </rPr>
      <t xml:space="preserve">縮絨機の導入検討（</t>
    </r>
    <r>
      <rPr>
        <sz val="10"/>
        <rFont val="Meiryo UI"/>
        <family val="0"/>
        <charset val="1"/>
      </rPr>
      <t xml:space="preserve">QN</t>
    </r>
    <r>
      <rPr>
        <sz val="10"/>
        <rFont val="WenQuanYi Zen Hei"/>
        <family val="2"/>
      </rPr>
      <t xml:space="preserve">事例を含め確認）</t>
    </r>
  </si>
  <si>
    <r>
      <rPr>
        <sz val="10"/>
        <rFont val="Meiryo UI"/>
        <family val="0"/>
        <charset val="1"/>
      </rPr>
      <t xml:space="preserve">2026</t>
    </r>
    <r>
      <rPr>
        <sz val="10"/>
        <rFont val="WenQuanYi Zen Hei"/>
        <family val="2"/>
      </rPr>
      <t xml:space="preserve">年度は購入せず、</t>
    </r>
    <r>
      <rPr>
        <sz val="10"/>
        <rFont val="Meiryo UI"/>
        <family val="0"/>
        <charset val="1"/>
      </rPr>
      <t xml:space="preserve">QN</t>
    </r>
    <r>
      <rPr>
        <sz val="10"/>
        <rFont val="WenQuanYi Zen Hei"/>
        <family val="2"/>
      </rPr>
      <t xml:space="preserve">事例確認→対象生地→使用条件→品質改善効果→</t>
    </r>
    <r>
      <rPr>
        <sz val="10"/>
        <rFont val="Meiryo UI"/>
        <family val="0"/>
        <charset val="1"/>
      </rPr>
      <t xml:space="preserve">APIC</t>
    </r>
    <r>
      <rPr>
        <sz val="10"/>
        <rFont val="WenQuanYi Zen Hei"/>
        <family val="2"/>
      </rPr>
      <t xml:space="preserve">適用性→小規模試験→導入／見送り判断。</t>
    </r>
  </si>
  <si>
    <r>
      <rPr>
        <sz val="10"/>
        <rFont val="Meiryo UI"/>
        <family val="0"/>
        <charset val="1"/>
      </rPr>
      <t xml:space="preserve">APIC</t>
    </r>
    <r>
      <rPr>
        <sz val="10"/>
        <rFont val="WenQuanYi Zen Hei"/>
        <family val="2"/>
      </rPr>
      <t xml:space="preserve">過去試験（ウール）は効果が明確でなかった</t>
    </r>
  </si>
  <si>
    <r>
      <rPr>
        <sz val="10"/>
        <rFont val="Meiryo UI"/>
        <family val="0"/>
        <charset val="1"/>
      </rPr>
      <t xml:space="preserve">11_</t>
    </r>
    <r>
      <rPr>
        <sz val="10"/>
        <rFont val="WenQuanYi Zen Hei"/>
        <family val="2"/>
      </rPr>
      <t xml:space="preserve">縮絨試験</t>
    </r>
  </si>
  <si>
    <r>
      <rPr>
        <sz val="10"/>
        <rFont val="Meiryo UI"/>
        <family val="0"/>
        <charset val="1"/>
      </rPr>
      <t xml:space="preserve">QN</t>
    </r>
    <r>
      <rPr>
        <sz val="10"/>
        <rFont val="WenQuanYi Zen Hei"/>
        <family val="2"/>
      </rPr>
      <t xml:space="preserve">事例（生地・条件・効果）</t>
    </r>
  </si>
  <si>
    <t xml:space="preserve">試験計画作成済</t>
  </si>
  <si>
    <t xml:space="preserve">新</t>
  </si>
  <si>
    <r>
      <rPr>
        <sz val="10"/>
        <rFont val="Meiryo UI"/>
        <family val="0"/>
        <charset val="1"/>
      </rPr>
      <t xml:space="preserve">APIC</t>
    </r>
    <r>
      <rPr>
        <sz val="10"/>
        <rFont val="WenQuanYi Zen Hei"/>
        <family val="2"/>
      </rPr>
      <t xml:space="preserve">が投資額のうち</t>
    </r>
    <r>
      <rPr>
        <sz val="10"/>
        <rFont val="Meiryo UI"/>
        <family val="0"/>
        <charset val="1"/>
      </rPr>
      <t xml:space="preserve">50,000USD</t>
    </r>
    <r>
      <rPr>
        <sz val="10"/>
        <rFont val="WenQuanYi Zen Hei"/>
        <family val="2"/>
      </rPr>
      <t xml:space="preserve">を負担</t>
    </r>
  </si>
  <si>
    <r>
      <rPr>
        <sz val="10"/>
        <rFont val="WenQuanYi Zen Hei"/>
        <family val="2"/>
      </rPr>
      <t xml:space="preserve">負担対象の機種・資産保有者・償却処理を確認するまで、</t>
    </r>
    <r>
      <rPr>
        <sz val="10"/>
        <rFont val="Meiryo UI"/>
        <family val="0"/>
        <charset val="1"/>
      </rPr>
      <t xml:space="preserve">TI</t>
    </r>
    <r>
      <rPr>
        <sz val="10"/>
        <rFont val="WenQuanYi Zen Hei"/>
        <family val="2"/>
      </rPr>
      <t xml:space="preserve">償却の減少として自動計上しない（</t>
    </r>
    <r>
      <rPr>
        <sz val="10"/>
        <rFont val="Meiryo UI"/>
        <family val="0"/>
        <charset val="1"/>
      </rPr>
      <t xml:space="preserve">P/L</t>
    </r>
    <r>
      <rPr>
        <sz val="10"/>
        <rFont val="WenQuanYi Zen Hei"/>
        <family val="2"/>
      </rPr>
      <t xml:space="preserve">はケース</t>
    </r>
    <r>
      <rPr>
        <sz val="10"/>
        <rFont val="Meiryo UI"/>
        <family val="0"/>
        <charset val="1"/>
      </rPr>
      <t xml:space="preserve">A/B</t>
    </r>
    <r>
      <rPr>
        <sz val="10"/>
        <rFont val="WenQuanYi Zen Hei"/>
        <family val="2"/>
      </rPr>
      <t xml:space="preserve">を併記）。</t>
    </r>
  </si>
  <si>
    <r>
      <rPr>
        <sz val="10"/>
        <rFont val="Meiryo UI"/>
        <family val="0"/>
        <charset val="1"/>
      </rPr>
      <t xml:space="preserve">02_</t>
    </r>
    <r>
      <rPr>
        <sz val="10"/>
        <rFont val="WenQuanYi Zen Hei"/>
        <family val="2"/>
      </rPr>
      <t xml:space="preserve">投資総括
</t>
    </r>
    <r>
      <rPr>
        <sz val="10"/>
        <rFont val="Meiryo UI"/>
        <family val="0"/>
        <charset val="1"/>
      </rPr>
      <t xml:space="preserve">13_</t>
    </r>
    <r>
      <rPr>
        <sz val="10"/>
        <rFont val="WenQuanYi Zen Hei"/>
        <family val="2"/>
      </rPr>
      <t xml:space="preserve">費用対効果</t>
    </r>
    <r>
      <rPr>
        <sz val="10"/>
        <rFont val="Meiryo UI"/>
        <family val="0"/>
        <charset val="1"/>
      </rPr>
      <t xml:space="preserve">PL</t>
    </r>
  </si>
  <si>
    <t xml:space="preserve">負担対象機種、資産保有者、償却処理</t>
  </si>
  <si>
    <t xml:space="preserve">要確認</t>
  </si>
  <si>
    <r>
      <rPr>
        <sz val="10"/>
        <rFont val="WenQuanYi Zen Hei"/>
        <family val="2"/>
      </rPr>
      <t xml:space="preserve">投資額は</t>
    </r>
    <r>
      <rPr>
        <sz val="10"/>
        <rFont val="Meiryo UI"/>
        <family val="0"/>
        <charset val="1"/>
      </rPr>
      <t xml:space="preserve">Suntool</t>
    </r>
    <r>
      <rPr>
        <sz val="10"/>
        <rFont val="WenQuanYi Zen Hei"/>
        <family val="2"/>
      </rPr>
      <t xml:space="preserve">を除き概ね</t>
    </r>
    <r>
      <rPr>
        <sz val="10"/>
        <rFont val="Meiryo UI"/>
        <family val="0"/>
        <charset val="1"/>
      </rPr>
      <t xml:space="preserve">4,000</t>
    </r>
    <r>
      <rPr>
        <sz val="10"/>
        <rFont val="WenQuanYi Zen Hei"/>
        <family val="2"/>
      </rPr>
      <t xml:space="preserve">万円以下</t>
    </r>
  </si>
  <si>
    <t xml:space="preserve">安全・顧客要求・生産継続を確保し、改善投資は段階導入（効果確認後に追加）として調整。</t>
  </si>
  <si>
    <r>
      <rPr>
        <sz val="10"/>
        <rFont val="WenQuanYi Zen Hei"/>
        <family val="2"/>
      </rPr>
      <t xml:space="preserve">為替レートの統一（</t>
    </r>
    <r>
      <rPr>
        <sz val="10"/>
        <rFont val="Meiryo UI"/>
        <family val="0"/>
        <charset val="1"/>
      </rPr>
      <t xml:space="preserve">150</t>
    </r>
    <r>
      <rPr>
        <sz val="10"/>
        <rFont val="WenQuanYi Zen Hei"/>
        <family val="2"/>
      </rPr>
      <t xml:space="preserve">円／</t>
    </r>
    <r>
      <rPr>
        <sz val="10"/>
        <rFont val="Meiryo UI"/>
        <family val="0"/>
        <charset val="1"/>
      </rPr>
      <t xml:space="preserve">160</t>
    </r>
    <r>
      <rPr>
        <sz val="10"/>
        <rFont val="WenQuanYi Zen Hei"/>
        <family val="2"/>
      </rPr>
      <t xml:space="preserve">円）</t>
    </r>
  </si>
  <si>
    <t xml:space="preserve">調整案作成済</t>
  </si>
  <si>
    <t xml:space="preserve">機種別比較（現状方式｜改善・代替案｜新設備案｜差分｜年間効果｜投資判断）</t>
  </si>
  <si>
    <t xml:space="preserve">ダウン充填装置比較の形式を踏襲。購入以外の代替案を必ず比較し、効果は数値で確認できるものだけを記載。</t>
  </si>
  <si>
    <t xml:space="preserve">優先</t>
  </si>
  <si>
    <t xml:space="preserve">設備</t>
  </si>
  <si>
    <t xml:space="preserve">現状方式</t>
  </si>
  <si>
    <t xml:space="preserve">改善・代替案（購入以外）</t>
  </si>
  <si>
    <t xml:space="preserve">新設備案</t>
  </si>
  <si>
    <t xml:space="preserve">差分</t>
  </si>
  <si>
    <t xml:space="preserve">年間効果（数値）</t>
  </si>
  <si>
    <t xml:space="preserve">投資判断（調整案）</t>
  </si>
  <si>
    <r>
      <rPr>
        <sz val="10"/>
        <rFont val="WenQuanYi Zen Hei"/>
        <family val="2"/>
      </rPr>
      <t xml:space="preserve">旧型：約</t>
    </r>
    <r>
      <rPr>
        <sz val="10"/>
        <rFont val="Meiryo UI"/>
        <family val="0"/>
        <charset val="1"/>
      </rPr>
      <t xml:space="preserve">15</t>
    </r>
    <r>
      <rPr>
        <sz val="10"/>
        <rFont val="WenQuanYi Zen Hei"/>
        <family val="2"/>
      </rPr>
      <t xml:space="preserve">年経過、アームが斜め動作で圧力計算不可、安全装置なし。</t>
    </r>
    <r>
      <rPr>
        <sz val="10"/>
        <rFont val="Meiryo UI"/>
        <family val="0"/>
        <charset val="1"/>
      </rPr>
      <t xml:space="preserve">3L</t>
    </r>
    <r>
      <rPr>
        <sz val="10"/>
        <rFont val="WenQuanYi Zen Hei"/>
        <family val="2"/>
      </rPr>
      <t xml:space="preserve">等の厳しい条件に使えず、圧力ムラで再プレス増。新型</t>
    </r>
    <r>
      <rPr>
        <sz val="10"/>
        <rFont val="Meiryo UI"/>
        <family val="0"/>
        <charset val="1"/>
      </rPr>
      <t xml:space="preserve">30×10cm 15</t>
    </r>
    <r>
      <rPr>
        <sz val="10"/>
        <rFont val="WenQuanYi Zen Hei"/>
        <family val="2"/>
      </rPr>
      <t xml:space="preserve">台保有</t>
    </r>
  </si>
  <si>
    <t xml:space="preserve">安全装置の後付け：不可（メーカー確認、廃棄推奨）／修理継続：安全リスクが残る</t>
  </si>
  <si>
    <r>
      <rPr>
        <sz val="10"/>
        <rFont val="Meiryo UI"/>
        <family val="0"/>
        <charset val="1"/>
      </rPr>
      <t xml:space="preserve">PTTG 30×10cm</t>
    </r>
    <r>
      <rPr>
        <sz val="10"/>
        <rFont val="WenQuanYi Zen Hei"/>
        <family val="2"/>
      </rPr>
      <t xml:space="preserve">（安全装置付）</t>
    </r>
    <r>
      <rPr>
        <sz val="10"/>
        <rFont val="Meiryo UI"/>
        <family val="0"/>
        <charset val="1"/>
      </rPr>
      <t xml:space="preserve">764USD/</t>
    </r>
    <r>
      <rPr>
        <sz val="10"/>
        <rFont val="WenQuanYi Zen Hei"/>
        <family val="2"/>
      </rPr>
      <t xml:space="preserve">台</t>
    </r>
  </si>
  <si>
    <r>
      <rPr>
        <sz val="10"/>
        <rFont val="WenQuanYi Zen Hei"/>
        <family val="2"/>
      </rPr>
      <t xml:space="preserve">安全装置あり、垂直加圧で圧力管理可、</t>
    </r>
    <r>
      <rPr>
        <sz val="10"/>
        <rFont val="Meiryo UI"/>
        <family val="0"/>
        <charset val="1"/>
      </rPr>
      <t xml:space="preserve">3L</t>
    </r>
    <r>
      <rPr>
        <sz val="10"/>
        <rFont val="WenQuanYi Zen Hei"/>
        <family val="2"/>
      </rPr>
      <t xml:space="preserve">対応</t>
    </r>
  </si>
  <si>
    <t xml:space="preserve">安全リスク解消（金額換算しない）。再プレス回数は導入後に計測</t>
  </si>
  <si>
    <r>
      <rPr>
        <sz val="10"/>
        <rFont val="WenQuanYi Zen Hei"/>
        <family val="2"/>
      </rPr>
      <t xml:space="preserve">最優先。台数＝</t>
    </r>
    <r>
      <rPr>
        <sz val="10"/>
        <rFont val="Meiryo UI"/>
        <family val="0"/>
        <charset val="1"/>
      </rPr>
      <t xml:space="preserve">09</t>
    </r>
    <r>
      <rPr>
        <sz val="10"/>
        <rFont val="WenQuanYi Zen Hei"/>
        <family val="2"/>
      </rPr>
      <t xml:space="preserve">の計算（暫定</t>
    </r>
    <r>
      <rPr>
        <sz val="10"/>
        <rFont val="Meiryo UI"/>
        <family val="0"/>
        <charset val="1"/>
      </rPr>
      <t xml:space="preserve">30</t>
    </r>
    <r>
      <rPr>
        <sz val="10"/>
        <rFont val="WenQuanYi Zen Hei"/>
        <family val="2"/>
      </rPr>
      <t xml:space="preserve">台）</t>
    </r>
  </si>
  <si>
    <r>
      <rPr>
        <sz val="10"/>
        <rFont val="WenQuanYi Zen Hei"/>
        <family val="2"/>
      </rPr>
      <t xml:space="preserve">現状のシーム機だけでは対応できない品番あり（</t>
    </r>
    <r>
      <rPr>
        <sz val="10"/>
        <rFont val="Meiryo UI"/>
        <family val="0"/>
        <charset val="1"/>
      </rPr>
      <t xml:space="preserve">26FW GW</t>
    </r>
    <r>
      <rPr>
        <sz val="10"/>
        <rFont val="WenQuanYi Zen Hei"/>
        <family val="2"/>
      </rPr>
      <t xml:space="preserve">要請、</t>
    </r>
    <r>
      <rPr>
        <sz val="10"/>
        <rFont val="Meiryo UI"/>
        <family val="0"/>
        <charset val="1"/>
      </rPr>
      <t xml:space="preserve">SW1</t>
    </r>
    <r>
      <rPr>
        <sz val="10"/>
        <rFont val="WenQuanYi Zen Hei"/>
        <family val="2"/>
      </rPr>
      <t xml:space="preserve">課から</t>
    </r>
    <r>
      <rPr>
        <sz val="10"/>
        <rFont val="Meiryo UI"/>
        <family val="0"/>
        <charset val="1"/>
      </rPr>
      <t xml:space="preserve">4</t>
    </r>
    <r>
      <rPr>
        <sz val="10"/>
        <rFont val="WenQuanYi Zen Hei"/>
        <family val="2"/>
      </rPr>
      <t xml:space="preserve">種の導入要望）。</t>
    </r>
    <r>
      <rPr>
        <sz val="10"/>
        <rFont val="Meiryo UI"/>
        <family val="0"/>
        <charset val="1"/>
      </rPr>
      <t xml:space="preserve">2025</t>
    </r>
    <r>
      <rPr>
        <sz val="10"/>
        <rFont val="WenQuanYi Zen Hei"/>
        <family val="2"/>
      </rPr>
      <t xml:space="preserve">年度に</t>
    </r>
    <r>
      <rPr>
        <sz val="10"/>
        <rFont val="Meiryo UI"/>
        <family val="0"/>
        <charset val="1"/>
      </rPr>
      <t xml:space="preserve">HTM-8601</t>
    </r>
    <r>
      <rPr>
        <sz val="10"/>
        <rFont val="WenQuanYi Zen Hei"/>
        <family val="2"/>
      </rPr>
      <t xml:space="preserve">を</t>
    </r>
    <r>
      <rPr>
        <sz val="10"/>
        <rFont val="Meiryo UI"/>
        <family val="0"/>
        <charset val="1"/>
      </rPr>
      <t xml:space="preserve">1</t>
    </r>
    <r>
      <rPr>
        <sz val="10"/>
        <rFont val="WenQuanYi Zen Hei"/>
        <family val="2"/>
      </rPr>
      <t xml:space="preserve">台導入済</t>
    </r>
  </si>
  <si>
    <r>
      <rPr>
        <sz val="10"/>
        <rFont val="Meiryo UI"/>
        <family val="0"/>
        <charset val="1"/>
      </rPr>
      <t xml:space="preserve">H&amp;H</t>
    </r>
    <r>
      <rPr>
        <sz val="10"/>
        <rFont val="WenQuanYi Zen Hei"/>
        <family val="2"/>
      </rPr>
      <t xml:space="preserve">同等機：</t>
    </r>
    <r>
      <rPr>
        <sz val="10"/>
        <rFont val="Meiryo UI"/>
        <family val="0"/>
        <charset val="1"/>
      </rPr>
      <t xml:space="preserve">CSL-206 9,500</t>
    </r>
    <r>
      <rPr>
        <sz val="10"/>
        <rFont val="WenQuanYi Zen Hei"/>
        <family val="2"/>
      </rPr>
      <t xml:space="preserve">／</t>
    </r>
    <r>
      <rPr>
        <sz val="10"/>
        <rFont val="Meiryo UI"/>
        <family val="0"/>
        <charset val="1"/>
      </rPr>
      <t xml:space="preserve">CSL-213 14,500</t>
    </r>
    <r>
      <rPr>
        <sz val="10"/>
        <rFont val="WenQuanYi Zen Hei"/>
        <family val="2"/>
      </rPr>
      <t xml:space="preserve">／</t>
    </r>
    <r>
      <rPr>
        <sz val="10"/>
        <rFont val="Meiryo UI"/>
        <family val="0"/>
        <charset val="1"/>
      </rPr>
      <t xml:space="preserve">CSL-207 10,500USD</t>
    </r>
    <r>
      <rPr>
        <sz val="10"/>
        <rFont val="WenQuanYi Zen Hei"/>
        <family val="2"/>
      </rPr>
      <t xml:space="preserve">。カーブ部は</t>
    </r>
    <r>
      <rPr>
        <sz val="10"/>
        <rFont val="Meiryo UI"/>
        <family val="0"/>
        <charset val="1"/>
      </rPr>
      <t xml:space="preserve">Nawon</t>
    </r>
    <r>
      <rPr>
        <sz val="10"/>
        <rFont val="WenQuanYi Zen Hei"/>
        <family val="2"/>
      </rPr>
      <t xml:space="preserve">がアーム調整の自由度で優位、ストレート型は性能差が小さい</t>
    </r>
  </si>
  <si>
    <r>
      <rPr>
        <sz val="10"/>
        <rFont val="Meiryo UI"/>
        <family val="0"/>
        <charset val="1"/>
      </rPr>
      <t xml:space="preserve">Nawon HTM-8749×2</t>
    </r>
    <r>
      <rPr>
        <sz val="10"/>
        <rFont val="WenQuanYi Zen Hei"/>
        <family val="2"/>
      </rPr>
      <t xml:space="preserve">、</t>
    </r>
    <r>
      <rPr>
        <sz val="10"/>
        <rFont val="Meiryo UI"/>
        <family val="0"/>
        <charset val="1"/>
      </rPr>
      <t xml:space="preserve">8739×1</t>
    </r>
    <r>
      <rPr>
        <sz val="10"/>
        <rFont val="WenQuanYi Zen Hei"/>
        <family val="2"/>
      </rPr>
      <t xml:space="preserve">、</t>
    </r>
    <r>
      <rPr>
        <sz val="10"/>
        <rFont val="Meiryo UI"/>
        <family val="0"/>
        <charset val="1"/>
      </rPr>
      <t xml:space="preserve">8709×1</t>
    </r>
    <r>
      <rPr>
        <sz val="10"/>
        <rFont val="WenQuanYi Zen Hei"/>
        <family val="2"/>
      </rPr>
      <t xml:space="preserve">、</t>
    </r>
    <r>
      <rPr>
        <sz val="10"/>
        <rFont val="Meiryo UI"/>
        <family val="0"/>
        <charset val="1"/>
      </rPr>
      <t xml:space="preserve">8601×1</t>
    </r>
  </si>
  <si>
    <t xml:space="preserve">フロントジッパー・袖・裾・フード曲線を一度で均一にプレス</t>
  </si>
  <si>
    <t xml:space="preserve">顧客要求への対応（受注維持）。品番別不良率を導入後に確認</t>
  </si>
  <si>
    <r>
      <rPr>
        <sz val="10"/>
        <rFont val="Meiryo UI"/>
        <family val="0"/>
        <charset val="1"/>
      </rPr>
      <t xml:space="preserve">5</t>
    </r>
    <r>
      <rPr>
        <sz val="10"/>
        <rFont val="WenQuanYi Zen Hei"/>
        <family val="2"/>
      </rPr>
      <t xml:space="preserve">台。</t>
    </r>
    <r>
      <rPr>
        <sz val="10"/>
        <rFont val="Meiryo UI"/>
        <family val="0"/>
        <charset val="1"/>
      </rPr>
      <t xml:space="preserve">HTM-8709</t>
    </r>
    <r>
      <rPr>
        <sz val="10"/>
        <rFont val="WenQuanYi Zen Hei"/>
        <family val="2"/>
      </rPr>
      <t xml:space="preserve">は</t>
    </r>
    <r>
      <rPr>
        <sz val="10"/>
        <rFont val="Meiryo UI"/>
        <family val="0"/>
        <charset val="1"/>
      </rPr>
      <t xml:space="preserve">H&amp;H</t>
    </r>
    <r>
      <rPr>
        <sz val="10"/>
        <rFont val="WenQuanYi Zen Hei"/>
        <family val="2"/>
      </rPr>
      <t xml:space="preserve">代替で▲</t>
    </r>
    <r>
      <rPr>
        <sz val="10"/>
        <rFont val="Meiryo UI"/>
        <family val="0"/>
        <charset val="1"/>
      </rPr>
      <t xml:space="preserve">9,480USD</t>
    </r>
    <r>
      <rPr>
        <sz val="10"/>
        <rFont val="WenQuanYi Zen Hei"/>
        <family val="2"/>
      </rPr>
      <t xml:space="preserve">の余地（営業確認要）</t>
    </r>
  </si>
  <si>
    <r>
      <rPr>
        <sz val="10"/>
        <rFont val="Meiryo UI"/>
        <family val="0"/>
        <charset val="1"/>
      </rPr>
      <t xml:space="preserve">1</t>
    </r>
    <r>
      <rPr>
        <sz val="10"/>
        <rFont val="WenQuanYi Zen Hei"/>
        <family val="2"/>
      </rPr>
      <t xml:space="preserve">・</t>
    </r>
    <r>
      <rPr>
        <sz val="10"/>
        <rFont val="Meiryo UI"/>
        <family val="0"/>
        <charset val="1"/>
      </rPr>
      <t xml:space="preserve">2</t>
    </r>
  </si>
  <si>
    <r>
      <rPr>
        <sz val="10"/>
        <rFont val="WenQuanYi Zen Hei"/>
        <family val="2"/>
      </rPr>
      <t xml:space="preserve">ロックミシン </t>
    </r>
    <r>
      <rPr>
        <sz val="10"/>
        <rFont val="Meiryo UI"/>
        <family val="0"/>
        <charset val="1"/>
      </rPr>
      <t xml:space="preserve">OL</t>
    </r>
    <r>
      <rPr>
        <sz val="10"/>
        <rFont val="WenQuanYi Zen Hei"/>
        <family val="2"/>
      </rPr>
      <t xml:space="preserve">／</t>
    </r>
    <r>
      <rPr>
        <sz val="10"/>
        <rFont val="Meiryo UI"/>
        <family val="0"/>
        <charset val="1"/>
      </rPr>
      <t xml:space="preserve">IL</t>
    </r>
  </si>
  <si>
    <r>
      <rPr>
        <sz val="10"/>
        <rFont val="Meiryo UI"/>
        <family val="0"/>
        <charset val="1"/>
      </rPr>
      <t xml:space="preserve">OL</t>
    </r>
    <r>
      <rPr>
        <sz val="10"/>
        <rFont val="WenQuanYi Zen Hei"/>
        <family val="2"/>
      </rPr>
      <t xml:space="preserve">実稼働</t>
    </r>
    <r>
      <rPr>
        <sz val="10"/>
        <rFont val="Meiryo UI"/>
        <family val="0"/>
        <charset val="1"/>
      </rPr>
      <t xml:space="preserve">86</t>
    </r>
    <r>
      <rPr>
        <sz val="10"/>
        <rFont val="WenQuanYi Zen Hei"/>
        <family val="2"/>
      </rPr>
      <t xml:space="preserve">台（現有</t>
    </r>
    <r>
      <rPr>
        <sz val="10"/>
        <rFont val="Meiryo UI"/>
        <family val="0"/>
        <charset val="1"/>
      </rPr>
      <t xml:space="preserve">102−</t>
    </r>
    <r>
      <rPr>
        <sz val="10"/>
        <rFont val="WenQuanYi Zen Hei"/>
        <family val="2"/>
      </rPr>
      <t xml:space="preserve">故障</t>
    </r>
    <r>
      <rPr>
        <sz val="10"/>
        <rFont val="Meiryo UI"/>
        <family val="0"/>
        <charset val="1"/>
      </rPr>
      <t xml:space="preserve">4−</t>
    </r>
    <r>
      <rPr>
        <sz val="10"/>
        <rFont val="WenQuanYi Zen Hei"/>
        <family val="2"/>
      </rPr>
      <t xml:space="preserve">サンプル</t>
    </r>
    <r>
      <rPr>
        <sz val="10"/>
        <rFont val="Meiryo UI"/>
        <family val="0"/>
        <charset val="1"/>
      </rPr>
      <t xml:space="preserve">12</t>
    </r>
    <r>
      <rPr>
        <sz val="10"/>
        <rFont val="WenQuanYi Zen Hei"/>
        <family val="2"/>
      </rPr>
      <t xml:space="preserve">）に対しピーク</t>
    </r>
    <r>
      <rPr>
        <sz val="10"/>
        <rFont val="Meiryo UI"/>
        <family val="0"/>
        <charset val="1"/>
      </rPr>
      <t xml:space="preserve">112</t>
    </r>
    <r>
      <rPr>
        <sz val="10"/>
        <rFont val="WenQuanYi Zen Hei"/>
        <family val="2"/>
      </rPr>
      <t xml:space="preserve">台→不足</t>
    </r>
    <r>
      <rPr>
        <sz val="10"/>
        <rFont val="Meiryo UI"/>
        <family val="0"/>
        <charset val="1"/>
      </rPr>
      <t xml:space="preserve">26</t>
    </r>
    <r>
      <rPr>
        <sz val="10"/>
        <rFont val="WenQuanYi Zen Hei"/>
        <family val="2"/>
      </rPr>
      <t xml:space="preserve">台。</t>
    </r>
    <r>
      <rPr>
        <sz val="10"/>
        <rFont val="Meiryo UI"/>
        <family val="0"/>
        <charset val="1"/>
      </rPr>
      <t xml:space="preserve">IL</t>
    </r>
    <r>
      <rPr>
        <sz val="10"/>
        <rFont val="WenQuanYi Zen Hei"/>
        <family val="2"/>
      </rPr>
      <t xml:space="preserve">実稼働</t>
    </r>
    <r>
      <rPr>
        <sz val="10"/>
        <rFont val="Meiryo UI"/>
        <family val="0"/>
        <charset val="1"/>
      </rPr>
      <t xml:space="preserve">64</t>
    </r>
    <r>
      <rPr>
        <sz val="10"/>
        <rFont val="WenQuanYi Zen Hei"/>
        <family val="2"/>
      </rPr>
      <t xml:space="preserve">台、ピーク</t>
    </r>
    <r>
      <rPr>
        <sz val="10"/>
        <rFont val="Meiryo UI"/>
        <family val="0"/>
        <charset val="1"/>
      </rPr>
      <t xml:space="preserve">70</t>
    </r>
    <r>
      <rPr>
        <sz val="10"/>
        <rFont val="WenQuanYi Zen Hei"/>
        <family val="2"/>
      </rPr>
      <t xml:space="preserve">台→不足</t>
    </r>
    <r>
      <rPr>
        <sz val="10"/>
        <rFont val="Meiryo UI"/>
        <family val="0"/>
        <charset val="1"/>
      </rPr>
      <t xml:space="preserve">6</t>
    </r>
    <r>
      <rPr>
        <sz val="10"/>
        <rFont val="WenQuanYi Zen Hei"/>
        <family val="2"/>
      </rPr>
      <t xml:space="preserve">台。繁忙期は第</t>
    </r>
    <r>
      <rPr>
        <sz val="10"/>
        <rFont val="Meiryo UI"/>
        <family val="0"/>
        <charset val="1"/>
      </rPr>
      <t xml:space="preserve">2</t>
    </r>
    <r>
      <rPr>
        <sz val="10"/>
        <rFont val="WenQuanYi Zen Hei"/>
        <family val="2"/>
      </rPr>
      <t xml:space="preserve">工場から</t>
    </r>
    <r>
      <rPr>
        <sz val="10"/>
        <rFont val="Meiryo UI"/>
        <family val="0"/>
        <charset val="1"/>
      </rPr>
      <t xml:space="preserve">10</t>
    </r>
    <r>
      <rPr>
        <sz val="10"/>
        <rFont val="WenQuanYi Zen Hei"/>
        <family val="2"/>
      </rPr>
      <t xml:space="preserve">〜</t>
    </r>
    <r>
      <rPr>
        <sz val="10"/>
        <rFont val="Meiryo UI"/>
        <family val="0"/>
        <charset val="1"/>
      </rPr>
      <t xml:space="preserve">12</t>
    </r>
    <r>
      <rPr>
        <sz val="10"/>
        <rFont val="WenQuanYi Zen Hei"/>
        <family val="2"/>
      </rPr>
      <t xml:space="preserve">台借用、</t>
    </r>
    <r>
      <rPr>
        <sz val="10"/>
        <rFont val="Meiryo UI"/>
        <family val="0"/>
        <charset val="1"/>
      </rPr>
      <t xml:space="preserve">2024</t>
    </r>
    <r>
      <rPr>
        <sz val="10"/>
        <rFont val="WenQuanYi Zen Hei"/>
        <family val="2"/>
      </rPr>
      <t xml:space="preserve">年</t>
    </r>
    <r>
      <rPr>
        <sz val="10"/>
        <rFont val="Meiryo UI"/>
        <family val="0"/>
        <charset val="1"/>
      </rPr>
      <t xml:space="preserve">10</t>
    </r>
    <r>
      <rPr>
        <sz val="10"/>
        <rFont val="WenQuanYi Zen Hei"/>
        <family val="2"/>
      </rPr>
      <t xml:space="preserve">〜</t>
    </r>
    <r>
      <rPr>
        <sz val="10"/>
        <rFont val="Meiryo UI"/>
        <family val="0"/>
        <charset val="1"/>
      </rPr>
      <t xml:space="preserve">12</t>
    </r>
    <r>
      <rPr>
        <sz val="10"/>
        <rFont val="WenQuanYi Zen Hei"/>
        <family val="2"/>
      </rPr>
      <t xml:space="preserve">月は外部レンタル約</t>
    </r>
    <r>
      <rPr>
        <sz val="10"/>
        <rFont val="Meiryo UI"/>
        <family val="0"/>
        <charset val="1"/>
      </rPr>
      <t xml:space="preserve">10</t>
    </r>
    <r>
      <rPr>
        <sz val="10"/>
        <rFont val="WenQuanYi Zen Hei"/>
        <family val="2"/>
      </rPr>
      <t xml:space="preserve">台</t>
    </r>
  </si>
  <si>
    <r>
      <rPr>
        <sz val="10"/>
        <rFont val="WenQuanYi Zen Hei"/>
        <family val="2"/>
      </rPr>
      <t xml:space="preserve">第</t>
    </r>
    <r>
      <rPr>
        <sz val="10"/>
        <rFont val="Meiryo UI"/>
        <family val="0"/>
        <charset val="1"/>
      </rPr>
      <t xml:space="preserve">2</t>
    </r>
    <r>
      <rPr>
        <sz val="10"/>
        <rFont val="WenQuanYi Zen Hei"/>
        <family val="2"/>
      </rPr>
      <t xml:space="preserve">工場借用の継続：先方の受注増で困難／外部レンタル：都度</t>
    </r>
    <r>
      <rPr>
        <sz val="10"/>
        <rFont val="Meiryo UI"/>
        <family val="0"/>
        <charset val="1"/>
      </rPr>
      <t xml:space="preserve">D/N</t>
    </r>
    <r>
      <rPr>
        <sz val="10"/>
        <rFont val="WenQuanYi Zen Hei"/>
        <family val="2"/>
      </rPr>
      <t xml:space="preserve">請求／故障</t>
    </r>
    <r>
      <rPr>
        <sz val="10"/>
        <rFont val="Meiryo UI"/>
        <family val="0"/>
        <charset val="1"/>
      </rPr>
      <t xml:space="preserve">4</t>
    </r>
    <r>
      <rPr>
        <sz val="10"/>
        <rFont val="WenQuanYi Zen Hei"/>
        <family val="2"/>
      </rPr>
      <t xml:space="preserve">台：修理復旧不可</t>
    </r>
  </si>
  <si>
    <r>
      <rPr>
        <sz val="10"/>
        <rFont val="Meiryo UI"/>
        <family val="0"/>
        <charset val="1"/>
      </rPr>
      <t xml:space="preserve">Juki MO-6814</t>
    </r>
    <r>
      <rPr>
        <sz val="10"/>
        <rFont val="WenQuanYi Zen Hei"/>
        <family val="2"/>
      </rPr>
      <t xml:space="preserve">・</t>
    </r>
    <r>
      <rPr>
        <sz val="10"/>
        <rFont val="Meiryo UI"/>
        <family val="0"/>
        <charset val="1"/>
      </rPr>
      <t xml:space="preserve">MO-6816</t>
    </r>
    <r>
      <rPr>
        <sz val="10"/>
        <rFont val="WenQuanYi Zen Hei"/>
        <family val="2"/>
      </rPr>
      <t xml:space="preserve">（サーボ・自動糸切り）</t>
    </r>
  </si>
  <si>
    <r>
      <rPr>
        <sz val="10"/>
        <rFont val="WenQuanYi Zen Hei"/>
        <family val="2"/>
      </rPr>
      <t xml:space="preserve">不足解消。ペダル</t>
    </r>
    <r>
      <rPr>
        <sz val="10"/>
        <rFont val="Meiryo UI"/>
        <family val="0"/>
        <charset val="1"/>
      </rPr>
      <t xml:space="preserve">OFF</t>
    </r>
    <r>
      <rPr>
        <sz val="10"/>
        <rFont val="WenQuanYi Zen Hei"/>
        <family val="2"/>
      </rPr>
      <t xml:space="preserve">で即停止→曲線部の縫いズレ低減。電力</t>
    </r>
    <r>
      <rPr>
        <sz val="10"/>
        <rFont val="Meiryo UI"/>
        <family val="0"/>
        <charset val="1"/>
      </rPr>
      <t xml:space="preserve">1</t>
    </r>
    <r>
      <rPr>
        <sz val="10"/>
        <rFont val="WenQuanYi Zen Hei"/>
        <family val="2"/>
      </rPr>
      <t xml:space="preserve">台▲</t>
    </r>
    <r>
      <rPr>
        <sz val="10"/>
        <rFont val="Meiryo UI"/>
        <family val="0"/>
        <charset val="1"/>
      </rPr>
      <t xml:space="preserve">469.64kWh/</t>
    </r>
    <r>
      <rPr>
        <sz val="10"/>
        <rFont val="WenQuanYi Zen Hei"/>
        <family val="2"/>
      </rPr>
      <t xml:space="preserve">年</t>
    </r>
  </si>
  <si>
    <r>
      <rPr>
        <sz val="10"/>
        <rFont val="WenQuanYi Zen Hei"/>
        <family val="2"/>
      </rPr>
      <t xml:space="preserve">外部レンタル回避（</t>
    </r>
    <r>
      <rPr>
        <sz val="10"/>
        <rFont val="Meiryo UI"/>
        <family val="0"/>
        <charset val="1"/>
      </rPr>
      <t xml:space="preserve">2024</t>
    </r>
    <r>
      <rPr>
        <sz val="10"/>
        <rFont val="WenQuanYi Zen Hei"/>
        <family val="2"/>
      </rPr>
      <t xml:space="preserve">実績額を入力）＋電力</t>
    </r>
    <r>
      <rPr>
        <sz val="10"/>
        <rFont val="Meiryo UI"/>
        <family val="0"/>
        <charset val="1"/>
      </rPr>
      <t xml:space="preserve">37.57USD/</t>
    </r>
    <r>
      <rPr>
        <sz val="10"/>
        <rFont val="WenQuanYi Zen Hei"/>
        <family val="2"/>
      </rPr>
      <t xml:space="preserve">台</t>
    </r>
    <r>
      <rPr>
        <sz val="10"/>
        <rFont val="Meiryo UI"/>
        <family val="0"/>
        <charset val="1"/>
      </rPr>
      <t xml:space="preserve">/</t>
    </r>
    <r>
      <rPr>
        <sz val="10"/>
        <rFont val="WenQuanYi Zen Hei"/>
        <family val="2"/>
      </rPr>
      <t xml:space="preserve">年（副次）</t>
    </r>
  </si>
  <si>
    <r>
      <rPr>
        <sz val="10"/>
        <rFont val="Meiryo UI"/>
        <family val="0"/>
        <charset val="1"/>
      </rPr>
      <t xml:space="preserve">OL5</t>
    </r>
    <r>
      <rPr>
        <sz val="10"/>
        <rFont val="WenQuanYi Zen Hei"/>
        <family val="2"/>
      </rPr>
      <t xml:space="preserve">台（更新</t>
    </r>
    <r>
      <rPr>
        <sz val="10"/>
        <rFont val="Meiryo UI"/>
        <family val="0"/>
        <charset val="1"/>
      </rPr>
      <t xml:space="preserve">4</t>
    </r>
    <r>
      <rPr>
        <sz val="10"/>
        <rFont val="WenQuanYi Zen Hei"/>
        <family val="2"/>
      </rPr>
      <t xml:space="preserve">＋純増</t>
    </r>
    <r>
      <rPr>
        <sz val="10"/>
        <rFont val="Meiryo UI"/>
        <family val="0"/>
        <charset val="1"/>
      </rPr>
      <t xml:space="preserve">1</t>
    </r>
    <r>
      <rPr>
        <sz val="10"/>
        <rFont val="WenQuanYi Zen Hei"/>
        <family val="2"/>
      </rPr>
      <t xml:space="preserve">）・</t>
    </r>
    <r>
      <rPr>
        <sz val="10"/>
        <rFont val="Meiryo UI"/>
        <family val="0"/>
        <charset val="1"/>
      </rPr>
      <t xml:space="preserve">IL2</t>
    </r>
    <r>
      <rPr>
        <sz val="10"/>
        <rFont val="WenQuanYi Zen Hei"/>
        <family val="2"/>
      </rPr>
      <t xml:space="preserve">台</t>
    </r>
  </si>
  <si>
    <r>
      <rPr>
        <sz val="10"/>
        <rFont val="Meiryo UI"/>
        <family val="0"/>
        <charset val="1"/>
      </rPr>
      <t xml:space="preserve">05_</t>
    </r>
    <r>
      <rPr>
        <sz val="10"/>
        <rFont val="WenQuanYi Zen Hei"/>
        <family val="2"/>
      </rPr>
      <t xml:space="preserve">ロック必要台数
</t>
    </r>
    <r>
      <rPr>
        <sz val="10"/>
        <rFont val="Meiryo UI"/>
        <family val="0"/>
        <charset val="1"/>
      </rPr>
      <t xml:space="preserve">06_</t>
    </r>
    <r>
      <rPr>
        <sz val="10"/>
        <rFont val="WenQuanYi Zen Hei"/>
        <family val="2"/>
      </rPr>
      <t xml:space="preserve">サーボ電力</t>
    </r>
  </si>
  <si>
    <r>
      <rPr>
        <sz val="10"/>
        <rFont val="WenQuanYi Zen Hei"/>
        <family val="2"/>
      </rPr>
      <t xml:space="preserve">手作業</t>
    </r>
    <r>
      <rPr>
        <sz val="10"/>
        <rFont val="Meiryo UI"/>
        <family val="0"/>
        <charset val="1"/>
      </rPr>
      <t xml:space="preserve">6</t>
    </r>
    <r>
      <rPr>
        <sz val="10"/>
        <rFont val="WenQuanYi Zen Hei"/>
        <family val="2"/>
      </rPr>
      <t xml:space="preserve">工程・</t>
    </r>
    <r>
      <rPr>
        <sz val="10"/>
        <rFont val="Meiryo UI"/>
        <family val="0"/>
        <charset val="1"/>
      </rPr>
      <t xml:space="preserve">340</t>
    </r>
    <r>
      <rPr>
        <sz val="10"/>
        <rFont val="WenQuanYi Zen Hei"/>
        <family val="2"/>
      </rPr>
      <t xml:space="preserve">秒、改善治具＋</t>
    </r>
    <r>
      <rPr>
        <sz val="10"/>
        <rFont val="Meiryo UI"/>
        <family val="0"/>
        <charset val="1"/>
      </rPr>
      <t xml:space="preserve">1</t>
    </r>
    <r>
      <rPr>
        <sz val="10"/>
        <rFont val="WenQuanYi Zen Hei"/>
        <family val="2"/>
      </rPr>
      <t xml:space="preserve">本針</t>
    </r>
    <r>
      <rPr>
        <sz val="10"/>
        <rFont val="Meiryo UI"/>
        <family val="0"/>
        <charset val="1"/>
      </rPr>
      <t xml:space="preserve">3</t>
    </r>
    <r>
      <rPr>
        <sz val="10"/>
        <rFont val="WenQuanYi Zen Hei"/>
        <family val="2"/>
      </rPr>
      <t xml:space="preserve">工程・</t>
    </r>
    <r>
      <rPr>
        <sz val="10"/>
        <rFont val="Meiryo UI"/>
        <family val="0"/>
        <charset val="1"/>
      </rPr>
      <t xml:space="preserve">330</t>
    </r>
    <r>
      <rPr>
        <sz val="10"/>
        <rFont val="WenQuanYi Zen Hei"/>
        <family val="2"/>
      </rPr>
      <t xml:space="preserve">秒（例）。熟練者依存、習熟期間が長い。</t>
    </r>
    <r>
      <rPr>
        <sz val="10"/>
        <rFont val="Meiryo UI"/>
        <family val="0"/>
        <charset val="1"/>
      </rPr>
      <t xml:space="preserve">GW</t>
    </r>
    <r>
      <rPr>
        <sz val="10"/>
        <rFont val="WenQuanYi Zen Hei"/>
        <family val="2"/>
      </rPr>
      <t xml:space="preserve">系はポケットファスナーを</t>
    </r>
    <r>
      <rPr>
        <sz val="10"/>
        <rFont val="Meiryo UI"/>
        <family val="0"/>
        <charset val="1"/>
      </rPr>
      <t xml:space="preserve">PS</t>
    </r>
    <r>
      <rPr>
        <sz val="10"/>
        <rFont val="WenQuanYi Zen Hei"/>
        <family val="2"/>
      </rPr>
      <t xml:space="preserve">で縫う指示あり</t>
    </r>
  </si>
  <si>
    <t xml:space="preserve">改善治具：工程は集約できるが作業者は全時間拘束、熟練依存が残る</t>
  </si>
  <si>
    <r>
      <rPr>
        <sz val="10"/>
        <rFont val="Meiryo UI"/>
        <family val="0"/>
        <charset val="1"/>
      </rPr>
      <t xml:space="preserve">Hikari HMS-6040</t>
    </r>
    <r>
      <rPr>
        <sz val="10"/>
        <rFont val="WenQuanYi Zen Hei"/>
        <family val="2"/>
      </rPr>
      <t xml:space="preserve">（既存</t>
    </r>
    <r>
      <rPr>
        <sz val="10"/>
        <rFont val="Meiryo UI"/>
        <family val="0"/>
        <charset val="1"/>
      </rPr>
      <t xml:space="preserve">5</t>
    </r>
    <r>
      <rPr>
        <sz val="10"/>
        <rFont val="WenQuanYi Zen Hei"/>
        <family val="2"/>
      </rPr>
      <t xml:space="preserve">台、稼働問題なし）</t>
    </r>
  </si>
  <si>
    <r>
      <rPr>
        <sz val="10"/>
        <rFont val="Meiryo UI"/>
        <family val="0"/>
        <charset val="1"/>
      </rPr>
      <t xml:space="preserve">2</t>
    </r>
    <r>
      <rPr>
        <sz val="10"/>
        <rFont val="WenQuanYi Zen Hei"/>
        <family val="2"/>
      </rPr>
      <t xml:space="preserve">工程・</t>
    </r>
    <r>
      <rPr>
        <sz val="10"/>
        <rFont val="Meiryo UI"/>
        <family val="0"/>
        <charset val="1"/>
      </rPr>
      <t xml:space="preserve">310</t>
    </r>
    <r>
      <rPr>
        <sz val="10"/>
        <rFont val="WenQuanYi Zen Hei"/>
        <family val="2"/>
      </rPr>
      <t xml:space="preserve">秒（例）。自動縫製中は次製品を準備でき拘束時間が減る。全ケースでサイクルが短くなるわけではない</t>
    </r>
  </si>
  <si>
    <r>
      <rPr>
        <sz val="10"/>
        <rFont val="WenQuanYi Zen Hei"/>
        <family val="2"/>
      </rPr>
      <t xml:space="preserve">省人工数（</t>
    </r>
    <r>
      <rPr>
        <sz val="10"/>
        <rFont val="Meiryo UI"/>
        <family val="0"/>
        <charset val="1"/>
      </rPr>
      <t xml:space="preserve">07</t>
    </r>
    <r>
      <rPr>
        <sz val="10"/>
        <rFont val="WenQuanYi Zen Hei"/>
        <family val="2"/>
      </rPr>
      <t xml:space="preserve">で実測値から算出）、習熟期間短縮、品質安定</t>
    </r>
  </si>
  <si>
    <r>
      <rPr>
        <sz val="10"/>
        <rFont val="Meiryo UI"/>
        <family val="0"/>
        <charset val="1"/>
      </rPr>
      <t xml:space="preserve">3</t>
    </r>
    <r>
      <rPr>
        <sz val="10"/>
        <rFont val="WenQuanYi Zen Hei"/>
        <family val="2"/>
      </rPr>
      <t xml:space="preserve">台。運用設計（</t>
    </r>
    <r>
      <rPr>
        <sz val="10"/>
        <rFont val="Meiryo UI"/>
        <family val="0"/>
        <charset val="1"/>
      </rPr>
      <t xml:space="preserve">08</t>
    </r>
    <r>
      <rPr>
        <sz val="10"/>
        <rFont val="WenQuanYi Zen Hei"/>
        <family val="2"/>
      </rPr>
      <t xml:space="preserve">）とセットで導入</t>
    </r>
  </si>
  <si>
    <r>
      <rPr>
        <sz val="10"/>
        <rFont val="Meiryo UI"/>
        <family val="0"/>
        <charset val="1"/>
      </rPr>
      <t xml:space="preserve">07_</t>
    </r>
    <r>
      <rPr>
        <sz val="10"/>
        <rFont val="WenQuanYi Zen Hei"/>
        <family val="2"/>
      </rPr>
      <t xml:space="preserve">省人効果
</t>
    </r>
    <r>
      <rPr>
        <sz val="10"/>
        <rFont val="Meiryo UI"/>
        <family val="0"/>
        <charset val="1"/>
      </rPr>
      <t xml:space="preserve">08_PS</t>
    </r>
    <r>
      <rPr>
        <sz val="10"/>
        <rFont val="WenQuanYi Zen Hei"/>
        <family val="2"/>
      </rPr>
      <t xml:space="preserve">運用設計</t>
    </r>
  </si>
  <si>
    <r>
      <rPr>
        <sz val="10"/>
        <rFont val="WenQuanYi Zen Hei"/>
        <family val="2"/>
      </rPr>
      <t xml:space="preserve">パターンシーマ 大型 </t>
    </r>
    <r>
      <rPr>
        <sz val="10"/>
        <rFont val="Meiryo UI"/>
        <family val="0"/>
        <charset val="1"/>
      </rPr>
      <t xml:space="preserve">130×95</t>
    </r>
  </si>
  <si>
    <r>
      <rPr>
        <sz val="10"/>
        <rFont val="WenQuanYi Zen Hei"/>
        <family val="2"/>
      </rPr>
      <t xml:space="preserve">現有</t>
    </r>
    <r>
      <rPr>
        <sz val="10"/>
        <rFont val="Meiryo UI"/>
        <family val="0"/>
        <charset val="1"/>
      </rPr>
      <t xml:space="preserve">3</t>
    </r>
    <r>
      <rPr>
        <sz val="10"/>
        <rFont val="WenQuanYi Zen Hei"/>
        <family val="2"/>
      </rPr>
      <t xml:space="preserve">台。</t>
    </r>
    <r>
      <rPr>
        <sz val="10"/>
        <rFont val="Meiryo UI"/>
        <family val="0"/>
        <charset val="1"/>
      </rPr>
      <t xml:space="preserve">2025</t>
    </r>
    <r>
      <rPr>
        <sz val="10"/>
        <rFont val="WenQuanYi Zen Hei"/>
        <family val="2"/>
      </rPr>
      <t xml:space="preserve">年大型</t>
    </r>
    <r>
      <rPr>
        <sz val="10"/>
        <rFont val="Meiryo UI"/>
        <family val="0"/>
        <charset val="1"/>
      </rPr>
      <t xml:space="preserve">PS</t>
    </r>
    <r>
      <rPr>
        <sz val="10"/>
        <rFont val="WenQuanYi Zen Hei"/>
        <family val="2"/>
      </rPr>
      <t xml:space="preserve">レンタル</t>
    </r>
    <r>
      <rPr>
        <sz val="10"/>
        <rFont val="Meiryo UI"/>
        <family val="0"/>
        <charset val="1"/>
      </rPr>
      <t xml:space="preserve">3,016.54USD</t>
    </r>
    <r>
      <rPr>
        <sz val="10"/>
        <rFont val="WenQuanYi Zen Hei"/>
        <family val="2"/>
      </rPr>
      <t xml:space="preserve">。キルティングは外注（</t>
    </r>
    <r>
      <rPr>
        <sz val="10"/>
        <rFont val="Meiryo UI"/>
        <family val="0"/>
        <charset val="1"/>
      </rPr>
      <t xml:space="preserve">25FW</t>
    </r>
    <r>
      <rPr>
        <sz val="10"/>
        <rFont val="WenQuanYi Zen Hei"/>
        <family val="2"/>
      </rPr>
      <t xml:space="preserve">で約</t>
    </r>
    <r>
      <rPr>
        <sz val="10"/>
        <rFont val="Meiryo UI"/>
        <family val="0"/>
        <charset val="1"/>
      </rPr>
      <t xml:space="preserve">3</t>
    </r>
    <r>
      <rPr>
        <sz val="10"/>
        <rFont val="WenQuanYi Zen Hei"/>
        <family val="2"/>
      </rPr>
      <t xml:space="preserve">千</t>
    </r>
    <r>
      <rPr>
        <sz val="10"/>
        <rFont val="Meiryo UI"/>
        <family val="0"/>
        <charset val="1"/>
      </rPr>
      <t xml:space="preserve">USD</t>
    </r>
    <r>
      <rPr>
        <sz val="10"/>
        <rFont val="WenQuanYi Zen Hei"/>
        <family val="2"/>
      </rPr>
      <t xml:space="preserve">、納期約</t>
    </r>
    <r>
      <rPr>
        <sz val="10"/>
        <rFont val="Meiryo UI"/>
        <family val="0"/>
        <charset val="1"/>
      </rPr>
      <t xml:space="preserve">1</t>
    </r>
    <r>
      <rPr>
        <sz val="10"/>
        <rFont val="WenQuanYi Zen Hei"/>
        <family val="2"/>
      </rPr>
      <t xml:space="preserve">か月）。</t>
    </r>
    <r>
      <rPr>
        <sz val="10"/>
        <rFont val="Meiryo UI"/>
        <family val="0"/>
        <charset val="1"/>
      </rPr>
      <t xml:space="preserve">GW</t>
    </r>
    <r>
      <rPr>
        <sz val="10"/>
        <rFont val="WenQuanYi Zen Hei"/>
        <family val="2"/>
      </rPr>
      <t xml:space="preserve">系はフロントファスナーを</t>
    </r>
    <r>
      <rPr>
        <sz val="10"/>
        <rFont val="Meiryo UI"/>
        <family val="0"/>
        <charset val="1"/>
      </rPr>
      <t xml:space="preserve">PS</t>
    </r>
    <r>
      <rPr>
        <sz val="10"/>
        <rFont val="WenQuanYi Zen Hei"/>
        <family val="2"/>
      </rPr>
      <t xml:space="preserve">で縫う指示あり</t>
    </r>
  </si>
  <si>
    <t xml:space="preserve">レンタル継続・キルティング外注継続</t>
  </si>
  <si>
    <r>
      <rPr>
        <sz val="10"/>
        <rFont val="Meiryo UI"/>
        <family val="0"/>
        <charset val="1"/>
      </rPr>
      <t xml:space="preserve">Hikari HMS-13095A/RND</t>
    </r>
    <r>
      <rPr>
        <sz val="10"/>
        <rFont val="WenQuanYi Zen Hei"/>
        <family val="2"/>
      </rPr>
      <t xml:space="preserve">（</t>
    </r>
    <r>
      <rPr>
        <sz val="10"/>
        <rFont val="Meiryo UI"/>
        <family val="0"/>
        <charset val="1"/>
      </rPr>
      <t xml:space="preserve">360</t>
    </r>
    <r>
      <rPr>
        <sz val="10"/>
        <rFont val="WenQuanYi Zen Hei"/>
        <family val="2"/>
      </rPr>
      <t xml:space="preserve">度回転ヘッド）</t>
    </r>
  </si>
  <si>
    <r>
      <rPr>
        <sz val="10"/>
        <rFont val="WenQuanYi Zen Hei"/>
        <family val="2"/>
      </rPr>
      <t xml:space="preserve">レンタル・外注を内製化、納期約</t>
    </r>
    <r>
      <rPr>
        <sz val="10"/>
        <rFont val="Meiryo UI"/>
        <family val="0"/>
        <charset val="1"/>
      </rPr>
      <t xml:space="preserve">1</t>
    </r>
    <r>
      <rPr>
        <sz val="10"/>
        <rFont val="WenQuanYi Zen Hei"/>
        <family val="2"/>
      </rPr>
      <t xml:space="preserve">か月短縮、フロントファスナーの直線性向上</t>
    </r>
  </si>
  <si>
    <r>
      <rPr>
        <sz val="10"/>
        <rFont val="WenQuanYi Zen Hei"/>
        <family val="2"/>
      </rPr>
      <t xml:space="preserve">レンタル</t>
    </r>
    <r>
      <rPr>
        <sz val="10"/>
        <rFont val="Meiryo UI"/>
        <family val="0"/>
        <charset val="1"/>
      </rPr>
      <t xml:space="preserve">3,016.54</t>
    </r>
    <r>
      <rPr>
        <sz val="10"/>
        <rFont val="WenQuanYi Zen Hei"/>
        <family val="2"/>
      </rPr>
      <t xml:space="preserve">＋外注約</t>
    </r>
    <r>
      <rPr>
        <sz val="10"/>
        <rFont val="Meiryo UI"/>
        <family val="0"/>
        <charset val="1"/>
      </rPr>
      <t xml:space="preserve">3,000</t>
    </r>
    <r>
      <rPr>
        <sz val="10"/>
        <rFont val="WenQuanYi Zen Hei"/>
        <family val="2"/>
      </rPr>
      <t xml:space="preserve">＝約</t>
    </r>
    <r>
      <rPr>
        <sz val="10"/>
        <rFont val="Meiryo UI"/>
        <family val="0"/>
        <charset val="1"/>
      </rPr>
      <t xml:space="preserve">6,000USD/</t>
    </r>
    <r>
      <rPr>
        <sz val="10"/>
        <rFont val="WenQuanYi Zen Hei"/>
        <family val="2"/>
      </rPr>
      <t xml:space="preserve">年＋省人効果</t>
    </r>
  </si>
  <si>
    <r>
      <rPr>
        <sz val="10"/>
        <rFont val="Meiryo UI"/>
        <family val="0"/>
        <charset val="1"/>
      </rPr>
      <t xml:space="preserve">6→4</t>
    </r>
    <r>
      <rPr>
        <sz val="10"/>
        <rFont val="WenQuanYi Zen Hei"/>
        <family val="2"/>
      </rPr>
      <t xml:space="preserve">台（段階導入、効果確認後に追加）</t>
    </r>
  </si>
  <si>
    <r>
      <rPr>
        <sz val="10"/>
        <rFont val="Meiryo UI"/>
        <family val="0"/>
        <charset val="1"/>
      </rPr>
      <t xml:space="preserve">07_</t>
    </r>
    <r>
      <rPr>
        <sz val="10"/>
        <rFont val="WenQuanYi Zen Hei"/>
        <family val="2"/>
      </rPr>
      <t xml:space="preserve">省人効果
</t>
    </r>
    <r>
      <rPr>
        <sz val="10"/>
        <rFont val="Meiryo UI"/>
        <family val="0"/>
        <charset val="1"/>
      </rPr>
      <t xml:space="preserve">12_</t>
    </r>
    <r>
      <rPr>
        <sz val="10"/>
        <rFont val="WenQuanYi Zen Hei"/>
        <family val="2"/>
      </rPr>
      <t xml:space="preserve">レンタル費</t>
    </r>
  </si>
  <si>
    <r>
      <rPr>
        <sz val="10"/>
        <rFont val="WenQuanYi Zen Hei"/>
        <family val="2"/>
      </rPr>
      <t xml:space="preserve">現有</t>
    </r>
    <r>
      <rPr>
        <sz val="10"/>
        <rFont val="Meiryo UI"/>
        <family val="0"/>
        <charset val="1"/>
      </rPr>
      <t xml:space="preserve">17</t>
    </r>
    <r>
      <rPr>
        <sz val="10"/>
        <rFont val="WenQuanYi Zen Hei"/>
        <family val="2"/>
      </rPr>
      <t xml:space="preserve">台（</t>
    </r>
    <r>
      <rPr>
        <sz val="10"/>
        <rFont val="Meiryo UI"/>
        <family val="0"/>
        <charset val="1"/>
      </rPr>
      <t xml:space="preserve">DUMA8</t>
    </r>
    <r>
      <rPr>
        <sz val="10"/>
        <rFont val="WenQuanYi Zen Hei"/>
        <family val="2"/>
      </rPr>
      <t xml:space="preserve">・</t>
    </r>
    <r>
      <rPr>
        <sz val="10"/>
        <rFont val="Meiryo UI"/>
        <family val="0"/>
        <charset val="1"/>
      </rPr>
      <t xml:space="preserve">JUKI9</t>
    </r>
    <r>
      <rPr>
        <sz val="10"/>
        <rFont val="WenQuanYi Zen Hei"/>
        <family val="2"/>
      </rPr>
      <t xml:space="preserve">）、各ライン</t>
    </r>
    <r>
      <rPr>
        <sz val="10"/>
        <rFont val="Meiryo UI"/>
        <family val="0"/>
        <charset val="1"/>
      </rPr>
      <t xml:space="preserve">1</t>
    </r>
    <r>
      <rPr>
        <sz val="10"/>
        <rFont val="WenQuanYi Zen Hei"/>
        <family val="2"/>
      </rPr>
      <t xml:space="preserve">台必要（</t>
    </r>
    <r>
      <rPr>
        <sz val="10"/>
        <rFont val="Meiryo UI"/>
        <family val="0"/>
        <charset val="1"/>
      </rPr>
      <t xml:space="preserve">31</t>
    </r>
    <r>
      <rPr>
        <sz val="10"/>
        <rFont val="WenQuanYi Zen Hei"/>
        <family val="2"/>
      </rPr>
      <t xml:space="preserve">台）。</t>
    </r>
    <r>
      <rPr>
        <sz val="10"/>
        <rFont val="Meiryo UI"/>
        <family val="0"/>
        <charset val="1"/>
      </rPr>
      <t xml:space="preserve">25</t>
    </r>
    <r>
      <rPr>
        <sz val="10"/>
        <rFont val="WenQuanYi Zen Hei"/>
        <family val="2"/>
      </rPr>
      <t xml:space="preserve">年度の積み残し分をレンタルで対応</t>
    </r>
  </si>
  <si>
    <r>
      <rPr>
        <sz val="10"/>
        <rFont val="Meiryo UI"/>
        <family val="0"/>
        <charset val="1"/>
      </rPr>
      <t xml:space="preserve">Juki DDL-9010</t>
    </r>
    <r>
      <rPr>
        <sz val="10"/>
        <rFont val="WenQuanYi Zen Hei"/>
        <family val="2"/>
      </rPr>
      <t xml:space="preserve">（</t>
    </r>
    <r>
      <rPr>
        <sz val="10"/>
        <rFont val="Meiryo UI"/>
        <family val="0"/>
        <charset val="1"/>
      </rPr>
      <t xml:space="preserve">3,500USD/</t>
    </r>
    <r>
      <rPr>
        <sz val="10"/>
        <rFont val="WenQuanYi Zen Hei"/>
        <family val="2"/>
      </rPr>
      <t xml:space="preserve">台）</t>
    </r>
  </si>
  <si>
    <r>
      <rPr>
        <sz val="10"/>
        <rFont val="Meiryo UI"/>
        <family val="0"/>
        <charset val="1"/>
      </rPr>
      <t xml:space="preserve">DUMA DM1968L-NF 880USD/</t>
    </r>
    <r>
      <rPr>
        <sz val="10"/>
        <rFont val="WenQuanYi Zen Hei"/>
        <family val="2"/>
      </rPr>
      <t xml:space="preserve">台</t>
    </r>
  </si>
  <si>
    <r>
      <rPr>
        <sz val="10"/>
        <rFont val="WenQuanYi Zen Hei"/>
        <family val="2"/>
      </rPr>
      <t xml:space="preserve">価格は約</t>
    </r>
    <r>
      <rPr>
        <sz val="10"/>
        <rFont val="Meiryo UI"/>
        <family val="0"/>
        <charset val="1"/>
      </rPr>
      <t xml:space="preserve">1/4</t>
    </r>
    <r>
      <rPr>
        <sz val="10"/>
        <rFont val="WenQuanYi Zen Hei"/>
        <family val="2"/>
      </rPr>
      <t xml:space="preserve">。部品はメーカー専用品（互換なし）。使用実績</t>
    </r>
    <r>
      <rPr>
        <sz val="10"/>
        <rFont val="Meiryo UI"/>
        <family val="0"/>
        <charset val="1"/>
      </rPr>
      <t xml:space="preserve">1</t>
    </r>
    <r>
      <rPr>
        <sz val="10"/>
        <rFont val="WenQuanYi Zen Hei"/>
        <family val="2"/>
      </rPr>
      <t xml:space="preserve">年</t>
    </r>
  </si>
  <si>
    <r>
      <rPr>
        <sz val="10"/>
        <rFont val="WenQuanYi Zen Hei"/>
        <family val="2"/>
      </rPr>
      <t xml:space="preserve">レンタル回避額は</t>
    </r>
    <r>
      <rPr>
        <sz val="10"/>
        <rFont val="Meiryo UI"/>
        <family val="0"/>
        <charset val="1"/>
      </rPr>
      <t xml:space="preserve">2025</t>
    </r>
    <r>
      <rPr>
        <sz val="10"/>
        <rFont val="WenQuanYi Zen Hei"/>
        <family val="2"/>
      </rPr>
      <t xml:space="preserve">明細で確認（原案</t>
    </r>
    <r>
      <rPr>
        <sz val="10"/>
        <rFont val="Meiryo UI"/>
        <family val="0"/>
        <charset val="1"/>
      </rPr>
      <t xml:space="preserve">13,440USD/</t>
    </r>
    <r>
      <rPr>
        <sz val="10"/>
        <rFont val="WenQuanYi Zen Hei"/>
        <family val="2"/>
      </rPr>
      <t xml:space="preserve">年は不整合→修正）</t>
    </r>
  </si>
  <si>
    <r>
      <rPr>
        <sz val="10"/>
        <rFont val="Meiryo UI"/>
        <family val="0"/>
        <charset val="1"/>
      </rPr>
      <t xml:space="preserve">10</t>
    </r>
    <r>
      <rPr>
        <sz val="10"/>
        <rFont val="WenQuanYi Zen Hei"/>
        <family val="2"/>
      </rPr>
      <t xml:space="preserve">台</t>
    </r>
  </si>
  <si>
    <r>
      <rPr>
        <sz val="10"/>
        <rFont val="Meiryo UI"/>
        <family val="0"/>
        <charset val="1"/>
      </rPr>
      <t xml:space="preserve">12_</t>
    </r>
    <r>
      <rPr>
        <sz val="10"/>
        <rFont val="WenQuanYi Zen Hei"/>
        <family val="2"/>
      </rPr>
      <t xml:space="preserve">レンタル費
</t>
    </r>
    <r>
      <rPr>
        <sz val="10"/>
        <rFont val="Meiryo UI"/>
        <family val="0"/>
        <charset val="1"/>
      </rPr>
      <t xml:space="preserve">14_</t>
    </r>
    <r>
      <rPr>
        <sz val="10"/>
        <rFont val="WenQuanYi Zen Hei"/>
        <family val="2"/>
      </rPr>
      <t xml:space="preserve">原案チェック</t>
    </r>
  </si>
  <si>
    <r>
      <rPr>
        <sz val="10"/>
        <rFont val="Meiryo UI"/>
        <family val="0"/>
        <charset val="1"/>
      </rPr>
      <t xml:space="preserve">30×10cm 26</t>
    </r>
    <r>
      <rPr>
        <sz val="10"/>
        <rFont val="WenQuanYi Zen Hei"/>
        <family val="2"/>
      </rPr>
      <t xml:space="preserve">台で不足。面積が小さくプレス回数が増えシワのリスク</t>
    </r>
  </si>
  <si>
    <t xml:space="preserve">現有機でプレス回数を増やす</t>
  </si>
  <si>
    <t xml:space="preserve">H&amp;H CSL-201 60×12cm</t>
  </si>
  <si>
    <r>
      <rPr>
        <sz val="10"/>
        <rFont val="Meiryo UI"/>
        <family val="0"/>
        <charset val="1"/>
      </rPr>
      <t xml:space="preserve">1</t>
    </r>
    <r>
      <rPr>
        <sz val="10"/>
        <rFont val="WenQuanYi Zen Hei"/>
        <family val="2"/>
      </rPr>
      <t xml:space="preserve">回の処理面積が約</t>
    </r>
    <r>
      <rPr>
        <sz val="10"/>
        <rFont val="Meiryo UI"/>
        <family val="0"/>
        <charset val="1"/>
      </rPr>
      <t xml:space="preserve">2.4</t>
    </r>
    <r>
      <rPr>
        <sz val="10"/>
        <rFont val="WenQuanYi Zen Hei"/>
        <family val="2"/>
      </rPr>
      <t xml:space="preserve">倍、工程秒約半分（原案）</t>
    </r>
  </si>
  <si>
    <r>
      <rPr>
        <sz val="10"/>
        <rFont val="WenQuanYi Zen Hei"/>
        <family val="2"/>
      </rPr>
      <t xml:space="preserve">削減秒</t>
    </r>
    <r>
      <rPr>
        <sz val="10"/>
        <rFont val="Meiryo UI"/>
        <family val="0"/>
        <charset val="1"/>
      </rPr>
      <t xml:space="preserve">×</t>
    </r>
    <r>
      <rPr>
        <sz val="10"/>
        <rFont val="WenQuanYi Zen Hei"/>
        <family val="2"/>
      </rPr>
      <t xml:space="preserve">対象数量で算出（数量入力待ち）</t>
    </r>
  </si>
  <si>
    <r>
      <rPr>
        <sz val="10"/>
        <rFont val="Meiryo UI"/>
        <family val="0"/>
        <charset val="1"/>
      </rPr>
      <t xml:space="preserve">6</t>
    </r>
    <r>
      <rPr>
        <sz val="10"/>
        <rFont val="WenQuanYi Zen Hei"/>
        <family val="2"/>
      </rPr>
      <t xml:space="preserve">台</t>
    </r>
  </si>
  <si>
    <r>
      <rPr>
        <sz val="10"/>
        <rFont val="WenQuanYi Zen Hei"/>
        <family val="2"/>
      </rPr>
      <t xml:space="preserve">袖・裾など長尺パーツは限られた熟練者または</t>
    </r>
    <r>
      <rPr>
        <sz val="10"/>
        <rFont val="Meiryo UI"/>
        <family val="0"/>
        <charset val="1"/>
      </rPr>
      <t xml:space="preserve">2</t>
    </r>
    <r>
      <rPr>
        <sz val="10"/>
        <rFont val="WenQuanYi Zen Hei"/>
        <family val="2"/>
      </rPr>
      <t xml:space="preserve">名体制で作業</t>
    </r>
  </si>
  <si>
    <r>
      <rPr>
        <sz val="10"/>
        <rFont val="WenQuanYi Zen Hei"/>
        <family val="2"/>
      </rPr>
      <t xml:space="preserve">既存機へのアタッチメント：不可（</t>
    </r>
    <r>
      <rPr>
        <sz val="10"/>
        <rFont val="Meiryo UI"/>
        <family val="0"/>
        <charset val="1"/>
      </rPr>
      <t xml:space="preserve">H&amp;H</t>
    </r>
    <r>
      <rPr>
        <sz val="10"/>
        <rFont val="WenQuanYi Zen Hei"/>
        <family val="2"/>
      </rPr>
      <t xml:space="preserve">・工場技術で確認済）</t>
    </r>
  </si>
  <si>
    <r>
      <rPr>
        <sz val="10"/>
        <rFont val="WenQuanYi Zen Hei"/>
        <family val="2"/>
      </rPr>
      <t xml:space="preserve">長尺パーツを</t>
    </r>
    <r>
      <rPr>
        <sz val="10"/>
        <rFont val="Meiryo UI"/>
        <family val="0"/>
        <charset val="1"/>
      </rPr>
      <t xml:space="preserve">1</t>
    </r>
    <r>
      <rPr>
        <sz val="10"/>
        <rFont val="WenQuanYi Zen Hei"/>
        <family val="2"/>
      </rPr>
      <t xml:space="preserve">名で作業、テープ接着精度向上</t>
    </r>
  </si>
  <si>
    <r>
      <rPr>
        <sz val="10"/>
        <rFont val="Meiryo UI"/>
        <family val="0"/>
        <charset val="1"/>
      </rPr>
      <t xml:space="preserve">2</t>
    </r>
    <r>
      <rPr>
        <sz val="10"/>
        <rFont val="WenQuanYi Zen Hei"/>
        <family val="2"/>
      </rPr>
      <t xml:space="preserve">名→</t>
    </r>
    <r>
      <rPr>
        <sz val="10"/>
        <rFont val="Meiryo UI"/>
        <family val="0"/>
        <charset val="1"/>
      </rPr>
      <t xml:space="preserve">1</t>
    </r>
    <r>
      <rPr>
        <sz val="10"/>
        <rFont val="WenQuanYi Zen Hei"/>
        <family val="2"/>
      </rPr>
      <t xml:space="preserve">名分の工数削減（</t>
    </r>
    <r>
      <rPr>
        <sz val="10"/>
        <rFont val="Meiryo UI"/>
        <family val="0"/>
        <charset val="1"/>
      </rPr>
      <t xml:space="preserve">07</t>
    </r>
    <r>
      <rPr>
        <sz val="10"/>
        <rFont val="WenQuanYi Zen Hei"/>
        <family val="2"/>
      </rPr>
      <t xml:space="preserve">で算出）</t>
    </r>
  </si>
  <si>
    <r>
      <rPr>
        <sz val="10"/>
        <rFont val="Meiryo UI"/>
        <family val="0"/>
        <charset val="1"/>
      </rPr>
      <t xml:space="preserve">3→2</t>
    </r>
    <r>
      <rPr>
        <sz val="10"/>
        <rFont val="WenQuanYi Zen Hei"/>
        <family val="2"/>
      </rPr>
      <t xml:space="preserve">台（効果確認後に追加）</t>
    </r>
  </si>
  <si>
    <r>
      <rPr>
        <sz val="10"/>
        <rFont val="WenQuanYi Zen Hei"/>
        <family val="2"/>
      </rPr>
      <t xml:space="preserve">小型機で分割プレス→接着ムラ・シワ（</t>
    </r>
    <r>
      <rPr>
        <sz val="10"/>
        <rFont val="Meiryo UI"/>
        <family val="0"/>
        <charset val="1"/>
      </rPr>
      <t xml:space="preserve">TNF</t>
    </r>
    <r>
      <rPr>
        <sz val="10"/>
        <rFont val="WenQuanYi Zen Hei"/>
        <family val="2"/>
      </rPr>
      <t xml:space="preserve">エアチャンバー</t>
    </r>
    <r>
      <rPr>
        <sz val="10"/>
        <rFont val="Meiryo UI"/>
        <family val="0"/>
        <charset val="1"/>
      </rPr>
      <t xml:space="preserve">PUR</t>
    </r>
    <r>
      <rPr>
        <sz val="10"/>
        <rFont val="WenQuanYi Zen Hei"/>
        <family val="2"/>
      </rPr>
      <t xml:space="preserve">接着）</t>
    </r>
  </si>
  <si>
    <t xml:space="preserve">分割プレスを継続</t>
  </si>
  <si>
    <t xml:space="preserve">H&amp;H CS-691 125×83cm</t>
  </si>
  <si>
    <r>
      <rPr>
        <sz val="10"/>
        <rFont val="WenQuanYi Zen Hei"/>
        <family val="2"/>
      </rPr>
      <t xml:space="preserve">大型パーツを</t>
    </r>
    <r>
      <rPr>
        <sz val="10"/>
        <rFont val="Meiryo UI"/>
        <family val="0"/>
        <charset val="1"/>
      </rPr>
      <t xml:space="preserve">1</t>
    </r>
    <r>
      <rPr>
        <sz val="10"/>
        <rFont val="WenQuanYi Zen Hei"/>
        <family val="2"/>
      </rPr>
      <t xml:space="preserve">回でプレス</t>
    </r>
  </si>
  <si>
    <r>
      <rPr>
        <sz val="10"/>
        <rFont val="WenQuanYi Zen Hei"/>
        <family val="2"/>
      </rPr>
      <t xml:space="preserve">プレス回数削減（品番別に計測）。精度は</t>
    </r>
    <r>
      <rPr>
        <sz val="10"/>
        <rFont val="Meiryo UI"/>
        <family val="0"/>
        <charset val="1"/>
      </rPr>
      <t xml:space="preserve">10</t>
    </r>
    <r>
      <rPr>
        <sz val="10"/>
        <rFont val="WenQuanYi Zen Hei"/>
        <family val="2"/>
      </rPr>
      <t xml:space="preserve">の方法で担保</t>
    </r>
  </si>
  <si>
    <r>
      <rPr>
        <sz val="10"/>
        <rFont val="Meiryo UI"/>
        <family val="0"/>
        <charset val="1"/>
      </rPr>
      <t xml:space="preserve">2→1</t>
    </r>
    <r>
      <rPr>
        <sz val="10"/>
        <rFont val="WenQuanYi Zen Hei"/>
        <family val="2"/>
      </rPr>
      <t xml:space="preserve">台（検証後に追加）</t>
    </r>
  </si>
  <si>
    <r>
      <rPr>
        <sz val="10"/>
        <rFont val="WenQuanYi Zen Hei"/>
        <family val="2"/>
      </rPr>
      <t xml:space="preserve">シームシーリング </t>
    </r>
    <r>
      <rPr>
        <sz val="10"/>
        <rFont val="Meiryo UI"/>
        <family val="0"/>
        <charset val="1"/>
      </rPr>
      <t xml:space="preserve">Spec-IJ</t>
    </r>
  </si>
  <si>
    <t xml:space="preserve">フード等の曲線部でシーム剥離</t>
  </si>
  <si>
    <t xml:space="preserve">傾斜ポール切替・特殊ローラー</t>
  </si>
  <si>
    <t xml:space="preserve">剥離不良率で評価</t>
  </si>
  <si>
    <r>
      <rPr>
        <sz val="10"/>
        <rFont val="Meiryo UI"/>
        <family val="0"/>
        <charset val="1"/>
      </rPr>
      <t xml:space="preserve">1</t>
    </r>
    <r>
      <rPr>
        <sz val="10"/>
        <rFont val="WenQuanYi Zen Hei"/>
        <family val="2"/>
      </rPr>
      <t xml:space="preserve">台（評価用）</t>
    </r>
  </si>
  <si>
    <r>
      <rPr>
        <sz val="10"/>
        <rFont val="WenQuanYi Zen Hei"/>
        <family val="2"/>
      </rPr>
      <t xml:space="preserve">超音波溶着機 </t>
    </r>
    <r>
      <rPr>
        <sz val="10"/>
        <rFont val="Meiryo UI"/>
        <family val="0"/>
        <charset val="1"/>
      </rPr>
      <t xml:space="preserve">US-512</t>
    </r>
  </si>
  <si>
    <r>
      <rPr>
        <sz val="10"/>
        <rFont val="Meiryo UI"/>
        <family val="0"/>
        <charset val="1"/>
      </rPr>
      <t xml:space="preserve">28Hz</t>
    </r>
    <r>
      <rPr>
        <sz val="10"/>
        <rFont val="WenQuanYi Zen Hei"/>
        <family val="2"/>
      </rPr>
      <t xml:space="preserve">機では一部素材で溶着不良</t>
    </r>
  </si>
  <si>
    <r>
      <rPr>
        <sz val="10"/>
        <rFont val="Meiryo UI"/>
        <family val="0"/>
        <charset val="1"/>
      </rPr>
      <t xml:space="preserve">H&amp;H US-512</t>
    </r>
    <r>
      <rPr>
        <sz val="10"/>
        <rFont val="WenQuanYi Zen Hei"/>
        <family val="2"/>
      </rPr>
      <t xml:space="preserve">（</t>
    </r>
    <r>
      <rPr>
        <sz val="10"/>
        <rFont val="Meiryo UI"/>
        <family val="0"/>
        <charset val="1"/>
      </rPr>
      <t xml:space="preserve">35Hz</t>
    </r>
    <r>
      <rPr>
        <sz val="10"/>
        <rFont val="WenQuanYi Zen Hei"/>
        <family val="2"/>
      </rPr>
      <t xml:space="preserve">）</t>
    </r>
  </si>
  <si>
    <t xml:space="preserve">薄手素材に対応</t>
  </si>
  <si>
    <t xml:space="preserve">サンプル試作で評価、営業提案の幅を広げる</t>
  </si>
  <si>
    <r>
      <rPr>
        <sz val="10"/>
        <rFont val="Meiryo UI"/>
        <family val="0"/>
        <charset val="1"/>
      </rPr>
      <t xml:space="preserve">1</t>
    </r>
    <r>
      <rPr>
        <sz val="10"/>
        <rFont val="WenQuanYi Zen Hei"/>
        <family val="2"/>
      </rPr>
      <t xml:space="preserve">台（トライアル）</t>
    </r>
  </si>
  <si>
    <t xml:space="preserve">縮絨機</t>
  </si>
  <si>
    <t xml:space="preserve">生地が不安定なサプライヤーあり。過去のウール試験は効果が明確でなかった</t>
  </si>
  <si>
    <t xml:space="preserve">未定</t>
  </si>
  <si>
    <t xml:space="preserve">試験後に判断</t>
  </si>
  <si>
    <t xml:space="preserve">3,16,17,
18※,19,20</t>
  </si>
  <si>
    <r>
      <rPr>
        <sz val="10"/>
        <rFont val="WenQuanYi Zen Hei"/>
        <family val="2"/>
      </rPr>
      <t xml:space="preserve">眠り穴・自動延反機・ダウン充填機・</t>
    </r>
    <r>
      <rPr>
        <sz val="10"/>
        <rFont val="Meiryo UI"/>
        <family val="0"/>
        <charset val="1"/>
      </rPr>
      <t xml:space="preserve">Nawon</t>
    </r>
    <r>
      <rPr>
        <sz val="10"/>
        <rFont val="WenQuanYi Zen Hei"/>
        <family val="2"/>
      </rPr>
      <t xml:space="preserve">テーピング</t>
    </r>
    <r>
      <rPr>
        <sz val="10"/>
        <rFont val="Meiryo UI"/>
        <family val="0"/>
        <charset val="1"/>
      </rPr>
      <t xml:space="preserve">2</t>
    </r>
    <r>
      <rPr>
        <sz val="10"/>
        <rFont val="WenQuanYi Zen Hei"/>
        <family val="2"/>
      </rPr>
      <t xml:space="preserve">機種・刺繍機</t>
    </r>
  </si>
  <si>
    <r>
      <rPr>
        <sz val="10"/>
        <rFont val="Meiryo UI"/>
        <family val="0"/>
        <charset val="1"/>
      </rPr>
      <t xml:space="preserve">2026</t>
    </r>
    <r>
      <rPr>
        <sz val="10"/>
        <rFont val="WenQuanYi Zen Hei"/>
        <family val="2"/>
      </rPr>
      <t xml:space="preserve">年度は計上しない（打合せ結論・原案優先②）</t>
    </r>
  </si>
</sst>
</file>

<file path=xl/styles.xml><?xml version="1.0" encoding="utf-8"?>
<styleSheet xmlns="http://schemas.openxmlformats.org/spreadsheetml/2006/main">
  <numFmts count="12">
    <numFmt numFmtId="164" formatCode="General"/>
    <numFmt numFmtId="165" formatCode="#,##0;\(#,##0\);\-"/>
    <numFmt numFmtId="166" formatCode="#,##0"/>
    <numFmt numFmtId="167" formatCode="#,##0.0"/>
    <numFmt numFmtId="168" formatCode="0.0%;\(0.0%\);\-"/>
    <numFmt numFmtId="169" formatCode="0.000"/>
    <numFmt numFmtId="170" formatCode="0.0"/>
    <numFmt numFmtId="171" formatCode="#,##0.000;\(#,##0.000\);\-"/>
    <numFmt numFmtId="172" formatCode="#,##0.00;\(#,##0.00\);\-"/>
    <numFmt numFmtId="173" formatCode="#,##0;\(#,##0\);0"/>
    <numFmt numFmtId="174" formatCode="@"/>
    <numFmt numFmtId="175" formatCode="0.0\年"/>
  </numFmts>
  <fonts count="24">
    <font>
      <sz val="11"/>
      <color theme="1"/>
      <name val="Calibri"/>
      <family val="2"/>
      <charset val="1"/>
    </font>
    <font>
      <sz val="10"/>
      <name val="Arial"/>
      <family val="0"/>
    </font>
    <font>
      <sz val="10"/>
      <name val="Arial"/>
      <family val="0"/>
    </font>
    <font>
      <sz val="10"/>
      <name val="Arial"/>
      <family val="0"/>
    </font>
    <font>
      <b val="true"/>
      <sz val="14"/>
      <color rgb="FF1F4E78"/>
      <name val="Meiryo UI"/>
      <family val="0"/>
      <charset val="1"/>
    </font>
    <font>
      <b val="true"/>
      <sz val="14"/>
      <color rgb="FF1F4E78"/>
      <name val="WenQuanYi Zen Hei"/>
      <family val="2"/>
    </font>
    <font>
      <i val="true"/>
      <sz val="9"/>
      <color rgb="FF595959"/>
      <name val="WenQuanYi Zen Hei"/>
      <family val="2"/>
    </font>
    <font>
      <i val="true"/>
      <sz val="9"/>
      <color rgb="FF595959"/>
      <name val="Meiryo UI"/>
      <family val="0"/>
      <charset val="1"/>
    </font>
    <font>
      <b val="true"/>
      <sz val="11"/>
      <color rgb="FF1F4E78"/>
      <name val="Meiryo UI"/>
      <family val="0"/>
      <charset val="1"/>
    </font>
    <font>
      <b val="true"/>
      <sz val="11"/>
      <color rgb="FF1F4E78"/>
      <name val="WenQuanYi Zen Hei"/>
      <family val="2"/>
    </font>
    <font>
      <sz val="10"/>
      <name val="WenQuanYi Zen Hei"/>
      <family val="2"/>
    </font>
    <font>
      <sz val="10"/>
      <name val="Meiryo UI"/>
      <family val="0"/>
      <charset val="1"/>
    </font>
    <font>
      <b val="true"/>
      <sz val="10"/>
      <color rgb="FFFFFFFF"/>
      <name val="WenQuanYi Zen Hei"/>
      <family val="2"/>
    </font>
    <font>
      <b val="true"/>
      <sz val="10"/>
      <color rgb="FFFFFFFF"/>
      <name val="Meiryo UI"/>
      <family val="0"/>
      <charset val="1"/>
    </font>
    <font>
      <b val="true"/>
      <sz val="10"/>
      <name val="WenQuanYi Zen Hei"/>
      <family val="2"/>
    </font>
    <font>
      <sz val="10"/>
      <color rgb="FF008000"/>
      <name val="Meiryo UI"/>
      <family val="0"/>
      <charset val="1"/>
    </font>
    <font>
      <b val="true"/>
      <sz val="10"/>
      <name val="Meiryo UI"/>
      <family val="0"/>
      <charset val="1"/>
    </font>
    <font>
      <u val="single"/>
      <sz val="10"/>
      <color rgb="FF0563C1"/>
      <name val="Meiryo UI"/>
      <family val="0"/>
      <charset val="1"/>
    </font>
    <font>
      <sz val="10"/>
      <color rgb="FF0000FF"/>
      <name val="WenQuanYi Zen Hei"/>
      <family val="2"/>
    </font>
    <font>
      <sz val="10"/>
      <color rgb="FF008000"/>
      <name val="WenQuanYi Zen Hei"/>
      <family val="2"/>
    </font>
    <font>
      <i val="true"/>
      <sz val="10"/>
      <color rgb="FF808080"/>
      <name val="WenQuanYi Zen Hei"/>
      <family val="2"/>
    </font>
    <font>
      <sz val="10"/>
      <color rgb="FF0000FF"/>
      <name val="Meiryo UI"/>
      <family val="0"/>
      <charset val="1"/>
    </font>
    <font>
      <i val="true"/>
      <sz val="10"/>
      <color rgb="FF808080"/>
      <name val="Meiryo UI"/>
      <family val="0"/>
      <charset val="1"/>
    </font>
    <font>
      <sz val="10"/>
      <name val="Arial"/>
      <family val="2"/>
    </font>
  </fonts>
  <fills count="12">
    <fill>
      <patternFill patternType="none"/>
    </fill>
    <fill>
      <patternFill patternType="gray125"/>
    </fill>
    <fill>
      <patternFill patternType="solid">
        <fgColor rgb="FF1F4E78"/>
        <bgColor rgb="FF003366"/>
      </patternFill>
    </fill>
    <fill>
      <patternFill patternType="solid">
        <fgColor rgb="FFFFFF99"/>
        <bgColor rgb="FFFFF2CC"/>
      </patternFill>
    </fill>
    <fill>
      <patternFill patternType="solid">
        <fgColor rgb="FFEDEDED"/>
        <bgColor rgb="FFF2F2F2"/>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F8CBAD"/>
        <bgColor rgb="FFFCE4D6"/>
      </patternFill>
    </fill>
    <fill>
      <patternFill patternType="solid">
        <fgColor rgb="FFFCE4D6"/>
        <bgColor rgb="FFFFF2CC"/>
      </patternFill>
    </fill>
    <fill>
      <patternFill patternType="solid">
        <fgColor rgb="FFF2F2F2"/>
        <bgColor rgb="FFEDEDED"/>
      </patternFill>
    </fill>
    <fill>
      <patternFill patternType="solid">
        <fgColor rgb="FF2F75B5"/>
        <bgColor rgb="FF0563C1"/>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5"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21" fillId="3" borderId="1" xfId="0" applyFont="true" applyBorder="true" applyAlignment="true" applyProtection="false">
      <alignment horizontal="general" vertical="top" textRotation="0" wrapText="true" indent="0" shrinkToFit="false"/>
      <protection locked="true" hidden="false"/>
    </xf>
    <xf numFmtId="167" fontId="21" fillId="3" borderId="1" xfId="0" applyFont="true" applyBorder="true" applyAlignment="true" applyProtection="false">
      <alignment horizontal="general" vertical="top" textRotation="0" wrapText="true" indent="0" shrinkToFit="false"/>
      <protection locked="true" hidden="false"/>
    </xf>
    <xf numFmtId="168" fontId="21" fillId="3"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69" fontId="21" fillId="3" borderId="1" xfId="0" applyFont="true" applyBorder="true" applyAlignment="true" applyProtection="false">
      <alignment horizontal="general" vertical="top" textRotation="0" wrapText="true" indent="0" shrinkToFit="false"/>
      <protection locked="true" hidden="false"/>
    </xf>
    <xf numFmtId="165" fontId="21" fillId="3"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21" fillId="0" borderId="1" xfId="0" applyFont="true" applyBorder="true" applyAlignment="true" applyProtection="false">
      <alignment horizontal="general" vertical="top" textRotation="0" wrapText="true" indent="0" shrinkToFit="false"/>
      <protection locked="true" hidden="false"/>
    </xf>
    <xf numFmtId="166" fontId="21" fillId="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6" fontId="16" fillId="10" borderId="1" xfId="0" applyFont="true" applyBorder="true" applyAlignment="true" applyProtection="false">
      <alignment horizontal="general" vertical="top" textRotation="0" wrapText="true" indent="0" shrinkToFit="false"/>
      <protection locked="true" hidden="false"/>
    </xf>
    <xf numFmtId="165" fontId="16" fillId="1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16" fillId="5"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70" fontId="16"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6" fontId="16" fillId="5" borderId="1" xfId="0" applyFont="true" applyBorder="true" applyAlignment="true" applyProtection="false">
      <alignment horizontal="general" vertical="top" textRotation="0" wrapText="true" indent="0" shrinkToFit="false"/>
      <protection locked="true" hidden="false"/>
    </xf>
    <xf numFmtId="170" fontId="15" fillId="0" borderId="1" xfId="0" applyFont="true" applyBorder="true" applyAlignment="true" applyProtection="false">
      <alignment horizontal="general" vertical="top" textRotation="0" wrapText="true" indent="0" shrinkToFit="false"/>
      <protection locked="true" hidden="false"/>
    </xf>
    <xf numFmtId="170" fontId="11" fillId="0" borderId="1" xfId="0" applyFont="true" applyBorder="true" applyAlignment="true" applyProtection="false">
      <alignment horizontal="general" vertical="top" textRotation="0" wrapText="true" indent="0" shrinkToFit="false"/>
      <protection locked="true" hidden="false"/>
    </xf>
    <xf numFmtId="170" fontId="21" fillId="3" borderId="1" xfId="0" applyFont="true" applyBorder="true" applyAlignment="true" applyProtection="false">
      <alignment horizontal="general" vertical="top" textRotation="0" wrapText="true" indent="0" shrinkToFit="false"/>
      <protection locked="true" hidden="false"/>
    </xf>
    <xf numFmtId="171" fontId="11" fillId="0" borderId="1" xfId="0" applyFont="true" applyBorder="true" applyAlignment="true" applyProtection="false">
      <alignment horizontal="general" vertical="top" textRotation="0" wrapText="true" indent="0" shrinkToFit="false"/>
      <protection locked="true" hidden="false"/>
    </xf>
    <xf numFmtId="172" fontId="11" fillId="0" borderId="1" xfId="0" applyFont="true" applyBorder="true" applyAlignment="true" applyProtection="false">
      <alignment horizontal="general" vertical="top" textRotation="0" wrapText="true" indent="0" shrinkToFit="false"/>
      <protection locked="true" hidden="false"/>
    </xf>
    <xf numFmtId="172" fontId="16" fillId="5"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6" fontId="22" fillId="4" borderId="1" xfId="0" applyFont="true" applyBorder="true" applyAlignment="true" applyProtection="false">
      <alignment horizontal="general" vertical="top" textRotation="0" wrapText="true" indent="0" shrinkToFit="false"/>
      <protection locked="true" hidden="false"/>
    </xf>
    <xf numFmtId="173" fontId="22" fillId="4" borderId="1" xfId="0" applyFont="true" applyBorder="true" applyAlignment="true" applyProtection="false">
      <alignment horizontal="general" vertical="top" textRotation="0" wrapText="true" indent="0" shrinkToFit="false"/>
      <protection locked="true" hidden="false"/>
    </xf>
    <xf numFmtId="165" fontId="22" fillId="4" borderId="1" xfId="0" applyFont="true" applyBorder="true" applyAlignment="true" applyProtection="false">
      <alignment horizontal="general" vertical="top" textRotation="0" wrapText="true" indent="0" shrinkToFit="false"/>
      <protection locked="true" hidden="false"/>
    </xf>
    <xf numFmtId="171" fontId="22" fillId="4" borderId="1" xfId="0" applyFont="true" applyBorder="true" applyAlignment="true" applyProtection="false">
      <alignment horizontal="general" vertical="top" textRotation="0" wrapText="true" indent="0" shrinkToFit="false"/>
      <protection locked="true" hidden="false"/>
    </xf>
    <xf numFmtId="174" fontId="22" fillId="4" borderId="1" xfId="0" applyFont="true" applyBorder="true" applyAlignment="true" applyProtection="false">
      <alignment horizontal="general" vertical="top" textRotation="0" wrapText="true" indent="0" shrinkToFit="false"/>
      <protection locked="true" hidden="false"/>
    </xf>
    <xf numFmtId="164" fontId="21" fillId="3" borderId="1" xfId="0" applyFont="true" applyBorder="true" applyAlignment="true" applyProtection="false">
      <alignment horizontal="general" vertical="top" textRotation="0" wrapText="true" indent="0" shrinkToFit="false"/>
      <protection locked="true" hidden="false"/>
    </xf>
    <xf numFmtId="173" fontId="11" fillId="0" borderId="1" xfId="0" applyFont="true" applyBorder="true" applyAlignment="true" applyProtection="false">
      <alignment horizontal="general" vertical="top" textRotation="0" wrapText="true" indent="0" shrinkToFit="false"/>
      <protection locked="true" hidden="false"/>
    </xf>
    <xf numFmtId="174" fontId="11" fillId="0" borderId="1" xfId="0" applyFont="true" applyBorder="true" applyAlignment="true" applyProtection="false">
      <alignment horizontal="general" vertical="top" textRotation="0" wrapText="true" indent="0" shrinkToFit="false"/>
      <protection locked="true" hidden="false"/>
    </xf>
    <xf numFmtId="171" fontId="16" fillId="10" borderId="1" xfId="0" applyFont="true" applyBorder="true" applyAlignment="true" applyProtection="false">
      <alignment horizontal="general" vertical="top" textRotation="0" wrapText="true" indent="0" shrinkToFit="false"/>
      <protection locked="true" hidden="false"/>
    </xf>
    <xf numFmtId="164" fontId="20" fillId="4" borderId="2" xfId="0" applyFont="true" applyBorder="true" applyAlignment="true" applyProtection="false">
      <alignment horizontal="general" vertical="top" textRotation="0" wrapText="true" indent="0" shrinkToFit="false"/>
      <protection locked="true" hidden="false"/>
    </xf>
    <xf numFmtId="165" fontId="22" fillId="4" borderId="2" xfId="0" applyFont="true" applyBorder="true" applyAlignment="true" applyProtection="false">
      <alignment horizontal="general" vertical="top" textRotation="0" wrapText="true" indent="0" shrinkToFit="false"/>
      <protection locked="true" hidden="false"/>
    </xf>
    <xf numFmtId="171" fontId="22" fillId="4" borderId="2" xfId="0" applyFont="true" applyBorder="true" applyAlignment="true" applyProtection="false">
      <alignment horizontal="general" vertical="top" textRotation="0" wrapText="true" indent="0" shrinkToFit="false"/>
      <protection locked="true" hidden="false"/>
    </xf>
    <xf numFmtId="164" fontId="21" fillId="3" borderId="2" xfId="0" applyFont="true" applyBorder="true" applyAlignment="true" applyProtection="false">
      <alignment horizontal="general" vertical="top" textRotation="0" wrapText="true" indent="0" shrinkToFit="false"/>
      <protection locked="true" hidden="false"/>
    </xf>
    <xf numFmtId="165" fontId="11" fillId="0" borderId="2" xfId="0" applyFont="true" applyBorder="true" applyAlignment="true" applyProtection="false">
      <alignment horizontal="general" vertical="top" textRotation="0" wrapText="true" indent="0" shrinkToFit="false"/>
      <protection locked="true" hidden="false"/>
    </xf>
    <xf numFmtId="171" fontId="11"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72" fontId="21" fillId="3" borderId="1" xfId="0" applyFont="true" applyBorder="true" applyAlignment="true" applyProtection="false">
      <alignment horizontal="general" vertical="top" textRotation="0" wrapText="true" indent="0" shrinkToFit="false"/>
      <protection locked="true" hidden="false"/>
    </xf>
    <xf numFmtId="172" fontId="16" fillId="10"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72" fontId="15" fillId="0" borderId="1" xfId="0" applyFont="true" applyBorder="true" applyAlignment="true" applyProtection="false">
      <alignment horizontal="general" vertical="top" textRotation="0" wrapText="true" indent="0" shrinkToFit="false"/>
      <protection locked="true" hidden="false"/>
    </xf>
    <xf numFmtId="172" fontId="16" fillId="0" borderId="1" xfId="0" applyFont="true" applyBorder="true" applyAlignment="true" applyProtection="false">
      <alignment horizontal="general" vertical="top" textRotation="0" wrapText="true" indent="0" shrinkToFit="false"/>
      <protection locked="true" hidden="false"/>
    </xf>
    <xf numFmtId="175" fontId="11" fillId="0" borderId="1" xfId="0" applyFont="true" applyBorder="true" applyAlignment="true" applyProtection="false">
      <alignment horizontal="general" vertical="top" textRotation="0" wrapText="true" indent="0" shrinkToFit="false"/>
      <protection locked="true" hidden="false"/>
    </xf>
    <xf numFmtId="175" fontId="16" fillId="1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CE4D6"/>
      <rgbColor rgb="FF808080"/>
      <rgbColor rgb="FF9999FF"/>
      <rgbColor rgb="FF993366"/>
      <rgbColor rgb="FFFFF2CC"/>
      <rgbColor rgb="FFDDEBF7"/>
      <rgbColor rgb="FF660066"/>
      <rgbColor rgb="FFFF8080"/>
      <rgbColor rgb="FF0563C1"/>
      <rgbColor rgb="FFEDEDED"/>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8CBAD"/>
      <rgbColor rgb="FF2F75B5"/>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PIC2026&#24180;&#24230;&#35373;&#20633;&#25237;&#36039;_&#35500;&#26126;&#36039;&#26009;_&#36027;&#29992;&#23550;&#21177;&#26524;.xlsx" TargetMode="External"/><Relationship Id="rId2" Type="http://schemas.openxmlformats.org/officeDocument/2006/relationships/hyperlink" Target="APIC2026&#24180;&#24230;&#35373;&#20633;&#25237;&#36039;_&#35500;&#26126;&#36039;&#26009;_&#36027;&#29992;&#23550;&#21177;&#26524;.xlsx" TargetMode="External"/><Relationship Id="rId3" Type="http://schemas.openxmlformats.org/officeDocument/2006/relationships/hyperlink" Target="APIC2026&#24180;&#24230;&#35373;&#20633;&#25237;&#36039;_&#35500;&#26126;&#36039;&#26009;_&#36027;&#29992;&#23550;&#21177;&#26524;.xlsx" TargetMode="External"/><Relationship Id="rId4" Type="http://schemas.openxmlformats.org/officeDocument/2006/relationships/hyperlink" Target="APIC2026&#24180;&#24230;&#35373;&#20633;&#25237;&#36039;_&#35500;&#26126;&#36039;&#26009;_&#36027;&#29992;&#23550;&#21177;&#26524;.xlsx" TargetMode="External"/><Relationship Id="rId5" Type="http://schemas.openxmlformats.org/officeDocument/2006/relationships/hyperlink" Target="APIC2026&#24180;&#24230;&#35373;&#20633;&#25237;&#36039;_&#35500;&#26126;&#36039;&#26009;_&#36027;&#29992;&#23550;&#21177;&#26524;.xlsx" TargetMode="External"/><Relationship Id="rId6" Type="http://schemas.openxmlformats.org/officeDocument/2006/relationships/hyperlink" Target="APIC2026&#24180;&#24230;&#35373;&#20633;&#25237;&#36039;_&#35500;&#26126;&#36039;&#26009;_&#36027;&#29992;&#23550;&#21177;&#26524;.xlsx" TargetMode="External"/><Relationship Id="rId7" Type="http://schemas.openxmlformats.org/officeDocument/2006/relationships/hyperlink" Target="APIC2026&#24180;&#24230;&#35373;&#20633;&#25237;&#36039;_&#35500;&#26126;&#36039;&#26009;_&#36027;&#29992;&#23550;&#21177;&#26524;.xlsx" TargetMode="External"/><Relationship Id="rId8" Type="http://schemas.openxmlformats.org/officeDocument/2006/relationships/hyperlink" Target="APIC2026&#24180;&#24230;&#35373;&#20633;&#25237;&#36039;_&#35500;&#26126;&#36039;&#26009;_&#36027;&#29992;&#23550;&#21177;&#26524;.xlsx" TargetMode="External"/><Relationship Id="rId9" Type="http://schemas.openxmlformats.org/officeDocument/2006/relationships/hyperlink" Target="APIC2026&#24180;&#24230;&#35373;&#20633;&#25237;&#36039;_&#35500;&#26126;&#36039;&#26009;_&#36027;&#29992;&#23550;&#21177;&#26524;.xlsx" TargetMode="External"/><Relationship Id="rId10" Type="http://schemas.openxmlformats.org/officeDocument/2006/relationships/hyperlink" Target="APIC2026&#24180;&#24230;&#35373;&#20633;&#25237;&#36039;_&#35500;&#26126;&#36039;&#26009;_&#36027;&#29992;&#23550;&#21177;&#26524;.xlsx" TargetMode="External"/><Relationship Id="rId11" Type="http://schemas.openxmlformats.org/officeDocument/2006/relationships/hyperlink" Target="APIC2026&#24180;&#24230;&#35373;&#20633;&#25237;&#36039;_&#35500;&#26126;&#36039;&#26009;_&#36027;&#29992;&#23550;&#21177;&#26524;.xlsx" TargetMode="External"/><Relationship Id="rId12" Type="http://schemas.openxmlformats.org/officeDocument/2006/relationships/hyperlink" Target="APIC2026&#24180;&#24230;&#35373;&#20633;&#25237;&#36039;_&#35500;&#26126;&#36039;&#26009;_&#36027;&#29992;&#23550;&#21177;&#26524;.xlsx" TargetMode="External"/><Relationship Id="rId13" Type="http://schemas.openxmlformats.org/officeDocument/2006/relationships/hyperlink" Target="APIC2026&#24180;&#24230;&#35373;&#20633;&#25237;&#36039;_&#35500;&#26126;&#36039;&#26009;_&#36027;&#29992;&#23550;&#21177;&#26524;.xlsx" TargetMode="External"/><Relationship Id="rId14" Type="http://schemas.openxmlformats.org/officeDocument/2006/relationships/hyperlink" Target="APIC2026&#24180;&#24230;&#35373;&#20633;&#25237;&#36039;_&#35500;&#26126;&#36039;&#26009;_&#36027;&#29992;&#23550;&#21177;&#26524;.xlsx"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60"/>
    <col collapsed="false" customWidth="true" hidden="false" outlineLevel="0" max="5" min="4" style="0" width="22"/>
  </cols>
  <sheetData>
    <row r="1" customFormat="false" ht="24" hidden="false" customHeight="true" outlineLevel="0" collapsed="false">
      <c r="A1" s="1" t="s">
        <v>0</v>
      </c>
    </row>
    <row r="2" customFormat="false" ht="15" hidden="false" customHeight="false" outlineLevel="0" collapsed="false">
      <c r="A2" s="2" t="s">
        <v>1</v>
      </c>
    </row>
    <row r="3" customFormat="false" ht="19.5" hidden="false" customHeight="true" outlineLevel="0" collapsed="false">
      <c r="A3" s="3" t="s">
        <v>2</v>
      </c>
    </row>
    <row r="4" customFormat="false" ht="30" hidden="false" customHeight="true" outlineLevel="0" collapsed="false">
      <c r="B4" s="4" t="s">
        <v>3</v>
      </c>
      <c r="C4" s="4"/>
      <c r="D4" s="4"/>
      <c r="E4" s="4"/>
    </row>
    <row r="5" customFormat="false" ht="30" hidden="false" customHeight="true" outlineLevel="0" collapsed="false">
      <c r="B5" s="4" t="s">
        <v>4</v>
      </c>
      <c r="C5" s="4"/>
      <c r="D5" s="4"/>
      <c r="E5" s="4"/>
    </row>
    <row r="6" customFormat="false" ht="30" hidden="false" customHeight="true" outlineLevel="0" collapsed="false">
      <c r="B6" s="4" t="s">
        <v>5</v>
      </c>
      <c r="C6" s="4"/>
      <c r="D6" s="4"/>
      <c r="E6" s="4"/>
    </row>
    <row r="7" customFormat="false" ht="30" hidden="false" customHeight="true" outlineLevel="0" collapsed="false">
      <c r="B7" s="4" t="s">
        <v>6</v>
      </c>
      <c r="C7" s="4"/>
      <c r="D7" s="4"/>
      <c r="E7" s="4"/>
    </row>
    <row r="9" customFormat="false" ht="19.5" hidden="false" customHeight="true" outlineLevel="0" collapsed="false">
      <c r="A9" s="3" t="s">
        <v>7</v>
      </c>
    </row>
    <row r="10" customFormat="false" ht="31.5" hidden="false" customHeight="true" outlineLevel="0" collapsed="false">
      <c r="B10" s="5" t="s">
        <v>8</v>
      </c>
      <c r="C10" s="6" t="s">
        <v>9</v>
      </c>
      <c r="D10" s="5" t="s">
        <v>10</v>
      </c>
      <c r="E10" s="5" t="s">
        <v>11</v>
      </c>
    </row>
    <row r="11" customFormat="false" ht="15" hidden="false" customHeight="false" outlineLevel="0" collapsed="false">
      <c r="B11" s="7" t="s">
        <v>12</v>
      </c>
      <c r="C11" s="8" t="n">
        <f aca="false">02_投資総括!$H$26</f>
        <v>267343</v>
      </c>
      <c r="D11" s="8" t="n">
        <f aca="false">02_投資総括!$H$26*01_前提条件!$C$5</f>
        <v>42774880</v>
      </c>
      <c r="E11" s="9" t="s">
        <v>13</v>
      </c>
    </row>
    <row r="12" customFormat="false" ht="26.85" hidden="false" customHeight="false" outlineLevel="0" collapsed="false">
      <c r="B12" s="7" t="s">
        <v>14</v>
      </c>
      <c r="C12" s="8" t="n">
        <f aca="false">02_投資総括!$J$26</f>
        <v>246923</v>
      </c>
      <c r="D12" s="8" t="n">
        <f aca="false">02_投資総括!$K$26</f>
        <v>39507680</v>
      </c>
      <c r="E12" s="10" t="s">
        <v>15</v>
      </c>
    </row>
    <row r="13" customFormat="false" ht="15" hidden="false" customHeight="false" outlineLevel="0" collapsed="false">
      <c r="B13" s="7" t="s">
        <v>16</v>
      </c>
      <c r="C13" s="11" t="n">
        <f aca="false">01_前提条件!$C$13/01_前提条件!$C$5-C12</f>
        <v>3077</v>
      </c>
      <c r="D13" s="11" t="n">
        <f aca="false">01_前提条件!$C$13-D12</f>
        <v>492320</v>
      </c>
      <c r="E13" s="10" t="s">
        <v>17</v>
      </c>
    </row>
    <row r="14" customFormat="false" ht="26.85" hidden="false" customHeight="false" outlineLevel="0" collapsed="false">
      <c r="B14" s="12" t="s">
        <v>18</v>
      </c>
      <c r="C14" s="8" t="n">
        <f aca="false">01_前提条件!$C$12</f>
        <v>50000</v>
      </c>
      <c r="D14" s="8" t="n">
        <f aca="false">01_前提条件!$C$12*01_前提条件!$C$5</f>
        <v>8000000</v>
      </c>
      <c r="E14" s="10" t="s">
        <v>19</v>
      </c>
    </row>
    <row r="15" customFormat="false" ht="15" hidden="false" customHeight="false" outlineLevel="0" collapsed="false">
      <c r="B15" s="12" t="s">
        <v>20</v>
      </c>
      <c r="C15" s="11" t="n">
        <f aca="false">C12-C14</f>
        <v>196923</v>
      </c>
      <c r="D15" s="11" t="n">
        <f aca="false">D12-D14</f>
        <v>31507680</v>
      </c>
      <c r="E15" s="10"/>
    </row>
    <row r="17" customFormat="false" ht="19.5" hidden="false" customHeight="true" outlineLevel="0" collapsed="false">
      <c r="A17" s="3" t="s">
        <v>21</v>
      </c>
    </row>
    <row r="18" customFormat="false" ht="31.5" hidden="false" customHeight="true" outlineLevel="0" collapsed="false">
      <c r="B18" s="5" t="s">
        <v>22</v>
      </c>
      <c r="C18" s="5" t="s">
        <v>23</v>
      </c>
      <c r="D18" s="5" t="s">
        <v>24</v>
      </c>
    </row>
    <row r="19" customFormat="false" ht="26.85" hidden="false" customHeight="false" outlineLevel="0" collapsed="false">
      <c r="B19" s="13" t="s">
        <v>25</v>
      </c>
      <c r="C19" s="10" t="s">
        <v>26</v>
      </c>
      <c r="D19" s="14"/>
    </row>
    <row r="20" customFormat="false" ht="15" hidden="false" customHeight="false" outlineLevel="0" collapsed="false">
      <c r="B20" s="13" t="s">
        <v>27</v>
      </c>
      <c r="C20" s="10" t="s">
        <v>28</v>
      </c>
      <c r="D20" s="15" t="s">
        <v>29</v>
      </c>
    </row>
    <row r="21" customFormat="false" ht="15" hidden="false" customHeight="false" outlineLevel="0" collapsed="false">
      <c r="B21" s="13" t="s">
        <v>30</v>
      </c>
      <c r="C21" s="9" t="s">
        <v>31</v>
      </c>
      <c r="D21" s="15" t="s">
        <v>32</v>
      </c>
    </row>
    <row r="22" customFormat="false" ht="15" hidden="false" customHeight="false" outlineLevel="0" collapsed="false">
      <c r="B22" s="13" t="s">
        <v>33</v>
      </c>
      <c r="C22" s="10" t="s">
        <v>34</v>
      </c>
      <c r="D22" s="15" t="s">
        <v>32</v>
      </c>
    </row>
    <row r="23" customFormat="false" ht="15" hidden="false" customHeight="false" outlineLevel="0" collapsed="false">
      <c r="B23" s="13" t="s">
        <v>35</v>
      </c>
      <c r="C23" s="10" t="s">
        <v>36</v>
      </c>
      <c r="D23" s="14" t="s">
        <v>37</v>
      </c>
    </row>
    <row r="24" customFormat="false" ht="15" hidden="false" customHeight="false" outlineLevel="0" collapsed="false">
      <c r="B24" s="13" t="s">
        <v>38</v>
      </c>
      <c r="C24" s="10" t="s">
        <v>39</v>
      </c>
      <c r="D24" s="14" t="s">
        <v>37</v>
      </c>
    </row>
    <row r="25" customFormat="false" ht="15" hidden="false" customHeight="false" outlineLevel="0" collapsed="false">
      <c r="B25" s="13" t="s">
        <v>40</v>
      </c>
      <c r="C25" s="10" t="s">
        <v>41</v>
      </c>
      <c r="D25" s="14" t="s">
        <v>37</v>
      </c>
    </row>
    <row r="26" customFormat="false" ht="15" hidden="false" customHeight="false" outlineLevel="0" collapsed="false">
      <c r="B26" s="13" t="s">
        <v>42</v>
      </c>
      <c r="C26" s="10" t="s">
        <v>43</v>
      </c>
      <c r="D26" s="14" t="s">
        <v>44</v>
      </c>
    </row>
    <row r="27" customFormat="false" ht="15" hidden="false" customHeight="false" outlineLevel="0" collapsed="false">
      <c r="B27" s="13" t="s">
        <v>45</v>
      </c>
      <c r="C27" s="10" t="s">
        <v>46</v>
      </c>
      <c r="D27" s="14" t="s">
        <v>47</v>
      </c>
    </row>
    <row r="28" customFormat="false" ht="15" hidden="false" customHeight="false" outlineLevel="0" collapsed="false">
      <c r="B28" s="13" t="s">
        <v>48</v>
      </c>
      <c r="C28" s="10" t="s">
        <v>49</v>
      </c>
      <c r="D28" s="14" t="s">
        <v>50</v>
      </c>
    </row>
    <row r="29" customFormat="false" ht="15" hidden="false" customHeight="false" outlineLevel="0" collapsed="false">
      <c r="B29" s="13" t="s">
        <v>51</v>
      </c>
      <c r="C29" s="10" t="s">
        <v>52</v>
      </c>
      <c r="D29" s="14" t="s">
        <v>53</v>
      </c>
    </row>
    <row r="30" customFormat="false" ht="15" hidden="false" customHeight="false" outlineLevel="0" collapsed="false">
      <c r="B30" s="13" t="s">
        <v>54</v>
      </c>
      <c r="C30" s="10" t="s">
        <v>55</v>
      </c>
      <c r="D30" s="14" t="s">
        <v>37</v>
      </c>
    </row>
    <row r="31" customFormat="false" ht="15" hidden="false" customHeight="false" outlineLevel="0" collapsed="false">
      <c r="B31" s="13" t="s">
        <v>56</v>
      </c>
      <c r="C31" s="10" t="s">
        <v>57</v>
      </c>
      <c r="D31" s="15" t="s">
        <v>58</v>
      </c>
    </row>
    <row r="32" customFormat="false" ht="15" hidden="false" customHeight="false" outlineLevel="0" collapsed="false">
      <c r="B32" s="13" t="s">
        <v>59</v>
      </c>
      <c r="C32" s="10" t="s">
        <v>60</v>
      </c>
      <c r="D32" s="15"/>
    </row>
    <row r="34" customFormat="false" ht="19.5" hidden="false" customHeight="true" outlineLevel="0" collapsed="false">
      <c r="A34" s="3" t="s">
        <v>61</v>
      </c>
    </row>
    <row r="35" customFormat="false" ht="15" hidden="false" customHeight="false" outlineLevel="0" collapsed="false">
      <c r="B35" s="16" t="s">
        <v>62</v>
      </c>
      <c r="C35" s="10" t="s">
        <v>63</v>
      </c>
    </row>
    <row r="36" customFormat="false" ht="15" hidden="false" customHeight="false" outlineLevel="0" collapsed="false">
      <c r="B36" s="10" t="s">
        <v>64</v>
      </c>
      <c r="C36" s="10" t="s">
        <v>65</v>
      </c>
    </row>
    <row r="37" customFormat="false" ht="15" hidden="false" customHeight="false" outlineLevel="0" collapsed="false">
      <c r="B37" s="17" t="s">
        <v>66</v>
      </c>
      <c r="C37" s="10" t="s">
        <v>67</v>
      </c>
    </row>
    <row r="38" customFormat="false" ht="15" hidden="false" customHeight="false" outlineLevel="0" collapsed="false">
      <c r="B38" s="18" t="s">
        <v>68</v>
      </c>
      <c r="C38" s="10" t="s">
        <v>69</v>
      </c>
    </row>
    <row r="39" customFormat="false" ht="15" hidden="false" customHeight="false" outlineLevel="0" collapsed="false">
      <c r="B39" s="19" t="s">
        <v>70</v>
      </c>
      <c r="C39" s="10" t="s">
        <v>71</v>
      </c>
    </row>
    <row r="41" customFormat="false" ht="19.5" hidden="false" customHeight="true" outlineLevel="0" collapsed="false">
      <c r="A41" s="3" t="s">
        <v>72</v>
      </c>
    </row>
    <row r="42" customFormat="false" ht="15" hidden="false" customHeight="true" outlineLevel="0" collapsed="false">
      <c r="B42" s="4" t="s">
        <v>73</v>
      </c>
      <c r="C42" s="4"/>
      <c r="D42" s="4"/>
      <c r="E42" s="4"/>
    </row>
    <row r="43" customFormat="false" ht="15" hidden="false" customHeight="true" outlineLevel="0" collapsed="false">
      <c r="B43" s="4" t="s">
        <v>74</v>
      </c>
      <c r="C43" s="4"/>
      <c r="D43" s="4"/>
      <c r="E43" s="4"/>
    </row>
    <row r="44" customFormat="false" ht="15" hidden="false" customHeight="true" outlineLevel="0" collapsed="false">
      <c r="B44" s="4" t="s">
        <v>75</v>
      </c>
      <c r="C44" s="4"/>
      <c r="D44" s="4"/>
      <c r="E44" s="4"/>
    </row>
    <row r="45" customFormat="false" ht="15" hidden="false" customHeight="true" outlineLevel="0" collapsed="false">
      <c r="B45" s="4" t="s">
        <v>76</v>
      </c>
      <c r="C45" s="4"/>
      <c r="D45" s="4"/>
      <c r="E45" s="4"/>
    </row>
    <row r="46" customFormat="false" ht="15" hidden="false" customHeight="true" outlineLevel="0" collapsed="false">
      <c r="B46" s="4" t="s">
        <v>77</v>
      </c>
      <c r="C46" s="4"/>
      <c r="D46" s="4"/>
      <c r="E46" s="4"/>
    </row>
    <row r="47" customFormat="false" ht="15" hidden="false" customHeight="true" outlineLevel="0" collapsed="false">
      <c r="B47" s="4" t="s">
        <v>78</v>
      </c>
      <c r="C47" s="4"/>
      <c r="D47" s="4"/>
      <c r="E47" s="4"/>
    </row>
    <row r="48" customFormat="false" ht="15" hidden="false" customHeight="true" outlineLevel="0" collapsed="false">
      <c r="B48" s="4" t="s">
        <v>79</v>
      </c>
      <c r="C48" s="4"/>
      <c r="D48" s="4"/>
      <c r="E48" s="4"/>
    </row>
  </sheetData>
  <mergeCells count="11">
    <mergeCell ref="B4:E4"/>
    <mergeCell ref="B5:E5"/>
    <mergeCell ref="B6:E6"/>
    <mergeCell ref="B7:E7"/>
    <mergeCell ref="B42:E42"/>
    <mergeCell ref="B43:E43"/>
    <mergeCell ref="B44:E44"/>
    <mergeCell ref="B45:E45"/>
    <mergeCell ref="B46:E46"/>
    <mergeCell ref="B47:E47"/>
    <mergeCell ref="B48:E48"/>
  </mergeCells>
  <hyperlinks>
    <hyperlink ref="B19" r:id="rId1" location="'01_前提条件'!A1" display="01_前提条件"/>
    <hyperlink ref="B20" r:id="rId2" location="'02_投資総括'!A1" display="02_投資総括"/>
    <hyperlink ref="B21" r:id="rId3" location="'03_要確認事項'!A1" display="03_要確認事項"/>
    <hyperlink ref="B22" r:id="rId4" location="'04_機種別比較'!A1" display="04_機種別比較"/>
    <hyperlink ref="B23" r:id="rId5" location="'05_ロック必要台数'!A1" display="05_ロック必要台数"/>
    <hyperlink ref="B24" r:id="rId6" location="'06_サーボ電力'!A1" display="06_サーボ電力"/>
    <hyperlink ref="B25" r:id="rId7" location="'07_省人効果'!A1" display="07_省人効果"/>
    <hyperlink ref="B26" r:id="rId8" location="'08_PS運用設計'!A1" display="08_PS運用設計"/>
    <hyperlink ref="B27" r:id="rId9" location="'09_スポットプレス'!A1" display="09_スポットプレス"/>
    <hyperlink ref="B28" r:id="rId10" location="'10_平プレス検証'!A1" display="10_平プレス検証"/>
    <hyperlink ref="B29" r:id="rId11" location="'11_縮絨試験'!A1" display="11_縮絨試験"/>
    <hyperlink ref="B30" r:id="rId12" location="'12_レンタル費'!A1" display="12_レンタル費"/>
    <hyperlink ref="B31" r:id="rId13" location="'13_費用対効果PL'!A1" display="13_費用対効果PL"/>
    <hyperlink ref="B32" r:id="rId14" location="'14_原案チェック'!A1" display="14_原案チェッ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6"/>
    <col collapsed="false" customWidth="true" hidden="false" outlineLevel="0" max="4" min="4" style="0" width="80"/>
  </cols>
  <sheetData>
    <row r="1" customFormat="false" ht="24" hidden="false" customHeight="true" outlineLevel="0" collapsed="false">
      <c r="A1" s="20" t="s">
        <v>80</v>
      </c>
    </row>
    <row r="2" customFormat="false" ht="15" hidden="false" customHeight="false" outlineLevel="0" collapsed="false">
      <c r="A2" s="2" t="s">
        <v>81</v>
      </c>
    </row>
    <row r="3" customFormat="false" ht="31.5" hidden="false" customHeight="true" outlineLevel="0" collapsed="false">
      <c r="A3" s="5" t="s">
        <v>8</v>
      </c>
      <c r="B3" s="5" t="s">
        <v>82</v>
      </c>
      <c r="C3" s="5" t="s">
        <v>83</v>
      </c>
      <c r="D3" s="5" t="s">
        <v>84</v>
      </c>
    </row>
    <row r="5" customFormat="false" ht="15" hidden="false" customHeight="false" outlineLevel="0" collapsed="false">
      <c r="A5" s="10" t="s">
        <v>85</v>
      </c>
      <c r="B5" s="15" t="s">
        <v>86</v>
      </c>
      <c r="C5" s="21" t="n">
        <v>160</v>
      </c>
      <c r="D5" s="10" t="s">
        <v>87</v>
      </c>
    </row>
    <row r="6" customFormat="false" ht="15" hidden="false" customHeight="false" outlineLevel="0" collapsed="false">
      <c r="A6" s="10" t="s">
        <v>88</v>
      </c>
      <c r="B6" s="15" t="s">
        <v>89</v>
      </c>
      <c r="C6" s="21" t="n">
        <v>295</v>
      </c>
      <c r="D6" s="10" t="s">
        <v>90</v>
      </c>
    </row>
    <row r="7" customFormat="false" ht="15" hidden="false" customHeight="false" outlineLevel="0" collapsed="false">
      <c r="A7" s="9" t="s">
        <v>91</v>
      </c>
      <c r="B7" s="15" t="s">
        <v>92</v>
      </c>
      <c r="C7" s="22" t="n">
        <v>8</v>
      </c>
      <c r="D7" s="10" t="s">
        <v>90</v>
      </c>
    </row>
    <row r="8" customFormat="false" ht="15" hidden="false" customHeight="false" outlineLevel="0" collapsed="false">
      <c r="A8" s="10" t="s">
        <v>93</v>
      </c>
      <c r="B8" s="14" t="s">
        <v>94</v>
      </c>
      <c r="C8" s="23" t="n">
        <v>1</v>
      </c>
      <c r="D8" s="10" t="s">
        <v>95</v>
      </c>
    </row>
    <row r="9" customFormat="false" ht="15" hidden="false" customHeight="false" outlineLevel="0" collapsed="false">
      <c r="A9" s="9" t="s">
        <v>96</v>
      </c>
      <c r="B9" s="15" t="s">
        <v>97</v>
      </c>
      <c r="C9" s="24" t="n">
        <f aca="false">C6*C7*3600*C8</f>
        <v>8496000</v>
      </c>
      <c r="D9" s="10" t="s">
        <v>98</v>
      </c>
    </row>
    <row r="10" customFormat="false" ht="15" hidden="false" customHeight="false" outlineLevel="0" collapsed="false">
      <c r="A10" s="10" t="s">
        <v>99</v>
      </c>
      <c r="B10" s="14" t="s">
        <v>100</v>
      </c>
      <c r="C10" s="25" t="n">
        <v>0.08</v>
      </c>
      <c r="D10" s="10" t="s">
        <v>90</v>
      </c>
    </row>
    <row r="11" customFormat="false" ht="15" hidden="false" customHeight="false" outlineLevel="0" collapsed="false">
      <c r="A11" s="10" t="s">
        <v>101</v>
      </c>
      <c r="B11" s="15" t="s">
        <v>102</v>
      </c>
      <c r="C11" s="21" t="n">
        <v>7</v>
      </c>
      <c r="D11" s="10" t="s">
        <v>103</v>
      </c>
    </row>
    <row r="12" customFormat="false" ht="15" hidden="false" customHeight="false" outlineLevel="0" collapsed="false">
      <c r="A12" s="9" t="s">
        <v>104</v>
      </c>
      <c r="B12" s="14" t="s">
        <v>9</v>
      </c>
      <c r="C12" s="26" t="n">
        <v>50000</v>
      </c>
      <c r="D12" s="10" t="s">
        <v>105</v>
      </c>
    </row>
    <row r="13" customFormat="false" ht="26.85" hidden="false" customHeight="false" outlineLevel="0" collapsed="false">
      <c r="A13" s="10" t="s">
        <v>106</v>
      </c>
      <c r="B13" s="15" t="s">
        <v>10</v>
      </c>
      <c r="C13" s="26" t="n">
        <v>40000000</v>
      </c>
      <c r="D13" s="10" t="s">
        <v>107</v>
      </c>
    </row>
    <row r="14" customFormat="false" ht="15" hidden="false" customHeight="false" outlineLevel="0" collapsed="false">
      <c r="A14" s="9" t="s">
        <v>108</v>
      </c>
      <c r="B14" s="14" t="s">
        <v>109</v>
      </c>
      <c r="C14" s="26"/>
      <c r="D14" s="9" t="s">
        <v>110</v>
      </c>
    </row>
    <row r="15" customFormat="false" ht="15" hidden="false" customHeight="false" outlineLevel="0" collapsed="false">
      <c r="A15" s="10" t="s">
        <v>111</v>
      </c>
      <c r="B15" s="15" t="s">
        <v>112</v>
      </c>
      <c r="C15" s="21" t="n">
        <v>31</v>
      </c>
      <c r="D15" s="9" t="s">
        <v>113</v>
      </c>
    </row>
    <row r="16" customFormat="false" ht="15" hidden="false" customHeight="false" outlineLevel="0" collapsed="false">
      <c r="A16" s="10" t="s">
        <v>114</v>
      </c>
      <c r="B16" s="15" t="s">
        <v>112</v>
      </c>
      <c r="C16" s="21" t="n">
        <v>35</v>
      </c>
      <c r="D16" s="10" t="s">
        <v>115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16"/>
    <col collapsed="false" customWidth="true" hidden="false" outlineLevel="0" max="5" min="5" style="0" width="7"/>
    <col collapsed="false" customWidth="true" hidden="false" outlineLevel="0" max="6" min="6" style="0" width="10"/>
    <col collapsed="false" customWidth="true" hidden="false" outlineLevel="0" max="7" min="7" style="0" width="8"/>
    <col collapsed="false" customWidth="true" hidden="false" outlineLevel="0" max="8" min="8" style="0" width="11"/>
    <col collapsed="false" customWidth="true" hidden="false" outlineLevel="0" max="9" min="9" style="0" width="9"/>
    <col collapsed="false" customWidth="true" hidden="false" outlineLevel="0" max="10" min="10" style="0" width="11"/>
    <col collapsed="false" customWidth="true" hidden="false" outlineLevel="0" max="11" min="11" style="0" width="13"/>
    <col collapsed="false" customWidth="true" hidden="false" outlineLevel="0" max="12" min="12" style="0" width="10"/>
    <col collapsed="false" customWidth="true" hidden="false" outlineLevel="0" max="13" min="13" style="0" width="46"/>
    <col collapsed="false" customWidth="true" hidden="false" outlineLevel="0" max="15" min="14" style="0" width="11"/>
    <col collapsed="false" customWidth="true" hidden="false" outlineLevel="0" max="16" min="16" style="0" width="12"/>
    <col collapsed="false" customWidth="true" hidden="false" outlineLevel="0" max="17" min="17" style="0" width="16"/>
  </cols>
  <sheetData>
    <row r="1" customFormat="false" ht="24" hidden="false" customHeight="true" outlineLevel="0" collapsed="false">
      <c r="A1" s="20" t="s">
        <v>116</v>
      </c>
    </row>
    <row r="2" customFormat="false" ht="15" hidden="false" customHeight="false" outlineLevel="0" collapsed="false">
      <c r="A2" s="2" t="s">
        <v>117</v>
      </c>
    </row>
    <row r="4" customFormat="false" ht="31.5" hidden="false" customHeight="true" outlineLevel="0" collapsed="false">
      <c r="A4" s="5" t="s">
        <v>118</v>
      </c>
      <c r="B4" s="5" t="s">
        <v>119</v>
      </c>
      <c r="C4" s="5" t="s">
        <v>120</v>
      </c>
      <c r="D4" s="5" t="s">
        <v>121</v>
      </c>
      <c r="E4" s="5" t="s">
        <v>122</v>
      </c>
      <c r="F4" s="5" t="s">
        <v>123</v>
      </c>
      <c r="G4" s="5" t="s">
        <v>124</v>
      </c>
      <c r="H4" s="5" t="s">
        <v>125</v>
      </c>
      <c r="I4" s="5" t="s">
        <v>126</v>
      </c>
      <c r="J4" s="5" t="s">
        <v>127</v>
      </c>
      <c r="K4" s="5" t="s">
        <v>128</v>
      </c>
      <c r="L4" s="5" t="s">
        <v>129</v>
      </c>
      <c r="M4" s="5" t="s">
        <v>130</v>
      </c>
      <c r="N4" s="6" t="s">
        <v>131</v>
      </c>
      <c r="O4" s="6" t="s">
        <v>132</v>
      </c>
      <c r="P4" s="6" t="s">
        <v>133</v>
      </c>
      <c r="Q4" s="5" t="s">
        <v>134</v>
      </c>
    </row>
    <row r="5" customFormat="false" ht="42" hidden="false" customHeight="true" outlineLevel="0" collapsed="false">
      <c r="A5" s="14" t="s">
        <v>135</v>
      </c>
      <c r="B5" s="9" t="s">
        <v>136</v>
      </c>
      <c r="C5" s="9" t="s">
        <v>137</v>
      </c>
      <c r="D5" s="27" t="s">
        <v>138</v>
      </c>
      <c r="E5" s="15" t="n">
        <v>3</v>
      </c>
      <c r="F5" s="28" t="n">
        <v>980</v>
      </c>
      <c r="G5" s="29" t="n">
        <v>5</v>
      </c>
      <c r="H5" s="30" t="n">
        <f aca="false">F5*G5</f>
        <v>4900</v>
      </c>
      <c r="I5" s="21" t="n">
        <v>5</v>
      </c>
      <c r="J5" s="30" t="n">
        <f aca="false">F5*I5</f>
        <v>4900</v>
      </c>
      <c r="K5" s="30" t="n">
        <f aca="false">J5*01_前提条件!$C$5</f>
        <v>784000</v>
      </c>
      <c r="L5" s="30" t="n">
        <f aca="false">J5-H5</f>
        <v>0</v>
      </c>
      <c r="M5" s="10" t="s">
        <v>139</v>
      </c>
      <c r="N5" s="26"/>
      <c r="O5" s="30" t="n">
        <f aca="false">J5-N5</f>
        <v>4900</v>
      </c>
      <c r="P5" s="30" t="n">
        <f aca="false">O5*01_前提条件!$C$5/01_前提条件!$C$11</f>
        <v>112000</v>
      </c>
      <c r="Q5" s="9" t="s">
        <v>140</v>
      </c>
    </row>
    <row r="6" customFormat="false" ht="42" hidden="false" customHeight="true" outlineLevel="0" collapsed="false">
      <c r="A6" s="14" t="s">
        <v>141</v>
      </c>
      <c r="B6" s="9" t="s">
        <v>142</v>
      </c>
      <c r="C6" s="9" t="s">
        <v>143</v>
      </c>
      <c r="D6" s="27" t="s">
        <v>138</v>
      </c>
      <c r="E6" s="15" t="n">
        <v>3</v>
      </c>
      <c r="F6" s="28" t="n">
        <v>1150</v>
      </c>
      <c r="G6" s="29" t="n">
        <v>2</v>
      </c>
      <c r="H6" s="30" t="n">
        <f aca="false">F6*G6</f>
        <v>2300</v>
      </c>
      <c r="I6" s="21" t="n">
        <v>2</v>
      </c>
      <c r="J6" s="30" t="n">
        <f aca="false">F6*I6</f>
        <v>2300</v>
      </c>
      <c r="K6" s="30" t="n">
        <f aca="false">J6*01_前提条件!$C$5</f>
        <v>368000</v>
      </c>
      <c r="L6" s="30" t="n">
        <f aca="false">J6-H6</f>
        <v>0</v>
      </c>
      <c r="M6" s="10" t="s">
        <v>144</v>
      </c>
      <c r="N6" s="26"/>
      <c r="O6" s="30" t="n">
        <f aca="false">J6-N6</f>
        <v>2300</v>
      </c>
      <c r="P6" s="30" t="n">
        <f aca="false">O6*01_前提条件!$C$5/01_前提条件!$C$11</f>
        <v>52571.4285714286</v>
      </c>
      <c r="Q6" s="9" t="s">
        <v>140</v>
      </c>
    </row>
    <row r="7" customFormat="false" ht="42" hidden="false" customHeight="true" outlineLevel="0" collapsed="false">
      <c r="A7" s="14" t="s">
        <v>145</v>
      </c>
      <c r="B7" s="10" t="s">
        <v>146</v>
      </c>
      <c r="C7" s="9" t="s">
        <v>147</v>
      </c>
      <c r="D7" s="31" t="s">
        <v>148</v>
      </c>
      <c r="E7" s="14" t="s">
        <v>149</v>
      </c>
      <c r="F7" s="28" t="n">
        <v>2376</v>
      </c>
      <c r="G7" s="29" t="n">
        <v>0</v>
      </c>
      <c r="H7" s="30" t="n">
        <f aca="false">F7*G7</f>
        <v>0</v>
      </c>
      <c r="I7" s="21" t="n">
        <v>0</v>
      </c>
      <c r="J7" s="30" t="n">
        <f aca="false">F7*I7</f>
        <v>0</v>
      </c>
      <c r="K7" s="30" t="n">
        <f aca="false">J7*01_前提条件!$C$5</f>
        <v>0</v>
      </c>
      <c r="L7" s="30" t="n">
        <f aca="false">J7-H7</f>
        <v>0</v>
      </c>
      <c r="M7" s="10" t="s">
        <v>150</v>
      </c>
      <c r="N7" s="26"/>
      <c r="O7" s="30" t="n">
        <f aca="false">J7-N7</f>
        <v>0</v>
      </c>
      <c r="P7" s="30" t="n">
        <f aca="false">O7*01_前提条件!$C$5/01_前提条件!$C$11</f>
        <v>0</v>
      </c>
      <c r="Q7" s="10"/>
    </row>
    <row r="8" customFormat="false" ht="42" hidden="false" customHeight="true" outlineLevel="0" collapsed="false">
      <c r="A8" s="14" t="s">
        <v>151</v>
      </c>
      <c r="B8" s="10" t="s">
        <v>152</v>
      </c>
      <c r="C8" s="9" t="s">
        <v>153</v>
      </c>
      <c r="D8" s="32" t="s">
        <v>154</v>
      </c>
      <c r="E8" s="15" t="n">
        <v>4</v>
      </c>
      <c r="F8" s="28" t="n">
        <v>4450</v>
      </c>
      <c r="G8" s="29" t="n">
        <v>3</v>
      </c>
      <c r="H8" s="30" t="n">
        <f aca="false">F8*G8</f>
        <v>13350</v>
      </c>
      <c r="I8" s="21" t="n">
        <v>3</v>
      </c>
      <c r="J8" s="30" t="n">
        <f aca="false">F8*I8</f>
        <v>13350</v>
      </c>
      <c r="K8" s="30" t="n">
        <f aca="false">J8*01_前提条件!$C$5</f>
        <v>2136000</v>
      </c>
      <c r="L8" s="30" t="n">
        <f aca="false">J8-H8</f>
        <v>0</v>
      </c>
      <c r="M8" s="9" t="s">
        <v>155</v>
      </c>
      <c r="N8" s="26"/>
      <c r="O8" s="30" t="n">
        <f aca="false">J8-N8</f>
        <v>13350</v>
      </c>
      <c r="P8" s="30" t="n">
        <f aca="false">O8*01_前提条件!$C$5/01_前提条件!$C$11</f>
        <v>305142.857142857</v>
      </c>
      <c r="Q8" s="9" t="s">
        <v>156</v>
      </c>
    </row>
    <row r="9" customFormat="false" ht="42" hidden="false" customHeight="true" outlineLevel="0" collapsed="false">
      <c r="A9" s="14" t="s">
        <v>157</v>
      </c>
      <c r="B9" s="10" t="s">
        <v>158</v>
      </c>
      <c r="C9" s="9" t="s">
        <v>159</v>
      </c>
      <c r="D9" s="32" t="s">
        <v>154</v>
      </c>
      <c r="E9" s="15" t="n">
        <v>4</v>
      </c>
      <c r="F9" s="28" t="n">
        <v>6500</v>
      </c>
      <c r="G9" s="29" t="n">
        <v>6</v>
      </c>
      <c r="H9" s="30" t="n">
        <f aca="false">F9*G9</f>
        <v>39000</v>
      </c>
      <c r="I9" s="21" t="n">
        <v>4</v>
      </c>
      <c r="J9" s="30" t="n">
        <f aca="false">F9*I9</f>
        <v>26000</v>
      </c>
      <c r="K9" s="30" t="n">
        <f aca="false">J9*01_前提条件!$C$5</f>
        <v>4160000</v>
      </c>
      <c r="L9" s="30" t="n">
        <f aca="false">J9-H9</f>
        <v>-13000</v>
      </c>
      <c r="M9" s="9" t="s">
        <v>160</v>
      </c>
      <c r="N9" s="26"/>
      <c r="O9" s="30" t="n">
        <f aca="false">J9-N9</f>
        <v>26000</v>
      </c>
      <c r="P9" s="30" t="n">
        <f aca="false">O9*01_前提条件!$C$5/01_前提条件!$C$11</f>
        <v>594285.714285714</v>
      </c>
      <c r="Q9" s="9" t="s">
        <v>156</v>
      </c>
    </row>
    <row r="10" customFormat="false" ht="42" hidden="false" customHeight="true" outlineLevel="0" collapsed="false">
      <c r="A10" s="14" t="s">
        <v>161</v>
      </c>
      <c r="B10" s="10" t="s">
        <v>162</v>
      </c>
      <c r="C10" s="9" t="s">
        <v>163</v>
      </c>
      <c r="D10" s="27" t="s">
        <v>138</v>
      </c>
      <c r="E10" s="15" t="n">
        <v>5</v>
      </c>
      <c r="F10" s="28" t="n">
        <v>880</v>
      </c>
      <c r="G10" s="29" t="n">
        <v>10</v>
      </c>
      <c r="H10" s="30" t="n">
        <f aca="false">F10*G10</f>
        <v>8800</v>
      </c>
      <c r="I10" s="21" t="n">
        <v>10</v>
      </c>
      <c r="J10" s="30" t="n">
        <f aca="false">F10*I10</f>
        <v>8800</v>
      </c>
      <c r="K10" s="30" t="n">
        <f aca="false">J10*01_前提条件!$C$5</f>
        <v>1408000</v>
      </c>
      <c r="L10" s="30" t="n">
        <f aca="false">J10-H10</f>
        <v>0</v>
      </c>
      <c r="M10" s="10" t="s">
        <v>164</v>
      </c>
      <c r="N10" s="26"/>
      <c r="O10" s="30" t="n">
        <f aca="false">J10-N10</f>
        <v>8800</v>
      </c>
      <c r="P10" s="30" t="n">
        <f aca="false">O10*01_前提条件!$C$5/01_前提条件!$C$11</f>
        <v>201142.857142857</v>
      </c>
      <c r="Q10" s="9" t="s">
        <v>165</v>
      </c>
    </row>
    <row r="11" customFormat="false" ht="42" hidden="false" customHeight="true" outlineLevel="0" collapsed="false">
      <c r="A11" s="14" t="s">
        <v>166</v>
      </c>
      <c r="B11" s="10" t="s">
        <v>167</v>
      </c>
      <c r="C11" s="9" t="s">
        <v>168</v>
      </c>
      <c r="D11" s="32" t="s">
        <v>154</v>
      </c>
      <c r="E11" s="15" t="n">
        <v>7</v>
      </c>
      <c r="F11" s="28" t="n">
        <v>9700</v>
      </c>
      <c r="G11" s="29" t="n">
        <v>3</v>
      </c>
      <c r="H11" s="30" t="n">
        <f aca="false">F11*G11</f>
        <v>29100</v>
      </c>
      <c r="I11" s="21" t="n">
        <v>2</v>
      </c>
      <c r="J11" s="30" t="n">
        <f aca="false">F11*I11</f>
        <v>19400</v>
      </c>
      <c r="K11" s="30" t="n">
        <f aca="false">J11*01_前提条件!$C$5</f>
        <v>3104000</v>
      </c>
      <c r="L11" s="30" t="n">
        <f aca="false">J11-H11</f>
        <v>-9700</v>
      </c>
      <c r="M11" s="9" t="s">
        <v>169</v>
      </c>
      <c r="N11" s="26"/>
      <c r="O11" s="30" t="n">
        <f aca="false">J11-N11</f>
        <v>19400</v>
      </c>
      <c r="P11" s="30" t="n">
        <f aca="false">O11*01_前提条件!$C$5/01_前提条件!$C$11</f>
        <v>443428.571428571</v>
      </c>
      <c r="Q11" s="9" t="s">
        <v>156</v>
      </c>
    </row>
    <row r="12" customFormat="false" ht="42" hidden="false" customHeight="true" outlineLevel="0" collapsed="false">
      <c r="A12" s="14" t="s">
        <v>170</v>
      </c>
      <c r="B12" s="10" t="s">
        <v>171</v>
      </c>
      <c r="C12" s="9" t="s">
        <v>172</v>
      </c>
      <c r="D12" s="33" t="s">
        <v>173</v>
      </c>
      <c r="E12" s="15" t="n">
        <v>9</v>
      </c>
      <c r="F12" s="28" t="n">
        <v>6800</v>
      </c>
      <c r="G12" s="29" t="n">
        <v>1</v>
      </c>
      <c r="H12" s="30" t="n">
        <f aca="false">F12*G12</f>
        <v>6800</v>
      </c>
      <c r="I12" s="21" t="n">
        <v>1</v>
      </c>
      <c r="J12" s="30" t="n">
        <f aca="false">F12*I12</f>
        <v>6800</v>
      </c>
      <c r="K12" s="30" t="n">
        <f aca="false">J12*01_前提条件!$C$5</f>
        <v>1088000</v>
      </c>
      <c r="L12" s="30" t="n">
        <f aca="false">J12-H12</f>
        <v>0</v>
      </c>
      <c r="M12" s="10" t="s">
        <v>174</v>
      </c>
      <c r="N12" s="26"/>
      <c r="O12" s="30" t="n">
        <f aca="false">J12-N12</f>
        <v>6800</v>
      </c>
      <c r="P12" s="30" t="n">
        <f aca="false">O12*01_前提条件!$C$5/01_前提条件!$C$11</f>
        <v>155428.571428571</v>
      </c>
      <c r="Q12" s="9" t="s">
        <v>175</v>
      </c>
    </row>
    <row r="13" customFormat="false" ht="42" hidden="false" customHeight="true" outlineLevel="0" collapsed="false">
      <c r="A13" s="14" t="s">
        <v>176</v>
      </c>
      <c r="B13" s="10" t="s">
        <v>177</v>
      </c>
      <c r="C13" s="9" t="s">
        <v>178</v>
      </c>
      <c r="D13" s="27" t="s">
        <v>138</v>
      </c>
      <c r="E13" s="15" t="n">
        <v>6</v>
      </c>
      <c r="F13" s="28" t="n">
        <v>4150</v>
      </c>
      <c r="G13" s="29" t="n">
        <v>6</v>
      </c>
      <c r="H13" s="30" t="n">
        <f aca="false">F13*G13</f>
        <v>24900</v>
      </c>
      <c r="I13" s="21" t="n">
        <v>6</v>
      </c>
      <c r="J13" s="30" t="n">
        <f aca="false">F13*I13</f>
        <v>24900</v>
      </c>
      <c r="K13" s="30" t="n">
        <f aca="false">J13*01_前提条件!$C$5</f>
        <v>3984000</v>
      </c>
      <c r="L13" s="30" t="n">
        <f aca="false">J13-H13</f>
        <v>0</v>
      </c>
      <c r="M13" s="10" t="s">
        <v>179</v>
      </c>
      <c r="N13" s="26"/>
      <c r="O13" s="30" t="n">
        <f aca="false">J13-N13</f>
        <v>24900</v>
      </c>
      <c r="P13" s="30" t="n">
        <f aca="false">O13*01_前提条件!$C$5/01_前提条件!$C$11</f>
        <v>569142.857142857</v>
      </c>
      <c r="Q13" s="9" t="s">
        <v>180</v>
      </c>
    </row>
    <row r="14" customFormat="false" ht="42" hidden="false" customHeight="true" outlineLevel="0" collapsed="false">
      <c r="A14" s="14" t="s">
        <v>181</v>
      </c>
      <c r="B14" s="10" t="s">
        <v>182</v>
      </c>
      <c r="C14" s="9" t="s">
        <v>183</v>
      </c>
      <c r="D14" s="32" t="s">
        <v>154</v>
      </c>
      <c r="E14" s="15" t="n">
        <v>8</v>
      </c>
      <c r="F14" s="28" t="n">
        <v>13000</v>
      </c>
      <c r="G14" s="29" t="n">
        <v>2</v>
      </c>
      <c r="H14" s="30" t="n">
        <f aca="false">F14*G14</f>
        <v>26000</v>
      </c>
      <c r="I14" s="21" t="n">
        <v>1</v>
      </c>
      <c r="J14" s="30" t="n">
        <f aca="false">F14*I14</f>
        <v>13000</v>
      </c>
      <c r="K14" s="30" t="n">
        <f aca="false">J14*01_前提条件!$C$5</f>
        <v>2080000</v>
      </c>
      <c r="L14" s="30" t="n">
        <f aca="false">J14-H14</f>
        <v>-13000</v>
      </c>
      <c r="M14" s="9" t="s">
        <v>184</v>
      </c>
      <c r="N14" s="26"/>
      <c r="O14" s="30" t="n">
        <f aca="false">J14-N14</f>
        <v>13000</v>
      </c>
      <c r="P14" s="30" t="n">
        <f aca="false">O14*01_前提条件!$C$5/01_前提条件!$C$11</f>
        <v>297142.857142857</v>
      </c>
      <c r="Q14" s="9" t="s">
        <v>185</v>
      </c>
    </row>
    <row r="15" customFormat="false" ht="42" hidden="false" customHeight="true" outlineLevel="0" collapsed="false">
      <c r="A15" s="14" t="s">
        <v>186</v>
      </c>
      <c r="B15" s="10" t="s">
        <v>187</v>
      </c>
      <c r="C15" s="9" t="s">
        <v>188</v>
      </c>
      <c r="D15" s="34" t="s">
        <v>189</v>
      </c>
      <c r="E15" s="15" t="n">
        <v>1</v>
      </c>
      <c r="F15" s="28" t="n">
        <v>764</v>
      </c>
      <c r="G15" s="29" t="n">
        <v>10</v>
      </c>
      <c r="H15" s="30" t="n">
        <f aca="false">F15*G15</f>
        <v>7640</v>
      </c>
      <c r="I15" s="35" t="n">
        <f aca="false">09_スポットプレス!$C$20</f>
        <v>30</v>
      </c>
      <c r="J15" s="30" t="n">
        <f aca="false">F15*I15</f>
        <v>22920</v>
      </c>
      <c r="K15" s="30" t="n">
        <f aca="false">J15*01_前提条件!$C$5</f>
        <v>3667200</v>
      </c>
      <c r="L15" s="30" t="n">
        <f aca="false">J15-H15</f>
        <v>15280</v>
      </c>
      <c r="M15" s="10" t="s">
        <v>190</v>
      </c>
      <c r="N15" s="26"/>
      <c r="O15" s="30" t="n">
        <f aca="false">J15-N15</f>
        <v>22920</v>
      </c>
      <c r="P15" s="30" t="n">
        <f aca="false">O15*01_前提条件!$C$5/01_前提条件!$C$11</f>
        <v>523885.714285714</v>
      </c>
      <c r="Q15" s="9" t="s">
        <v>191</v>
      </c>
    </row>
    <row r="16" customFormat="false" ht="42" hidden="false" customHeight="true" outlineLevel="0" collapsed="false">
      <c r="A16" s="14" t="s">
        <v>192</v>
      </c>
      <c r="B16" s="9" t="s">
        <v>193</v>
      </c>
      <c r="C16" s="9" t="s">
        <v>194</v>
      </c>
      <c r="D16" s="36" t="s">
        <v>195</v>
      </c>
      <c r="E16" s="15" t="n">
        <v>2</v>
      </c>
      <c r="F16" s="28" t="n">
        <v>19980</v>
      </c>
      <c r="G16" s="29" t="n">
        <v>2</v>
      </c>
      <c r="H16" s="30" t="n">
        <f aca="false">F16*G16</f>
        <v>39960</v>
      </c>
      <c r="I16" s="21" t="n">
        <v>2</v>
      </c>
      <c r="J16" s="30" t="n">
        <f aca="false">F16*I16</f>
        <v>39960</v>
      </c>
      <c r="K16" s="30" t="n">
        <f aca="false">J16*01_前提条件!$C$5</f>
        <v>6393600</v>
      </c>
      <c r="L16" s="30" t="n">
        <f aca="false">J16-H16</f>
        <v>0</v>
      </c>
      <c r="M16" s="9" t="s">
        <v>196</v>
      </c>
      <c r="N16" s="26"/>
      <c r="O16" s="30" t="n">
        <f aca="false">J16-N16</f>
        <v>39960</v>
      </c>
      <c r="P16" s="30" t="n">
        <f aca="false">O16*01_前提条件!$C$5/01_前提条件!$C$11</f>
        <v>913371.428571429</v>
      </c>
      <c r="Q16" s="9" t="s">
        <v>175</v>
      </c>
    </row>
    <row r="17" customFormat="false" ht="42" hidden="false" customHeight="true" outlineLevel="0" collapsed="false">
      <c r="A17" s="14" t="s">
        <v>197</v>
      </c>
      <c r="B17" s="9" t="s">
        <v>198</v>
      </c>
      <c r="C17" s="9" t="s">
        <v>199</v>
      </c>
      <c r="D17" s="36" t="s">
        <v>195</v>
      </c>
      <c r="E17" s="15" t="n">
        <v>2</v>
      </c>
      <c r="F17" s="28" t="n">
        <v>19980</v>
      </c>
      <c r="G17" s="29" t="n">
        <v>1</v>
      </c>
      <c r="H17" s="30" t="n">
        <f aca="false">F17*G17</f>
        <v>19980</v>
      </c>
      <c r="I17" s="21" t="n">
        <v>1</v>
      </c>
      <c r="J17" s="30" t="n">
        <f aca="false">F17*I17</f>
        <v>19980</v>
      </c>
      <c r="K17" s="30" t="n">
        <f aca="false">J17*01_前提条件!$C$5</f>
        <v>3196800</v>
      </c>
      <c r="L17" s="30" t="n">
        <f aca="false">J17-H17</f>
        <v>0</v>
      </c>
      <c r="M17" s="10" t="s">
        <v>200</v>
      </c>
      <c r="N17" s="26"/>
      <c r="O17" s="30" t="n">
        <f aca="false">J17-N17</f>
        <v>19980</v>
      </c>
      <c r="P17" s="30" t="n">
        <f aca="false">O17*01_前提条件!$C$5/01_前提条件!$C$11</f>
        <v>456685.714285714</v>
      </c>
      <c r="Q17" s="9" t="s">
        <v>175</v>
      </c>
    </row>
    <row r="18" customFormat="false" ht="42" hidden="false" customHeight="true" outlineLevel="0" collapsed="false">
      <c r="A18" s="14" t="s">
        <v>201</v>
      </c>
      <c r="B18" s="9" t="s">
        <v>202</v>
      </c>
      <c r="C18" s="9" t="s">
        <v>203</v>
      </c>
      <c r="D18" s="36" t="s">
        <v>195</v>
      </c>
      <c r="E18" s="15" t="n">
        <v>2</v>
      </c>
      <c r="F18" s="28" t="n">
        <v>19980</v>
      </c>
      <c r="G18" s="29" t="n">
        <v>1</v>
      </c>
      <c r="H18" s="30" t="n">
        <f aca="false">F18*G18</f>
        <v>19980</v>
      </c>
      <c r="I18" s="21" t="n">
        <v>1</v>
      </c>
      <c r="J18" s="30" t="n">
        <f aca="false">F18*I18</f>
        <v>19980</v>
      </c>
      <c r="K18" s="30" t="n">
        <f aca="false">J18*01_前提条件!$C$5</f>
        <v>3196800</v>
      </c>
      <c r="L18" s="30" t="n">
        <f aca="false">J18-H18</f>
        <v>0</v>
      </c>
      <c r="M18" s="10" t="s">
        <v>204</v>
      </c>
      <c r="N18" s="26"/>
      <c r="O18" s="30" t="n">
        <f aca="false">J18-N18</f>
        <v>19980</v>
      </c>
      <c r="P18" s="30" t="n">
        <f aca="false">O18*01_前提条件!$C$5/01_前提条件!$C$11</f>
        <v>456685.714285714</v>
      </c>
      <c r="Q18" s="9" t="s">
        <v>175</v>
      </c>
    </row>
    <row r="19" customFormat="false" ht="42" hidden="false" customHeight="true" outlineLevel="0" collapsed="false">
      <c r="A19" s="14" t="s">
        <v>205</v>
      </c>
      <c r="B19" s="9" t="s">
        <v>206</v>
      </c>
      <c r="C19" s="9" t="s">
        <v>207</v>
      </c>
      <c r="D19" s="36" t="s">
        <v>195</v>
      </c>
      <c r="E19" s="15" t="n">
        <v>2</v>
      </c>
      <c r="F19" s="28" t="n">
        <v>18333</v>
      </c>
      <c r="G19" s="29" t="n">
        <v>1</v>
      </c>
      <c r="H19" s="30" t="n">
        <f aca="false">F19*G19</f>
        <v>18333</v>
      </c>
      <c r="I19" s="21" t="n">
        <v>1</v>
      </c>
      <c r="J19" s="30" t="n">
        <f aca="false">F19*I19</f>
        <v>18333</v>
      </c>
      <c r="K19" s="30" t="n">
        <f aca="false">J19*01_前提条件!$C$5</f>
        <v>2933280</v>
      </c>
      <c r="L19" s="30" t="n">
        <f aca="false">J19-H19</f>
        <v>0</v>
      </c>
      <c r="M19" s="10" t="s">
        <v>208</v>
      </c>
      <c r="N19" s="26"/>
      <c r="O19" s="30" t="n">
        <f aca="false">J19-N19</f>
        <v>18333</v>
      </c>
      <c r="P19" s="30" t="n">
        <f aca="false">O19*01_前提条件!$C$5/01_前提条件!$C$11</f>
        <v>419040</v>
      </c>
      <c r="Q19" s="9" t="s">
        <v>175</v>
      </c>
    </row>
    <row r="20" customFormat="false" ht="42" hidden="false" customHeight="true" outlineLevel="0" collapsed="false">
      <c r="A20" s="14" t="s">
        <v>209</v>
      </c>
      <c r="B20" s="10" t="s">
        <v>210</v>
      </c>
      <c r="C20" s="9" t="s">
        <v>211</v>
      </c>
      <c r="D20" s="31" t="s">
        <v>148</v>
      </c>
      <c r="E20" s="14" t="s">
        <v>149</v>
      </c>
      <c r="F20" s="28" t="n">
        <v>50980</v>
      </c>
      <c r="G20" s="29" t="n">
        <v>0</v>
      </c>
      <c r="H20" s="30" t="n">
        <f aca="false">F20*G20</f>
        <v>0</v>
      </c>
      <c r="I20" s="21" t="n">
        <v>0</v>
      </c>
      <c r="J20" s="30" t="n">
        <f aca="false">F20*I20</f>
        <v>0</v>
      </c>
      <c r="K20" s="30" t="n">
        <f aca="false">J20*01_前提条件!$C$5</f>
        <v>0</v>
      </c>
      <c r="L20" s="30" t="n">
        <f aca="false">J20-H20</f>
        <v>0</v>
      </c>
      <c r="M20" s="9" t="s">
        <v>212</v>
      </c>
      <c r="N20" s="26"/>
      <c r="O20" s="30" t="n">
        <f aca="false">J20-N20</f>
        <v>0</v>
      </c>
      <c r="P20" s="30" t="n">
        <f aca="false">O20*01_前提条件!$C$5/01_前提条件!$C$11</f>
        <v>0</v>
      </c>
      <c r="Q20" s="10"/>
    </row>
    <row r="21" customFormat="false" ht="42" hidden="false" customHeight="true" outlineLevel="0" collapsed="false">
      <c r="A21" s="14" t="s">
        <v>213</v>
      </c>
      <c r="B21" s="10" t="s">
        <v>214</v>
      </c>
      <c r="C21" s="9" t="s">
        <v>215</v>
      </c>
      <c r="D21" s="31" t="s">
        <v>148</v>
      </c>
      <c r="E21" s="14" t="s">
        <v>149</v>
      </c>
      <c r="F21" s="28" t="n">
        <v>9800</v>
      </c>
      <c r="G21" s="29" t="n">
        <v>0</v>
      </c>
      <c r="H21" s="30" t="n">
        <f aca="false">F21*G21</f>
        <v>0</v>
      </c>
      <c r="I21" s="21" t="n">
        <v>0</v>
      </c>
      <c r="J21" s="30" t="n">
        <f aca="false">F21*I21</f>
        <v>0</v>
      </c>
      <c r="K21" s="30" t="n">
        <f aca="false">J21*01_前提条件!$C$5</f>
        <v>0</v>
      </c>
      <c r="L21" s="30" t="n">
        <f aca="false">J21-H21</f>
        <v>0</v>
      </c>
      <c r="M21" s="9" t="s">
        <v>216</v>
      </c>
      <c r="N21" s="26"/>
      <c r="O21" s="30" t="n">
        <f aca="false">J21-N21</f>
        <v>0</v>
      </c>
      <c r="P21" s="30" t="n">
        <f aca="false">O21*01_前提条件!$C$5/01_前提条件!$C$11</f>
        <v>0</v>
      </c>
      <c r="Q21" s="10"/>
    </row>
    <row r="22" customFormat="false" ht="42" hidden="false" customHeight="true" outlineLevel="0" collapsed="false">
      <c r="A22" s="14" t="s">
        <v>217</v>
      </c>
      <c r="B22" s="10" t="s">
        <v>218</v>
      </c>
      <c r="C22" s="9" t="s">
        <v>219</v>
      </c>
      <c r="D22" s="33" t="s">
        <v>173</v>
      </c>
      <c r="E22" s="15" t="n">
        <v>10</v>
      </c>
      <c r="F22" s="28" t="n">
        <v>6300</v>
      </c>
      <c r="G22" s="29" t="n">
        <v>1</v>
      </c>
      <c r="H22" s="30" t="n">
        <f aca="false">F22*G22</f>
        <v>6300</v>
      </c>
      <c r="I22" s="21" t="n">
        <v>1</v>
      </c>
      <c r="J22" s="30" t="n">
        <f aca="false">F22*I22</f>
        <v>6300</v>
      </c>
      <c r="K22" s="30" t="n">
        <f aca="false">J22*01_前提条件!$C$5</f>
        <v>1008000</v>
      </c>
      <c r="L22" s="30" t="n">
        <f aca="false">J22-H22</f>
        <v>0</v>
      </c>
      <c r="M22" s="10" t="s">
        <v>220</v>
      </c>
      <c r="N22" s="26"/>
      <c r="O22" s="30" t="n">
        <f aca="false">J22-N22</f>
        <v>6300</v>
      </c>
      <c r="P22" s="30" t="n">
        <f aca="false">O22*01_前提条件!$C$5/01_前提条件!$C$11</f>
        <v>144000</v>
      </c>
      <c r="Q22" s="9" t="s">
        <v>175</v>
      </c>
    </row>
    <row r="23" customFormat="false" ht="42" hidden="false" customHeight="true" outlineLevel="0" collapsed="false">
      <c r="A23" s="14" t="s">
        <v>221</v>
      </c>
      <c r="B23" s="10" t="s">
        <v>222</v>
      </c>
      <c r="C23" s="9" t="s">
        <v>223</v>
      </c>
      <c r="D23" s="31" t="s">
        <v>148</v>
      </c>
      <c r="E23" s="14" t="s">
        <v>149</v>
      </c>
      <c r="F23" s="28" t="n">
        <v>11100</v>
      </c>
      <c r="G23" s="29" t="n">
        <v>0</v>
      </c>
      <c r="H23" s="30" t="n">
        <f aca="false">F23*G23</f>
        <v>0</v>
      </c>
      <c r="I23" s="21" t="n">
        <v>0</v>
      </c>
      <c r="J23" s="30" t="n">
        <f aca="false">F23*I23</f>
        <v>0</v>
      </c>
      <c r="K23" s="30" t="n">
        <f aca="false">J23*01_前提条件!$C$5</f>
        <v>0</v>
      </c>
      <c r="L23" s="30" t="n">
        <f aca="false">J23-H23</f>
        <v>0</v>
      </c>
      <c r="M23" s="10" t="s">
        <v>224</v>
      </c>
      <c r="N23" s="26"/>
      <c r="O23" s="30" t="n">
        <f aca="false">J23-N23</f>
        <v>0</v>
      </c>
      <c r="P23" s="30" t="n">
        <f aca="false">O23*01_前提条件!$C$5/01_前提条件!$C$11</f>
        <v>0</v>
      </c>
      <c r="Q23" s="10"/>
    </row>
    <row r="24" customFormat="false" ht="42" hidden="false" customHeight="true" outlineLevel="0" collapsed="false">
      <c r="A24" s="14" t="s">
        <v>225</v>
      </c>
      <c r="B24" s="10" t="s">
        <v>222</v>
      </c>
      <c r="C24" s="9" t="s">
        <v>226</v>
      </c>
      <c r="D24" s="31" t="s">
        <v>148</v>
      </c>
      <c r="E24" s="14" t="s">
        <v>149</v>
      </c>
      <c r="F24" s="28" t="n">
        <v>9130</v>
      </c>
      <c r="G24" s="29" t="n">
        <v>0</v>
      </c>
      <c r="H24" s="30" t="n">
        <f aca="false">F24*G24</f>
        <v>0</v>
      </c>
      <c r="I24" s="21" t="n">
        <v>0</v>
      </c>
      <c r="J24" s="30" t="n">
        <f aca="false">F24*I24</f>
        <v>0</v>
      </c>
      <c r="K24" s="30" t="n">
        <f aca="false">J24*01_前提条件!$C$5</f>
        <v>0</v>
      </c>
      <c r="L24" s="30" t="n">
        <f aca="false">J24-H24</f>
        <v>0</v>
      </c>
      <c r="M24" s="10" t="s">
        <v>227</v>
      </c>
      <c r="N24" s="26"/>
      <c r="O24" s="30" t="n">
        <f aca="false">J24-N24</f>
        <v>0</v>
      </c>
      <c r="P24" s="30" t="n">
        <f aca="false">O24*01_前提条件!$C$5/01_前提条件!$C$11</f>
        <v>0</v>
      </c>
      <c r="Q24" s="10"/>
    </row>
    <row r="25" customFormat="false" ht="42" hidden="false" customHeight="true" outlineLevel="0" collapsed="false">
      <c r="A25" s="14" t="s">
        <v>228</v>
      </c>
      <c r="B25" s="10" t="s">
        <v>229</v>
      </c>
      <c r="C25" s="9" t="s">
        <v>230</v>
      </c>
      <c r="D25" s="31" t="s">
        <v>148</v>
      </c>
      <c r="E25" s="14" t="s">
        <v>149</v>
      </c>
      <c r="F25" s="28" t="n">
        <v>81000</v>
      </c>
      <c r="G25" s="29" t="n">
        <v>0</v>
      </c>
      <c r="H25" s="30" t="n">
        <f aca="false">F25*G25</f>
        <v>0</v>
      </c>
      <c r="I25" s="21" t="n">
        <v>0</v>
      </c>
      <c r="J25" s="30" t="n">
        <f aca="false">F25*I25</f>
        <v>0</v>
      </c>
      <c r="K25" s="30" t="n">
        <f aca="false">J25*01_前提条件!$C$5</f>
        <v>0</v>
      </c>
      <c r="L25" s="30" t="n">
        <f aca="false">J25-H25</f>
        <v>0</v>
      </c>
      <c r="M25" s="10" t="s">
        <v>227</v>
      </c>
      <c r="N25" s="26"/>
      <c r="O25" s="30" t="n">
        <f aca="false">J25-N25</f>
        <v>0</v>
      </c>
      <c r="P25" s="30" t="n">
        <f aca="false">O25*01_前提条件!$C$5/01_前提条件!$C$11</f>
        <v>0</v>
      </c>
      <c r="Q25" s="10"/>
    </row>
    <row r="26" customFormat="false" ht="15" hidden="false" customHeight="true" outlineLevel="0" collapsed="false">
      <c r="A26" s="37" t="s">
        <v>231</v>
      </c>
      <c r="B26" s="37"/>
      <c r="C26" s="37"/>
      <c r="D26" s="37"/>
      <c r="E26" s="37"/>
      <c r="F26" s="37"/>
      <c r="G26" s="38" t="n">
        <f aca="false">SUM(G5:G25)</f>
        <v>54</v>
      </c>
      <c r="H26" s="39" t="n">
        <f aca="false">SUM(H5:H25)</f>
        <v>267343</v>
      </c>
      <c r="I26" s="38" t="n">
        <f aca="false">SUM(I5:I25)</f>
        <v>70</v>
      </c>
      <c r="J26" s="39" t="n">
        <f aca="false">SUM(J5:J25)</f>
        <v>246923</v>
      </c>
      <c r="K26" s="39" t="n">
        <f aca="false">SUM(K5:K25)</f>
        <v>39507680</v>
      </c>
      <c r="L26" s="39" t="n">
        <f aca="false">SUM(L5:L25)</f>
        <v>-20420</v>
      </c>
      <c r="M26" s="40"/>
      <c r="N26" s="39" t="n">
        <f aca="false">SUM(N5:N25)</f>
        <v>0</v>
      </c>
      <c r="O26" s="39" t="n">
        <f aca="false">SUM(O5:O25)</f>
        <v>246923</v>
      </c>
      <c r="P26" s="39" t="n">
        <f aca="false">SUM(P5:P25)</f>
        <v>5643954.28571429</v>
      </c>
      <c r="Q26" s="40"/>
    </row>
    <row r="28" customFormat="false" ht="19.5" hidden="false" customHeight="true" outlineLevel="0" collapsed="false">
      <c r="A28" s="41" t="s">
        <v>232</v>
      </c>
    </row>
    <row r="29" customFormat="false" ht="31.5" hidden="false" customHeight="true" outlineLevel="0" collapsed="false">
      <c r="A29" s="5"/>
      <c r="B29" s="5" t="s">
        <v>8</v>
      </c>
      <c r="C29" s="6" t="s">
        <v>9</v>
      </c>
      <c r="D29" s="5" t="s">
        <v>10</v>
      </c>
      <c r="E29" s="5" t="s">
        <v>233</v>
      </c>
      <c r="F29" s="5"/>
      <c r="G29" s="5"/>
      <c r="H29" s="5"/>
    </row>
    <row r="30" customFormat="false" ht="26.85" hidden="false" customHeight="true" outlineLevel="0" collapsed="false">
      <c r="B30" s="7" t="s">
        <v>12</v>
      </c>
      <c r="C30" s="11" t="n">
        <f aca="false">H26</f>
        <v>267343</v>
      </c>
      <c r="D30" s="11" t="n">
        <f aca="false">H26*01_前提条件!$C$5</f>
        <v>42774880</v>
      </c>
      <c r="E30" s="10" t="s">
        <v>234</v>
      </c>
      <c r="F30" s="10"/>
      <c r="G30" s="10"/>
      <c r="H30" s="10"/>
    </row>
    <row r="31" customFormat="false" ht="15" hidden="false" customHeight="false" outlineLevel="0" collapsed="false">
      <c r="B31" s="7" t="s">
        <v>14</v>
      </c>
      <c r="C31" s="42" t="n">
        <f aca="false">J26</f>
        <v>246923</v>
      </c>
      <c r="D31" s="42" t="n">
        <f aca="false">K26</f>
        <v>39507680</v>
      </c>
      <c r="E31" s="10"/>
      <c r="F31" s="10"/>
      <c r="G31" s="10"/>
      <c r="H31" s="10"/>
    </row>
    <row r="32" customFormat="false" ht="26.85" hidden="false" customHeight="true" outlineLevel="0" collapsed="false">
      <c r="B32" s="7" t="s">
        <v>235</v>
      </c>
      <c r="C32" s="11" t="n">
        <f aca="false">01_前提条件!$C$13/01_前提条件!$C$5</f>
        <v>250000</v>
      </c>
      <c r="D32" s="11" t="n">
        <f aca="false">01_前提条件!$C$13</f>
        <v>40000000</v>
      </c>
      <c r="E32" s="10" t="s">
        <v>236</v>
      </c>
      <c r="F32" s="10"/>
      <c r="G32" s="10"/>
      <c r="H32" s="10"/>
    </row>
    <row r="33" customFormat="false" ht="15" hidden="false" customHeight="false" outlineLevel="0" collapsed="false">
      <c r="B33" s="7" t="s">
        <v>237</v>
      </c>
      <c r="C33" s="42" t="n">
        <f aca="false">C32-C31</f>
        <v>3077</v>
      </c>
      <c r="D33" s="42" t="n">
        <f aca="false">D32-D31</f>
        <v>492320</v>
      </c>
      <c r="E33" s="10" t="str">
        <f aca="false">IF(D33&gt;=0,"上限内","上限超過：追加削減オプションを検討")</f>
        <v>上限内</v>
      </c>
      <c r="F33" s="10"/>
      <c r="G33" s="10"/>
      <c r="H33" s="10"/>
    </row>
    <row r="34" customFormat="false" ht="26.85" hidden="false" customHeight="false" outlineLevel="0" collapsed="false">
      <c r="B34" s="12" t="s">
        <v>238</v>
      </c>
      <c r="C34" s="11" t="n">
        <f aca="false">01_前提条件!$C$12</f>
        <v>50000</v>
      </c>
      <c r="D34" s="11" t="n">
        <f aca="false">01_前提条件!$C$12*01_前提条件!$C$5</f>
        <v>8000000</v>
      </c>
      <c r="E34" s="10" t="str">
        <f aca="false">IF(N26=01_前提条件!$C$12,"機種別配分 OK","機種別配分 未確定（N列に入力：未割当 "&amp;TEXT(01_前提条件!$C$12-N26,"#,##0")&amp;" USD）")</f>
        <v>機種別配分 未確定（N列に入力：未割当 50,000 USD）</v>
      </c>
      <c r="F34" s="10"/>
      <c r="G34" s="10"/>
      <c r="H34" s="10"/>
    </row>
    <row r="35" customFormat="false" ht="26.85" hidden="false" customHeight="true" outlineLevel="0" collapsed="false">
      <c r="B35" s="12" t="s">
        <v>20</v>
      </c>
      <c r="C35" s="11" t="n">
        <f aca="false">C31-C34</f>
        <v>196923</v>
      </c>
      <c r="D35" s="11" t="n">
        <f aca="false">D31-D34</f>
        <v>31507680</v>
      </c>
      <c r="E35" s="9" t="s">
        <v>239</v>
      </c>
      <c r="F35" s="9"/>
      <c r="G35" s="9"/>
      <c r="H35" s="9"/>
    </row>
    <row r="37" customFormat="false" ht="19.5" hidden="false" customHeight="true" outlineLevel="0" collapsed="false">
      <c r="A37" s="41" t="s">
        <v>240</v>
      </c>
    </row>
    <row r="38" customFormat="false" ht="31.5" hidden="false" customHeight="true" outlineLevel="0" collapsed="false">
      <c r="A38" s="5"/>
      <c r="B38" s="5" t="s">
        <v>121</v>
      </c>
      <c r="C38" s="5" t="s">
        <v>127</v>
      </c>
      <c r="D38" s="5" t="s">
        <v>241</v>
      </c>
      <c r="E38" s="5" t="s">
        <v>242</v>
      </c>
      <c r="F38" s="5"/>
      <c r="G38" s="5"/>
      <c r="H38" s="5"/>
    </row>
    <row r="39" customFormat="false" ht="26.85" hidden="false" customHeight="true" outlineLevel="0" collapsed="false">
      <c r="B39" s="43" t="s">
        <v>189</v>
      </c>
      <c r="C39" s="30" t="n">
        <f aca="false">SUMIF($D$5:$D$25,B39,$J$5:$J$25)</f>
        <v>22920</v>
      </c>
      <c r="D39" s="44" t="n">
        <f aca="false">IF($J$26=0,0,C39/$J$26)</f>
        <v>0.0928224588231959</v>
      </c>
      <c r="E39" s="10" t="s">
        <v>243</v>
      </c>
      <c r="F39" s="10"/>
      <c r="G39" s="10"/>
      <c r="H39" s="10"/>
    </row>
    <row r="40" customFormat="false" ht="15" hidden="false" customHeight="true" outlineLevel="0" collapsed="false">
      <c r="B40" s="45" t="s">
        <v>195</v>
      </c>
      <c r="C40" s="30" t="n">
        <f aca="false">SUMIF($D$5:$D$25,B40,$J$5:$J$25)</f>
        <v>98253</v>
      </c>
      <c r="D40" s="44" t="n">
        <f aca="false">IF($J$26=0,0,C40/$J$26)</f>
        <v>0.397909469753729</v>
      </c>
      <c r="E40" s="10" t="s">
        <v>244</v>
      </c>
      <c r="F40" s="10"/>
      <c r="G40" s="10"/>
      <c r="H40" s="10"/>
    </row>
    <row r="41" customFormat="false" ht="26.85" hidden="false" customHeight="true" outlineLevel="0" collapsed="false">
      <c r="B41" s="46" t="s">
        <v>138</v>
      </c>
      <c r="C41" s="30" t="n">
        <f aca="false">SUMIF($D$5:$D$25,B41,$J$5:$J$25)</f>
        <v>40900</v>
      </c>
      <c r="D41" s="44" t="n">
        <f aca="false">IF($J$26=0,0,C41/$J$26)</f>
        <v>0.165638680884324</v>
      </c>
      <c r="E41" s="10" t="s">
        <v>245</v>
      </c>
      <c r="F41" s="10"/>
      <c r="G41" s="10"/>
      <c r="H41" s="10"/>
    </row>
    <row r="42" customFormat="false" ht="26.85" hidden="false" customHeight="true" outlineLevel="0" collapsed="false">
      <c r="B42" s="47" t="s">
        <v>154</v>
      </c>
      <c r="C42" s="30" t="n">
        <f aca="false">SUMIF($D$5:$D$25,B42,$J$5:$J$25)</f>
        <v>71750</v>
      </c>
      <c r="D42" s="44" t="n">
        <f aca="false">IF($J$26=0,0,C42/$J$26)</f>
        <v>0.290576414509786</v>
      </c>
      <c r="E42" s="10" t="s">
        <v>246</v>
      </c>
      <c r="F42" s="10"/>
      <c r="G42" s="10"/>
      <c r="H42" s="10"/>
    </row>
    <row r="43" customFormat="false" ht="15" hidden="false" customHeight="true" outlineLevel="0" collapsed="false">
      <c r="B43" s="48" t="s">
        <v>173</v>
      </c>
      <c r="C43" s="30" t="n">
        <f aca="false">SUMIF($D$5:$D$25,B43,$J$5:$J$25)</f>
        <v>13100</v>
      </c>
      <c r="D43" s="44" t="n">
        <f aca="false">IF($J$26=0,0,C43/$J$26)</f>
        <v>0.0530529760289645</v>
      </c>
      <c r="E43" s="10" t="s">
        <v>247</v>
      </c>
      <c r="F43" s="10"/>
      <c r="G43" s="10"/>
      <c r="H43" s="10"/>
    </row>
    <row r="44" customFormat="false" ht="15" hidden="false" customHeight="true" outlineLevel="0" collapsed="false">
      <c r="B44" s="49" t="s">
        <v>148</v>
      </c>
      <c r="C44" s="30" t="n">
        <f aca="false">SUMIF($D$5:$D$25,B44,$J$5:$J$25)</f>
        <v>0</v>
      </c>
      <c r="D44" s="44" t="n">
        <f aca="false">IF($J$26=0,0,C44/$J$26)</f>
        <v>0</v>
      </c>
      <c r="E44" s="9" t="s">
        <v>248</v>
      </c>
      <c r="F44" s="9"/>
      <c r="G44" s="9"/>
      <c r="H44" s="9"/>
    </row>
    <row r="46" customFormat="false" ht="19.5" hidden="false" customHeight="true" outlineLevel="0" collapsed="false">
      <c r="A46" s="41" t="s">
        <v>249</v>
      </c>
    </row>
    <row r="47" customFormat="false" ht="31.5" hidden="false" customHeight="true" outlineLevel="0" collapsed="false">
      <c r="A47" s="5"/>
      <c r="B47" s="5" t="s">
        <v>23</v>
      </c>
      <c r="C47" s="5" t="s">
        <v>250</v>
      </c>
      <c r="D47" s="5" t="s">
        <v>251</v>
      </c>
      <c r="E47" s="5" t="s">
        <v>252</v>
      </c>
      <c r="F47" s="5"/>
      <c r="G47" s="5"/>
      <c r="H47" s="5"/>
    </row>
    <row r="48" customFormat="false" ht="30" hidden="false" customHeight="true" outlineLevel="0" collapsed="false">
      <c r="B48" s="9" t="s">
        <v>253</v>
      </c>
      <c r="C48" s="30" t="n">
        <f aca="false">F18-10500</f>
        <v>9480</v>
      </c>
      <c r="D48" s="30" t="n">
        <f aca="false">C48*01_前提条件!$C$5</f>
        <v>1516800</v>
      </c>
      <c r="E48" s="10" t="s">
        <v>254</v>
      </c>
      <c r="F48" s="10"/>
      <c r="G48" s="10"/>
      <c r="H48" s="10"/>
    </row>
    <row r="49" customFormat="false" ht="30" hidden="false" customHeight="true" outlineLevel="0" collapsed="false">
      <c r="B49" s="9" t="s">
        <v>255</v>
      </c>
      <c r="C49" s="30" t="n">
        <f aca="false">F13*2</f>
        <v>8300</v>
      </c>
      <c r="D49" s="30" t="n">
        <f aca="false">C49*01_前提条件!$C$5</f>
        <v>1328000</v>
      </c>
      <c r="E49" s="10" t="s">
        <v>256</v>
      </c>
      <c r="F49" s="10"/>
      <c r="G49" s="10"/>
      <c r="H49" s="10"/>
    </row>
    <row r="50" customFormat="false" ht="30" hidden="false" customHeight="true" outlineLevel="0" collapsed="false">
      <c r="B50" s="9" t="s">
        <v>257</v>
      </c>
      <c r="C50" s="30" t="n">
        <f aca="false">F22</f>
        <v>6300</v>
      </c>
      <c r="D50" s="30" t="n">
        <f aca="false">C50*01_前提条件!$C$5</f>
        <v>1008000</v>
      </c>
      <c r="E50" s="10" t="s">
        <v>258</v>
      </c>
      <c r="F50" s="10"/>
      <c r="G50" s="10"/>
      <c r="H50" s="10"/>
    </row>
    <row r="51" customFormat="false" ht="30" hidden="false" customHeight="true" outlineLevel="0" collapsed="false">
      <c r="B51" s="9" t="s">
        <v>259</v>
      </c>
      <c r="C51" s="30" t="n">
        <f aca="false">F12</f>
        <v>6800</v>
      </c>
      <c r="D51" s="30" t="n">
        <f aca="false">C51*01_前提条件!$C$5</f>
        <v>1088000</v>
      </c>
      <c r="E51" s="10" t="s">
        <v>260</v>
      </c>
      <c r="F51" s="10"/>
      <c r="G51" s="10"/>
      <c r="H51" s="10"/>
    </row>
    <row r="52" customFormat="false" ht="15" hidden="false" customHeight="false" outlineLevel="0" collapsed="false">
      <c r="B52" s="2" t="s">
        <v>261</v>
      </c>
    </row>
  </sheetData>
  <mergeCells count="20">
    <mergeCell ref="A26:F26"/>
    <mergeCell ref="E29:H29"/>
    <mergeCell ref="E30:H30"/>
    <mergeCell ref="E31:H31"/>
    <mergeCell ref="E32:H32"/>
    <mergeCell ref="E33:H33"/>
    <mergeCell ref="E34:H34"/>
    <mergeCell ref="E35:H35"/>
    <mergeCell ref="E38:H38"/>
    <mergeCell ref="E39:H39"/>
    <mergeCell ref="E40:H40"/>
    <mergeCell ref="E41:H41"/>
    <mergeCell ref="E42:H42"/>
    <mergeCell ref="E43:H43"/>
    <mergeCell ref="E44:H44"/>
    <mergeCell ref="E47:H47"/>
    <mergeCell ref="E48:H48"/>
    <mergeCell ref="E49:H49"/>
    <mergeCell ref="E50:H50"/>
    <mergeCell ref="E51:H51"/>
  </mergeCells>
  <dataValidations count="1">
    <dataValidation allowBlank="true" errorStyle="stop" operator="between" showDropDown="false" showErrorMessage="false" showInputMessage="false" sqref="D5:D25" type="list">
      <formula1>"必須（安全）,必須（顧客要求）,必須（生産継続）,改善,戦略／検証,見送り"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6"/>
    <col collapsed="false" customWidth="true" hidden="false" outlineLevel="0" max="4" min="4" style="0" width="60"/>
  </cols>
  <sheetData>
    <row r="1" customFormat="false" ht="24" hidden="false" customHeight="true" outlineLevel="0" collapsed="false">
      <c r="A1" s="20" t="s">
        <v>262</v>
      </c>
    </row>
    <row r="2" customFormat="false" ht="15" hidden="false" customHeight="false" outlineLevel="0" collapsed="false">
      <c r="A2" s="2" t="s">
        <v>263</v>
      </c>
    </row>
    <row r="3" customFormat="false" ht="19.5" hidden="false" customHeight="true" outlineLevel="0" collapsed="false">
      <c r="A3" s="3" t="s">
        <v>264</v>
      </c>
    </row>
    <row r="4" customFormat="false" ht="31.5" hidden="false" customHeight="true" outlineLevel="0" collapsed="false">
      <c r="A4" s="5" t="s">
        <v>265</v>
      </c>
      <c r="B4" s="5" t="s">
        <v>266</v>
      </c>
      <c r="C4" s="5" t="s">
        <v>267</v>
      </c>
      <c r="D4" s="5" t="s">
        <v>268</v>
      </c>
    </row>
    <row r="5" customFormat="false" ht="15" hidden="false" customHeight="false" outlineLevel="0" collapsed="false">
      <c r="A5" s="10" t="s">
        <v>269</v>
      </c>
      <c r="B5" s="10" t="n">
        <v>3</v>
      </c>
      <c r="C5" s="10" t="n">
        <v>2</v>
      </c>
      <c r="D5" s="9" t="s">
        <v>270</v>
      </c>
    </row>
    <row r="6" customFormat="false" ht="15" hidden="false" customHeight="false" outlineLevel="0" collapsed="false">
      <c r="A6" s="9" t="s">
        <v>271</v>
      </c>
      <c r="B6" s="10" t="n">
        <v>3</v>
      </c>
      <c r="C6" s="10" t="n">
        <v>2</v>
      </c>
      <c r="D6" s="10" t="s">
        <v>200</v>
      </c>
    </row>
    <row r="7" customFormat="false" ht="15" hidden="false" customHeight="false" outlineLevel="0" collapsed="false">
      <c r="A7" s="9" t="s">
        <v>272</v>
      </c>
      <c r="B7" s="10" t="n">
        <v>3</v>
      </c>
      <c r="C7" s="10" t="n">
        <v>2</v>
      </c>
      <c r="D7" s="10" t="s">
        <v>200</v>
      </c>
    </row>
    <row r="8" customFormat="false" ht="15" hidden="false" customHeight="false" outlineLevel="0" collapsed="false">
      <c r="A8" s="10" t="s">
        <v>273</v>
      </c>
      <c r="B8" s="10" t="n">
        <v>4</v>
      </c>
      <c r="C8" s="10" t="n">
        <v>2</v>
      </c>
      <c r="D8" s="10" t="s">
        <v>274</v>
      </c>
    </row>
    <row r="10" customFormat="false" ht="19.5" hidden="false" customHeight="true" outlineLevel="0" collapsed="false">
      <c r="A10" s="3" t="s">
        <v>275</v>
      </c>
    </row>
    <row r="11" customFormat="false" ht="31.5" hidden="false" customHeight="true" outlineLevel="0" collapsed="false">
      <c r="A11" s="5" t="s">
        <v>8</v>
      </c>
      <c r="B11" s="5" t="s">
        <v>83</v>
      </c>
      <c r="C11" s="5"/>
      <c r="D11" s="5" t="s">
        <v>11</v>
      </c>
    </row>
    <row r="12" customFormat="false" ht="15" hidden="false" customHeight="false" outlineLevel="0" collapsed="false">
      <c r="A12" s="10" t="s">
        <v>111</v>
      </c>
      <c r="B12" s="35" t="n">
        <f aca="false">01_前提条件!$C$15</f>
        <v>31</v>
      </c>
      <c r="D12" s="10" t="s">
        <v>276</v>
      </c>
    </row>
    <row r="13" customFormat="false" ht="15" hidden="false" customHeight="false" outlineLevel="0" collapsed="false">
      <c r="A13" s="10" t="s">
        <v>114</v>
      </c>
      <c r="B13" s="35" t="n">
        <f aca="false">01_前提条件!$C$16</f>
        <v>35</v>
      </c>
      <c r="D13" s="10" t="s">
        <v>276</v>
      </c>
    </row>
    <row r="14" customFormat="false" ht="15" hidden="false" customHeight="false" outlineLevel="0" collapsed="false">
      <c r="A14" s="9" t="s">
        <v>277</v>
      </c>
      <c r="B14" s="23" t="n">
        <v>0.8</v>
      </c>
      <c r="D14" s="10" t="s">
        <v>278</v>
      </c>
    </row>
    <row r="15" customFormat="false" ht="15" hidden="false" customHeight="false" outlineLevel="0" collapsed="false">
      <c r="A15" s="9" t="s">
        <v>279</v>
      </c>
      <c r="B15" s="44" t="n">
        <f aca="false">1-B14</f>
        <v>0.2</v>
      </c>
      <c r="D15" s="10" t="s">
        <v>280</v>
      </c>
    </row>
    <row r="16" customFormat="false" ht="15" hidden="false" customHeight="false" outlineLevel="0" collapsed="false">
      <c r="A16" s="7" t="s">
        <v>281</v>
      </c>
      <c r="B16" s="50" t="n">
        <f aca="false">B14*3+B15*4</f>
        <v>3.2</v>
      </c>
      <c r="D16" s="9" t="s">
        <v>282</v>
      </c>
    </row>
    <row r="17" customFormat="false" ht="15" hidden="false" customHeight="false" outlineLevel="0" collapsed="false">
      <c r="A17" s="9" t="s">
        <v>283</v>
      </c>
      <c r="B17" s="21" t="n">
        <v>2</v>
      </c>
      <c r="D17" s="10" t="s">
        <v>284</v>
      </c>
    </row>
    <row r="19" customFormat="false" ht="19.5" hidden="false" customHeight="true" outlineLevel="0" collapsed="false">
      <c r="A19" s="3" t="s">
        <v>285</v>
      </c>
    </row>
    <row r="20" customFormat="false" ht="31.5" hidden="false" customHeight="true" outlineLevel="0" collapsed="false">
      <c r="A20" s="5" t="s">
        <v>8</v>
      </c>
      <c r="B20" s="5" t="s">
        <v>266</v>
      </c>
      <c r="C20" s="5" t="s">
        <v>267</v>
      </c>
      <c r="D20" s="5" t="s">
        <v>286</v>
      </c>
    </row>
    <row r="21" customFormat="false" ht="15" hidden="false" customHeight="false" outlineLevel="0" collapsed="false">
      <c r="A21" s="10" t="s">
        <v>287</v>
      </c>
      <c r="B21" s="21" t="n">
        <v>102</v>
      </c>
      <c r="C21" s="21" t="n">
        <v>68</v>
      </c>
      <c r="D21" s="10" t="s">
        <v>288</v>
      </c>
    </row>
    <row r="22" customFormat="false" ht="26.85" hidden="false" customHeight="false" outlineLevel="0" collapsed="false">
      <c r="A22" s="10" t="s">
        <v>289</v>
      </c>
      <c r="B22" s="21" t="n">
        <v>4</v>
      </c>
      <c r="C22" s="21" t="n">
        <v>0</v>
      </c>
      <c r="D22" s="9" t="s">
        <v>290</v>
      </c>
    </row>
    <row r="23" customFormat="false" ht="15" hidden="false" customHeight="false" outlineLevel="0" collapsed="false">
      <c r="A23" s="10" t="s">
        <v>291</v>
      </c>
      <c r="B23" s="21" t="n">
        <v>12</v>
      </c>
      <c r="C23" s="21" t="n">
        <v>4</v>
      </c>
      <c r="D23" s="10"/>
    </row>
    <row r="24" customFormat="false" ht="15" hidden="false" customHeight="false" outlineLevel="0" collapsed="false">
      <c r="A24" s="10" t="s">
        <v>292</v>
      </c>
      <c r="B24" s="51" t="n">
        <f aca="false">B21-B22-B23</f>
        <v>86</v>
      </c>
      <c r="C24" s="51" t="n">
        <f aca="false">C21-C22-C23</f>
        <v>64</v>
      </c>
      <c r="D24" s="10" t="s">
        <v>293</v>
      </c>
    </row>
    <row r="25" customFormat="false" ht="15" hidden="false" customHeight="false" outlineLevel="0" collapsed="false">
      <c r="A25" s="10" t="s">
        <v>294</v>
      </c>
      <c r="B25" s="51" t="n">
        <f aca="false">ROUNDUP(B12*B16,0)</f>
        <v>100</v>
      </c>
      <c r="C25" s="51" t="n">
        <f aca="false">B12*B17</f>
        <v>62</v>
      </c>
      <c r="D25" s="10" t="s">
        <v>295</v>
      </c>
    </row>
    <row r="26" customFormat="false" ht="15" hidden="false" customHeight="false" outlineLevel="0" collapsed="false">
      <c r="A26" s="10" t="s">
        <v>296</v>
      </c>
      <c r="B26" s="51" t="n">
        <f aca="false">ROUNDUP(B13*B16,0)</f>
        <v>112</v>
      </c>
      <c r="C26" s="51" t="n">
        <f aca="false">B13*B17</f>
        <v>70</v>
      </c>
      <c r="D26" s="10"/>
    </row>
    <row r="27" customFormat="false" ht="15" hidden="false" customHeight="false" outlineLevel="0" collapsed="false">
      <c r="A27" s="10" t="s">
        <v>297</v>
      </c>
      <c r="B27" s="51" t="n">
        <f aca="false">MAX(0,B25-B24)</f>
        <v>14</v>
      </c>
      <c r="C27" s="51" t="n">
        <f aca="false">MAX(0,C25-C24)</f>
        <v>0</v>
      </c>
      <c r="D27" s="10"/>
    </row>
    <row r="28" customFormat="false" ht="15" hidden="false" customHeight="false" outlineLevel="0" collapsed="false">
      <c r="A28" s="7" t="s">
        <v>298</v>
      </c>
      <c r="B28" s="52" t="n">
        <f aca="false">MAX(0,B26-B24)</f>
        <v>26</v>
      </c>
      <c r="C28" s="52" t="n">
        <f aca="false">MAX(0,C26-C24)</f>
        <v>6</v>
      </c>
      <c r="D28" s="10" t="s">
        <v>299</v>
      </c>
    </row>
    <row r="30" customFormat="false" ht="19.5" hidden="false" customHeight="true" outlineLevel="0" collapsed="false">
      <c r="A30" s="3" t="s">
        <v>300</v>
      </c>
    </row>
    <row r="31" customFormat="false" ht="31.5" hidden="false" customHeight="true" outlineLevel="0" collapsed="false">
      <c r="A31" s="5" t="s">
        <v>8</v>
      </c>
      <c r="B31" s="5" t="s">
        <v>301</v>
      </c>
      <c r="C31" s="5"/>
      <c r="D31" s="5" t="s">
        <v>11</v>
      </c>
    </row>
    <row r="32" customFormat="false" ht="26.85" hidden="false" customHeight="false" outlineLevel="0" collapsed="false">
      <c r="A32" s="10" t="s">
        <v>302</v>
      </c>
      <c r="B32" s="21" t="n">
        <v>10</v>
      </c>
      <c r="D32" s="9" t="s">
        <v>303</v>
      </c>
    </row>
    <row r="33" customFormat="false" ht="15" hidden="false" customHeight="false" outlineLevel="0" collapsed="false">
      <c r="A33" s="10" t="s">
        <v>304</v>
      </c>
      <c r="B33" s="21" t="n">
        <v>10</v>
      </c>
      <c r="D33" s="10" t="s">
        <v>305</v>
      </c>
    </row>
    <row r="35" customFormat="false" ht="19.5" hidden="false" customHeight="true" outlineLevel="0" collapsed="false">
      <c r="A35" s="3" t="s">
        <v>306</v>
      </c>
    </row>
    <row r="36" customFormat="false" ht="31.5" hidden="false" customHeight="true" outlineLevel="0" collapsed="false">
      <c r="A36" s="5" t="s">
        <v>8</v>
      </c>
      <c r="B36" s="5" t="s">
        <v>266</v>
      </c>
      <c r="C36" s="5" t="s">
        <v>267</v>
      </c>
      <c r="D36" s="5" t="s">
        <v>11</v>
      </c>
    </row>
    <row r="37" customFormat="false" ht="15" hidden="false" customHeight="false" outlineLevel="0" collapsed="false">
      <c r="A37" s="10" t="s">
        <v>307</v>
      </c>
      <c r="B37" s="35" t="n">
        <f aca="false">02_投資総括!$I$5</f>
        <v>5</v>
      </c>
      <c r="C37" s="35" t="n">
        <f aca="false">02_投資総括!$I$6</f>
        <v>2</v>
      </c>
      <c r="D37" s="9" t="s">
        <v>308</v>
      </c>
    </row>
    <row r="38" customFormat="false" ht="15" hidden="false" customHeight="false" outlineLevel="0" collapsed="false">
      <c r="A38" s="10" t="s">
        <v>309</v>
      </c>
      <c r="B38" s="51" t="n">
        <f aca="false">MIN(B37,B22)</f>
        <v>4</v>
      </c>
      <c r="C38" s="51" t="n">
        <f aca="false">MIN(C37,C22)</f>
        <v>0</v>
      </c>
      <c r="D38" s="10"/>
    </row>
    <row r="39" customFormat="false" ht="15" hidden="false" customHeight="false" outlineLevel="0" collapsed="false">
      <c r="A39" s="10" t="s">
        <v>310</v>
      </c>
      <c r="B39" s="51" t="n">
        <f aca="false">B37-B38</f>
        <v>1</v>
      </c>
      <c r="C39" s="51" t="n">
        <f aca="false">C37-C38</f>
        <v>2</v>
      </c>
      <c r="D39" s="10"/>
    </row>
    <row r="40" customFormat="false" ht="26.85" hidden="false" customHeight="false" outlineLevel="0" collapsed="false">
      <c r="A40" s="7" t="s">
        <v>311</v>
      </c>
      <c r="B40" s="24" t="n">
        <f aca="false">MAX(0,B28-B37)</f>
        <v>21</v>
      </c>
      <c r="C40" s="24" t="n">
        <f aca="false">MAX(0,C28-C37)</f>
        <v>4</v>
      </c>
      <c r="D40" s="10" t="s">
        <v>312</v>
      </c>
    </row>
    <row r="42" customFormat="false" ht="15" hidden="false" customHeight="false" outlineLevel="0" collapsed="false">
      <c r="A42" s="2" t="s">
        <v>313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4"/>
    <col collapsed="false" customWidth="true" hidden="false" outlineLevel="0" max="4" min="4" style="0" width="60"/>
  </cols>
  <sheetData>
    <row r="1" customFormat="false" ht="24" hidden="false" customHeight="true" outlineLevel="0" collapsed="false">
      <c r="A1" s="20" t="s">
        <v>314</v>
      </c>
    </row>
    <row r="2" customFormat="false" ht="15" hidden="false" customHeight="false" outlineLevel="0" collapsed="false">
      <c r="A2" s="2" t="s">
        <v>315</v>
      </c>
    </row>
    <row r="3" customFormat="false" ht="19.5" hidden="false" customHeight="true" outlineLevel="0" collapsed="false">
      <c r="A3" s="3" t="s">
        <v>316</v>
      </c>
    </row>
    <row r="4" customFormat="false" ht="31.5" hidden="false" customHeight="true" outlineLevel="0" collapsed="false">
      <c r="A4" s="5" t="s">
        <v>8</v>
      </c>
      <c r="B4" s="5" t="s">
        <v>317</v>
      </c>
      <c r="C4" s="5" t="s">
        <v>318</v>
      </c>
      <c r="D4" s="5" t="s">
        <v>11</v>
      </c>
    </row>
    <row r="5" customFormat="false" ht="15" hidden="false" customHeight="false" outlineLevel="0" collapsed="false">
      <c r="A5" s="10" t="s">
        <v>319</v>
      </c>
      <c r="B5" s="21" t="n">
        <v>400</v>
      </c>
      <c r="C5" s="21" t="n">
        <v>550</v>
      </c>
      <c r="D5" s="10" t="s">
        <v>320</v>
      </c>
    </row>
    <row r="6" customFormat="false" ht="15" hidden="false" customHeight="false" outlineLevel="0" collapsed="false">
      <c r="A6" s="10" t="s">
        <v>321</v>
      </c>
      <c r="B6" s="21" t="n">
        <v>350</v>
      </c>
      <c r="C6" s="21" t="n">
        <v>200</v>
      </c>
      <c r="D6" s="10"/>
    </row>
    <row r="7" customFormat="false" ht="15" hidden="false" customHeight="false" outlineLevel="0" collapsed="false">
      <c r="A7" s="10" t="s">
        <v>322</v>
      </c>
      <c r="B7" s="21" t="n">
        <v>250</v>
      </c>
      <c r="C7" s="21" t="n">
        <v>2</v>
      </c>
      <c r="D7" s="10" t="s">
        <v>323</v>
      </c>
    </row>
    <row r="8" customFormat="false" ht="15" hidden="false" customHeight="false" outlineLevel="0" collapsed="false">
      <c r="A8" s="9" t="s">
        <v>324</v>
      </c>
      <c r="B8" s="53" t="n">
        <f aca="false">01_前提条件!$C$7</f>
        <v>8</v>
      </c>
      <c r="C8" s="54" t="n">
        <f aca="false">B8</f>
        <v>8</v>
      </c>
      <c r="D8" s="10" t="s">
        <v>276</v>
      </c>
    </row>
    <row r="9" customFormat="false" ht="26.85" hidden="false" customHeight="false" outlineLevel="0" collapsed="false">
      <c r="A9" s="10" t="s">
        <v>325</v>
      </c>
      <c r="B9" s="55" t="n">
        <v>4</v>
      </c>
      <c r="C9" s="54" t="n">
        <f aca="false">B9</f>
        <v>4</v>
      </c>
      <c r="D9" s="9" t="s">
        <v>326</v>
      </c>
    </row>
    <row r="10" customFormat="false" ht="15" hidden="false" customHeight="false" outlineLevel="0" collapsed="false">
      <c r="A10" s="10" t="s">
        <v>327</v>
      </c>
      <c r="B10" s="54" t="n">
        <f aca="false">B8-B9</f>
        <v>4</v>
      </c>
      <c r="C10" s="54" t="n">
        <f aca="false">C8-C9</f>
        <v>4</v>
      </c>
      <c r="D10" s="10"/>
    </row>
    <row r="12" customFormat="false" ht="19.5" hidden="false" customHeight="true" outlineLevel="0" collapsed="false">
      <c r="A12" s="3" t="s">
        <v>328</v>
      </c>
    </row>
    <row r="13" customFormat="false" ht="31.5" hidden="false" customHeight="true" outlineLevel="0" collapsed="false">
      <c r="A13" s="5" t="s">
        <v>8</v>
      </c>
      <c r="B13" s="5" t="s">
        <v>83</v>
      </c>
      <c r="C13" s="5"/>
      <c r="D13" s="5" t="s">
        <v>65</v>
      </c>
    </row>
    <row r="14" customFormat="false" ht="15" hidden="false" customHeight="false" outlineLevel="0" collapsed="false">
      <c r="A14" s="10" t="s">
        <v>329</v>
      </c>
      <c r="B14" s="56" t="n">
        <f aca="false">(B6*B9+B7*B10)/1000</f>
        <v>2.4</v>
      </c>
      <c r="D14" s="9" t="s">
        <v>330</v>
      </c>
    </row>
    <row r="15" customFormat="false" ht="15" hidden="false" customHeight="false" outlineLevel="0" collapsed="false">
      <c r="A15" s="10" t="s">
        <v>331</v>
      </c>
      <c r="B15" s="56" t="n">
        <f aca="false">(C6*C9+C7*C10)/1000</f>
        <v>0.808</v>
      </c>
      <c r="D15" s="10"/>
    </row>
    <row r="16" customFormat="false" ht="15" hidden="false" customHeight="false" outlineLevel="0" collapsed="false">
      <c r="A16" s="10" t="s">
        <v>332</v>
      </c>
      <c r="B16" s="56" t="n">
        <f aca="false">B14-B15</f>
        <v>1.592</v>
      </c>
      <c r="D16" s="10"/>
    </row>
    <row r="17" customFormat="false" ht="15" hidden="false" customHeight="false" outlineLevel="0" collapsed="false">
      <c r="A17" s="10" t="s">
        <v>333</v>
      </c>
      <c r="B17" s="57" t="n">
        <f aca="false">B16*01_前提条件!$C$6</f>
        <v>469.64</v>
      </c>
      <c r="D17" s="9" t="s">
        <v>334</v>
      </c>
    </row>
    <row r="18" customFormat="false" ht="15" hidden="false" customHeight="false" outlineLevel="0" collapsed="false">
      <c r="A18" s="7" t="s">
        <v>335</v>
      </c>
      <c r="B18" s="58" t="n">
        <f aca="false">B17*01_前提条件!$C$10</f>
        <v>37.5712</v>
      </c>
      <c r="D18" s="9" t="s">
        <v>336</v>
      </c>
    </row>
    <row r="19" customFormat="false" ht="15" hidden="false" customHeight="false" outlineLevel="0" collapsed="false">
      <c r="A19" s="10" t="s">
        <v>337</v>
      </c>
      <c r="B19" s="57" t="n">
        <f aca="false">B18*5</f>
        <v>187.856</v>
      </c>
      <c r="D19" s="10" t="s">
        <v>338</v>
      </c>
    </row>
    <row r="20" customFormat="false" ht="26.85" hidden="false" customHeight="false" outlineLevel="0" collapsed="false">
      <c r="A20" s="10" t="s">
        <v>339</v>
      </c>
      <c r="B20" s="35" t="n">
        <f aca="false">02_投資総括!$I$5+02_投資総括!$I$6</f>
        <v>7</v>
      </c>
      <c r="D20" s="10" t="s">
        <v>340</v>
      </c>
    </row>
    <row r="21" customFormat="false" ht="15" hidden="false" customHeight="false" outlineLevel="0" collapsed="false">
      <c r="A21" s="7" t="s">
        <v>341</v>
      </c>
      <c r="B21" s="58" t="n">
        <f aca="false">B18*B20</f>
        <v>262.9984</v>
      </c>
      <c r="D21" s="9" t="s">
        <v>342</v>
      </c>
    </row>
    <row r="23" customFormat="false" ht="19.5" hidden="false" customHeight="true" outlineLevel="0" collapsed="false">
      <c r="A23" s="3" t="s">
        <v>343</v>
      </c>
    </row>
    <row r="24" customFormat="false" ht="31.5" hidden="false" customHeight="true" outlineLevel="0" collapsed="false">
      <c r="A24" s="5" t="s">
        <v>8</v>
      </c>
      <c r="B24" s="5" t="s">
        <v>344</v>
      </c>
      <c r="C24" s="5" t="s">
        <v>345</v>
      </c>
      <c r="D24" s="5" t="s">
        <v>346</v>
      </c>
    </row>
    <row r="25" customFormat="false" ht="30" hidden="false" customHeight="true" outlineLevel="0" collapsed="false">
      <c r="A25" s="10" t="s">
        <v>347</v>
      </c>
      <c r="B25" s="10" t="s">
        <v>348</v>
      </c>
      <c r="C25" s="10" t="s">
        <v>349</v>
      </c>
      <c r="D25" s="10" t="s">
        <v>350</v>
      </c>
    </row>
    <row r="26" customFormat="false" ht="30" hidden="false" customHeight="true" outlineLevel="0" collapsed="false">
      <c r="A26" s="10" t="s">
        <v>351</v>
      </c>
      <c r="B26" s="10" t="s">
        <v>352</v>
      </c>
      <c r="C26" s="10" t="s">
        <v>353</v>
      </c>
      <c r="D26" s="10" t="s">
        <v>354</v>
      </c>
    </row>
    <row r="27" customFormat="false" ht="30" hidden="false" customHeight="true" outlineLevel="0" collapsed="false">
      <c r="A27" s="10" t="s">
        <v>355</v>
      </c>
      <c r="B27" s="10" t="s">
        <v>356</v>
      </c>
      <c r="C27" s="10" t="s">
        <v>357</v>
      </c>
      <c r="D27" s="10" t="s">
        <v>358</v>
      </c>
    </row>
    <row r="28" customFormat="false" ht="30" hidden="false" customHeight="true" outlineLevel="0" collapsed="false">
      <c r="A28" s="10" t="s">
        <v>359</v>
      </c>
      <c r="B28" s="10" t="s">
        <v>360</v>
      </c>
      <c r="C28" s="10" t="s">
        <v>361</v>
      </c>
      <c r="D28" s="10" t="s">
        <v>362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2"/>
    <col collapsed="false" customWidth="true" hidden="false" outlineLevel="0" max="4" min="4" style="0" width="7"/>
    <col collapsed="false" customWidth="true" hidden="false" outlineLevel="0" max="5" min="5" style="0" width="11"/>
    <col collapsed="false" customWidth="true" hidden="false" outlineLevel="0" max="6" min="6" style="0" width="7"/>
    <col collapsed="false" customWidth="true" hidden="false" outlineLevel="0" max="7" min="7" style="0" width="8"/>
    <col collapsed="false" customWidth="true" hidden="false" outlineLevel="0" max="8" min="8" style="0" width="7"/>
    <col collapsed="false" customWidth="true" hidden="false" outlineLevel="0" max="9" min="9" style="0" width="8"/>
    <col collapsed="false" customWidth="true" hidden="false" outlineLevel="0" max="10" min="10" style="0" width="7"/>
    <col collapsed="false" customWidth="true" hidden="false" outlineLevel="0" max="12" min="11" style="0" width="9"/>
    <col collapsed="false" customWidth="true" hidden="false" outlineLevel="0" max="13" min="13" style="0" width="10"/>
    <col collapsed="false" customWidth="true" hidden="false" outlineLevel="0" max="14" min="14" style="0" width="9"/>
    <col collapsed="false" customWidth="true" hidden="false" outlineLevel="0" max="15" min="15" style="0" width="8"/>
    <col collapsed="false" customWidth="true" hidden="false" outlineLevel="0" max="17" min="16" style="0" width="9"/>
    <col collapsed="false" customWidth="true" hidden="false" outlineLevel="0" max="19" min="18" style="0" width="12"/>
    <col collapsed="false" customWidth="true" hidden="false" outlineLevel="0" max="21" min="20" style="0" width="9"/>
    <col collapsed="false" customWidth="true" hidden="false" outlineLevel="0" max="22" min="22" style="0" width="22"/>
    <col collapsed="false" customWidth="true" hidden="false" outlineLevel="0" max="26" min="23" style="0" width="9"/>
  </cols>
  <sheetData>
    <row r="1" customFormat="false" ht="24" hidden="false" customHeight="true" outlineLevel="0" collapsed="false">
      <c r="A1" s="20" t="s">
        <v>363</v>
      </c>
    </row>
    <row r="2" customFormat="false" ht="15" hidden="false" customHeight="false" outlineLevel="0" collapsed="false">
      <c r="A2" s="2" t="s">
        <v>364</v>
      </c>
    </row>
    <row r="3" customFormat="false" ht="39.55" hidden="false" customHeight="false" outlineLevel="0" collapsed="false">
      <c r="A3" s="59" t="s">
        <v>365</v>
      </c>
      <c r="E3" s="35" t="n">
        <f aca="false">01_前提条件!$C$9</f>
        <v>8496000</v>
      </c>
      <c r="F3" s="2" t="s">
        <v>366</v>
      </c>
    </row>
    <row r="4" customFormat="false" ht="15" hidden="false" customHeight="false" outlineLevel="0" collapsed="false">
      <c r="A4" s="2" t="s">
        <v>367</v>
      </c>
    </row>
    <row r="5" customFormat="false" ht="19.5" hidden="false" customHeight="true" outlineLevel="0" collapsed="false">
      <c r="A5" s="3" t="s">
        <v>368</v>
      </c>
    </row>
    <row r="6" customFormat="false" ht="15" hidden="false" customHeight="true" outlineLevel="0" collapsed="false">
      <c r="A6" s="60" t="s">
        <v>369</v>
      </c>
      <c r="B6" s="60"/>
      <c r="C6" s="60"/>
      <c r="D6" s="60"/>
      <c r="E6" s="60"/>
      <c r="F6" s="60" t="s">
        <v>360</v>
      </c>
      <c r="G6" s="60"/>
      <c r="H6" s="60" t="s">
        <v>370</v>
      </c>
      <c r="I6" s="60"/>
      <c r="J6" s="60" t="s">
        <v>371</v>
      </c>
      <c r="K6" s="60"/>
      <c r="L6" s="60"/>
      <c r="M6" s="60"/>
      <c r="N6" s="60"/>
      <c r="O6" s="60" t="s">
        <v>372</v>
      </c>
      <c r="P6" s="60"/>
      <c r="Q6" s="60"/>
      <c r="R6" s="60"/>
      <c r="S6" s="60"/>
      <c r="T6" s="60"/>
      <c r="U6" s="60"/>
      <c r="V6" s="60" t="s">
        <v>373</v>
      </c>
      <c r="W6" s="60" t="s">
        <v>374</v>
      </c>
      <c r="X6" s="60"/>
      <c r="Y6" s="60"/>
      <c r="Z6" s="60"/>
    </row>
    <row r="7" customFormat="false" ht="57.75" hidden="false" customHeight="true" outlineLevel="0" collapsed="false">
      <c r="A7" s="6" t="s">
        <v>375</v>
      </c>
      <c r="B7" s="5" t="s">
        <v>376</v>
      </c>
      <c r="C7" s="5" t="s">
        <v>377</v>
      </c>
      <c r="D7" s="5" t="s">
        <v>378</v>
      </c>
      <c r="E7" s="5" t="s">
        <v>379</v>
      </c>
      <c r="F7" s="5" t="s">
        <v>380</v>
      </c>
      <c r="G7" s="5" t="s">
        <v>381</v>
      </c>
      <c r="H7" s="5" t="s">
        <v>380</v>
      </c>
      <c r="I7" s="5" t="s">
        <v>381</v>
      </c>
      <c r="J7" s="5" t="s">
        <v>380</v>
      </c>
      <c r="K7" s="5" t="s">
        <v>382</v>
      </c>
      <c r="L7" s="5" t="s">
        <v>383</v>
      </c>
      <c r="M7" s="5" t="s">
        <v>384</v>
      </c>
      <c r="N7" s="5" t="s">
        <v>385</v>
      </c>
      <c r="O7" s="5" t="s">
        <v>386</v>
      </c>
      <c r="P7" s="5" t="s">
        <v>387</v>
      </c>
      <c r="Q7" s="5" t="s">
        <v>388</v>
      </c>
      <c r="R7" s="5" t="s">
        <v>389</v>
      </c>
      <c r="S7" s="5" t="s">
        <v>390</v>
      </c>
      <c r="T7" s="5" t="s">
        <v>391</v>
      </c>
      <c r="U7" s="5" t="s">
        <v>392</v>
      </c>
      <c r="V7" s="5" t="s">
        <v>373</v>
      </c>
      <c r="W7" s="5" t="s">
        <v>393</v>
      </c>
      <c r="X7" s="5" t="s">
        <v>394</v>
      </c>
      <c r="Y7" s="5" t="s">
        <v>395</v>
      </c>
      <c r="Z7" s="5" t="s">
        <v>396</v>
      </c>
    </row>
    <row r="8" customFormat="false" ht="15" hidden="false" customHeight="false" outlineLevel="0" collapsed="false">
      <c r="A8" s="18" t="s">
        <v>397</v>
      </c>
      <c r="B8" s="18" t="s">
        <v>398</v>
      </c>
      <c r="C8" s="18" t="s">
        <v>399</v>
      </c>
      <c r="D8" s="18" t="s">
        <v>400</v>
      </c>
      <c r="E8" s="61" t="n">
        <v>10000</v>
      </c>
      <c r="F8" s="61" t="n">
        <v>6</v>
      </c>
      <c r="G8" s="61" t="n">
        <v>340</v>
      </c>
      <c r="H8" s="61" t="n">
        <v>3</v>
      </c>
      <c r="I8" s="61" t="n">
        <v>330</v>
      </c>
      <c r="J8" s="61" t="n">
        <v>2</v>
      </c>
      <c r="K8" s="61" t="n">
        <v>310</v>
      </c>
      <c r="L8" s="61" t="n">
        <v>180</v>
      </c>
      <c r="M8" s="61" t="n">
        <v>120</v>
      </c>
      <c r="N8" s="61" t="n">
        <f aca="false">IF(K8="","",K8-N(M8))</f>
        <v>190</v>
      </c>
      <c r="O8" s="61" t="n">
        <f aca="false">IF(OR(F8="",J8=""),"",F8-J8)</f>
        <v>4</v>
      </c>
      <c r="P8" s="62" t="n">
        <f aca="false">IF(OR(G8="",K8=""),"",G8-K8)</f>
        <v>30</v>
      </c>
      <c r="Q8" s="62" t="n">
        <f aca="false">IF(OR(G8="",N8=""),"",G8-N8)</f>
        <v>150</v>
      </c>
      <c r="R8" s="63" t="n">
        <f aca="false">IF(OR(E8="",P8=""),"",P8*E8)</f>
        <v>300000</v>
      </c>
      <c r="S8" s="63" t="n">
        <f aca="false">IF(OR(E8="",Q8=""),"",Q8*E8)</f>
        <v>1500000</v>
      </c>
      <c r="T8" s="64" t="n">
        <f aca="false">IF(R8="","",R8/01_前提条件!$C$9)</f>
        <v>0.0353107344632768</v>
      </c>
      <c r="U8" s="64" t="n">
        <f aca="false">IF(S8="","",S8/01_前提条件!$C$9)</f>
        <v>0.176553672316384</v>
      </c>
      <c r="V8" s="65" t="str">
        <f aca="false">IF(P8="","",IF(P8&gt;0,"サイクル短縮",IF(P8=0,"サイクル同等：拘束・品質で評価","サイクル増：拘束・品質で評価")))</f>
        <v>サイクル短縮</v>
      </c>
      <c r="W8" s="18"/>
      <c r="X8" s="18"/>
      <c r="Y8" s="18"/>
      <c r="Z8" s="18"/>
    </row>
    <row r="9" customFormat="false" ht="15" hidden="false" customHeight="false" outlineLevel="0" collapsed="false">
      <c r="A9" s="15" t="n">
        <v>1</v>
      </c>
      <c r="B9" s="16"/>
      <c r="C9" s="16"/>
      <c r="D9" s="66"/>
      <c r="E9" s="21"/>
      <c r="F9" s="21"/>
      <c r="G9" s="21"/>
      <c r="H9" s="21"/>
      <c r="I9" s="21"/>
      <c r="J9" s="21"/>
      <c r="K9" s="21"/>
      <c r="L9" s="21"/>
      <c r="M9" s="21"/>
      <c r="N9" s="51" t="str">
        <f aca="false">IF(K9="","",K9-N(M9))</f>
        <v/>
      </c>
      <c r="O9" s="51" t="str">
        <f aca="false">IF(OR(F9="",J9=""),"",F9-J9)</f>
        <v/>
      </c>
      <c r="P9" s="67" t="str">
        <f aca="false">IF(OR(G9="",K9=""),"",G9-K9)</f>
        <v/>
      </c>
      <c r="Q9" s="67" t="str">
        <f aca="false">IF(OR(G9="",N9=""),"",G9-N9)</f>
        <v/>
      </c>
      <c r="R9" s="30" t="str">
        <f aca="false">IF(OR(E9="",P9=""),"",P9*E9)</f>
        <v/>
      </c>
      <c r="S9" s="30" t="str">
        <f aca="false">IF(OR(E9="",Q9=""),"",Q9*E9)</f>
        <v/>
      </c>
      <c r="T9" s="56" t="str">
        <f aca="false">IF(R9="","",R9/01_前提条件!$C$9)</f>
        <v/>
      </c>
      <c r="U9" s="56" t="str">
        <f aca="false">IF(S9="","",S9/01_前提条件!$C$9)</f>
        <v/>
      </c>
      <c r="V9" s="68" t="str">
        <f aca="false">IF(P9="","",IF(P9&gt;0,"サイクル短縮",IF(P9=0,"サイクル同等：拘束・品質で評価","サイクル増：拘束・品質で評価")))</f>
        <v/>
      </c>
      <c r="W9" s="21"/>
      <c r="X9" s="21"/>
      <c r="Y9" s="23"/>
      <c r="Z9" s="23"/>
    </row>
    <row r="10" customFormat="false" ht="15" hidden="false" customHeight="false" outlineLevel="0" collapsed="false">
      <c r="A10" s="15" t="n">
        <v>2</v>
      </c>
      <c r="B10" s="16"/>
      <c r="C10" s="16"/>
      <c r="D10" s="66"/>
      <c r="E10" s="21"/>
      <c r="F10" s="21"/>
      <c r="G10" s="21"/>
      <c r="H10" s="21"/>
      <c r="I10" s="21"/>
      <c r="J10" s="21"/>
      <c r="K10" s="21"/>
      <c r="L10" s="21"/>
      <c r="M10" s="21"/>
      <c r="N10" s="51" t="str">
        <f aca="false">IF(K10="","",K10-N(M10))</f>
        <v/>
      </c>
      <c r="O10" s="51" t="str">
        <f aca="false">IF(OR(F10="",J10=""),"",F10-J10)</f>
        <v/>
      </c>
      <c r="P10" s="67" t="str">
        <f aca="false">IF(OR(G10="",K10=""),"",G10-K10)</f>
        <v/>
      </c>
      <c r="Q10" s="67" t="str">
        <f aca="false">IF(OR(G10="",N10=""),"",G10-N10)</f>
        <v/>
      </c>
      <c r="R10" s="30" t="str">
        <f aca="false">IF(OR(E10="",P10=""),"",P10*E10)</f>
        <v/>
      </c>
      <c r="S10" s="30" t="str">
        <f aca="false">IF(OR(E10="",Q10=""),"",Q10*E10)</f>
        <v/>
      </c>
      <c r="T10" s="56" t="str">
        <f aca="false">IF(R10="","",R10/01_前提条件!$C$9)</f>
        <v/>
      </c>
      <c r="U10" s="56" t="str">
        <f aca="false">IF(S10="","",S10/01_前提条件!$C$9)</f>
        <v/>
      </c>
      <c r="V10" s="68" t="str">
        <f aca="false">IF(P10="","",IF(P10&gt;0,"サイクル短縮",IF(P10=0,"サイクル同等：拘束・品質で評価","サイクル増：拘束・品質で評価")))</f>
        <v/>
      </c>
      <c r="W10" s="21"/>
      <c r="X10" s="21"/>
      <c r="Y10" s="23"/>
      <c r="Z10" s="23"/>
    </row>
    <row r="11" customFormat="false" ht="15" hidden="false" customHeight="false" outlineLevel="0" collapsed="false">
      <c r="A11" s="15" t="n">
        <v>3</v>
      </c>
      <c r="B11" s="16"/>
      <c r="C11" s="16"/>
      <c r="D11" s="66"/>
      <c r="E11" s="21"/>
      <c r="F11" s="21"/>
      <c r="G11" s="21"/>
      <c r="H11" s="21"/>
      <c r="I11" s="21"/>
      <c r="J11" s="21"/>
      <c r="K11" s="21"/>
      <c r="L11" s="21"/>
      <c r="M11" s="21"/>
      <c r="N11" s="51" t="str">
        <f aca="false">IF(K11="","",K11-N(M11))</f>
        <v/>
      </c>
      <c r="O11" s="51" t="str">
        <f aca="false">IF(OR(F11="",J11=""),"",F11-J11)</f>
        <v/>
      </c>
      <c r="P11" s="67" t="str">
        <f aca="false">IF(OR(G11="",K11=""),"",G11-K11)</f>
        <v/>
      </c>
      <c r="Q11" s="67" t="str">
        <f aca="false">IF(OR(G11="",N11=""),"",G11-N11)</f>
        <v/>
      </c>
      <c r="R11" s="30" t="str">
        <f aca="false">IF(OR(E11="",P11=""),"",P11*E11)</f>
        <v/>
      </c>
      <c r="S11" s="30" t="str">
        <f aca="false">IF(OR(E11="",Q11=""),"",Q11*E11)</f>
        <v/>
      </c>
      <c r="T11" s="56" t="str">
        <f aca="false">IF(R11="","",R11/01_前提条件!$C$9)</f>
        <v/>
      </c>
      <c r="U11" s="56" t="str">
        <f aca="false">IF(S11="","",S11/01_前提条件!$C$9)</f>
        <v/>
      </c>
      <c r="V11" s="68" t="str">
        <f aca="false">IF(P11="","",IF(P11&gt;0,"サイクル短縮",IF(P11=0,"サイクル同等：拘束・品質で評価","サイクル増：拘束・品質で評価")))</f>
        <v/>
      </c>
      <c r="W11" s="21"/>
      <c r="X11" s="21"/>
      <c r="Y11" s="23"/>
      <c r="Z11" s="23"/>
    </row>
    <row r="12" customFormat="false" ht="15" hidden="false" customHeight="false" outlineLevel="0" collapsed="false">
      <c r="A12" s="15" t="n">
        <v>4</v>
      </c>
      <c r="B12" s="16"/>
      <c r="C12" s="16"/>
      <c r="D12" s="66"/>
      <c r="E12" s="21"/>
      <c r="F12" s="21"/>
      <c r="G12" s="21"/>
      <c r="H12" s="21"/>
      <c r="I12" s="21"/>
      <c r="J12" s="21"/>
      <c r="K12" s="21"/>
      <c r="L12" s="21"/>
      <c r="M12" s="21"/>
      <c r="N12" s="51" t="str">
        <f aca="false">IF(K12="","",K12-N(M12))</f>
        <v/>
      </c>
      <c r="O12" s="51" t="str">
        <f aca="false">IF(OR(F12="",J12=""),"",F12-J12)</f>
        <v/>
      </c>
      <c r="P12" s="67" t="str">
        <f aca="false">IF(OR(G12="",K12=""),"",G12-K12)</f>
        <v/>
      </c>
      <c r="Q12" s="67" t="str">
        <f aca="false">IF(OR(G12="",N12=""),"",G12-N12)</f>
        <v/>
      </c>
      <c r="R12" s="30" t="str">
        <f aca="false">IF(OR(E12="",P12=""),"",P12*E12)</f>
        <v/>
      </c>
      <c r="S12" s="30" t="str">
        <f aca="false">IF(OR(E12="",Q12=""),"",Q12*E12)</f>
        <v/>
      </c>
      <c r="T12" s="56" t="str">
        <f aca="false">IF(R12="","",R12/01_前提条件!$C$9)</f>
        <v/>
      </c>
      <c r="U12" s="56" t="str">
        <f aca="false">IF(S12="","",S12/01_前提条件!$C$9)</f>
        <v/>
      </c>
      <c r="V12" s="68" t="str">
        <f aca="false">IF(P12="","",IF(P12&gt;0,"サイクル短縮",IF(P12=0,"サイクル同等：拘束・品質で評価","サイクル増：拘束・品質で評価")))</f>
        <v/>
      </c>
      <c r="W12" s="21"/>
      <c r="X12" s="21"/>
      <c r="Y12" s="23"/>
      <c r="Z12" s="23"/>
    </row>
    <row r="13" customFormat="false" ht="15" hidden="false" customHeight="false" outlineLevel="0" collapsed="false">
      <c r="A13" s="15" t="n">
        <v>5</v>
      </c>
      <c r="B13" s="16"/>
      <c r="C13" s="16"/>
      <c r="D13" s="66"/>
      <c r="E13" s="21"/>
      <c r="F13" s="21"/>
      <c r="G13" s="21"/>
      <c r="H13" s="21"/>
      <c r="I13" s="21"/>
      <c r="J13" s="21"/>
      <c r="K13" s="21"/>
      <c r="L13" s="21"/>
      <c r="M13" s="21"/>
      <c r="N13" s="51" t="str">
        <f aca="false">IF(K13="","",K13-N(M13))</f>
        <v/>
      </c>
      <c r="O13" s="51" t="str">
        <f aca="false">IF(OR(F13="",J13=""),"",F13-J13)</f>
        <v/>
      </c>
      <c r="P13" s="67" t="str">
        <f aca="false">IF(OR(G13="",K13=""),"",G13-K13)</f>
        <v/>
      </c>
      <c r="Q13" s="67" t="str">
        <f aca="false">IF(OR(G13="",N13=""),"",G13-N13)</f>
        <v/>
      </c>
      <c r="R13" s="30" t="str">
        <f aca="false">IF(OR(E13="",P13=""),"",P13*E13)</f>
        <v/>
      </c>
      <c r="S13" s="30" t="str">
        <f aca="false">IF(OR(E13="",Q13=""),"",Q13*E13)</f>
        <v/>
      </c>
      <c r="T13" s="56" t="str">
        <f aca="false">IF(R13="","",R13/01_前提条件!$C$9)</f>
        <v/>
      </c>
      <c r="U13" s="56" t="str">
        <f aca="false">IF(S13="","",S13/01_前提条件!$C$9)</f>
        <v/>
      </c>
      <c r="V13" s="68" t="str">
        <f aca="false">IF(P13="","",IF(P13&gt;0,"サイクル短縮",IF(P13=0,"サイクル同等：拘束・品質で評価","サイクル増：拘束・品質で評価")))</f>
        <v/>
      </c>
      <c r="W13" s="21"/>
      <c r="X13" s="21"/>
      <c r="Y13" s="23"/>
      <c r="Z13" s="23"/>
    </row>
    <row r="14" customFormat="false" ht="15" hidden="false" customHeight="false" outlineLevel="0" collapsed="false">
      <c r="A14" s="15" t="n">
        <v>6</v>
      </c>
      <c r="B14" s="16"/>
      <c r="C14" s="16"/>
      <c r="D14" s="66"/>
      <c r="E14" s="21"/>
      <c r="F14" s="21"/>
      <c r="G14" s="21"/>
      <c r="H14" s="21"/>
      <c r="I14" s="21"/>
      <c r="J14" s="21"/>
      <c r="K14" s="21"/>
      <c r="L14" s="21"/>
      <c r="M14" s="21"/>
      <c r="N14" s="51" t="str">
        <f aca="false">IF(K14="","",K14-N(M14))</f>
        <v/>
      </c>
      <c r="O14" s="51" t="str">
        <f aca="false">IF(OR(F14="",J14=""),"",F14-J14)</f>
        <v/>
      </c>
      <c r="P14" s="67" t="str">
        <f aca="false">IF(OR(G14="",K14=""),"",G14-K14)</f>
        <v/>
      </c>
      <c r="Q14" s="67" t="str">
        <f aca="false">IF(OR(G14="",N14=""),"",G14-N14)</f>
        <v/>
      </c>
      <c r="R14" s="30" t="str">
        <f aca="false">IF(OR(E14="",P14=""),"",P14*E14)</f>
        <v/>
      </c>
      <c r="S14" s="30" t="str">
        <f aca="false">IF(OR(E14="",Q14=""),"",Q14*E14)</f>
        <v/>
      </c>
      <c r="T14" s="56" t="str">
        <f aca="false">IF(R14="","",R14/01_前提条件!$C$9)</f>
        <v/>
      </c>
      <c r="U14" s="56" t="str">
        <f aca="false">IF(S14="","",S14/01_前提条件!$C$9)</f>
        <v/>
      </c>
      <c r="V14" s="68" t="str">
        <f aca="false">IF(P14="","",IF(P14&gt;0,"サイクル短縮",IF(P14=0,"サイクル同等：拘束・品質で評価","サイクル増：拘束・品質で評価")))</f>
        <v/>
      </c>
      <c r="W14" s="21"/>
      <c r="X14" s="21"/>
      <c r="Y14" s="23"/>
      <c r="Z14" s="23"/>
    </row>
    <row r="15" customFormat="false" ht="15" hidden="false" customHeight="false" outlineLevel="0" collapsed="false">
      <c r="A15" s="15" t="n">
        <v>7</v>
      </c>
      <c r="B15" s="16"/>
      <c r="C15" s="16"/>
      <c r="D15" s="66"/>
      <c r="E15" s="21"/>
      <c r="F15" s="21"/>
      <c r="G15" s="21"/>
      <c r="H15" s="21"/>
      <c r="I15" s="21"/>
      <c r="J15" s="21"/>
      <c r="K15" s="21"/>
      <c r="L15" s="21"/>
      <c r="M15" s="21"/>
      <c r="N15" s="51" t="str">
        <f aca="false">IF(K15="","",K15-N(M15))</f>
        <v/>
      </c>
      <c r="O15" s="51" t="str">
        <f aca="false">IF(OR(F15="",J15=""),"",F15-J15)</f>
        <v/>
      </c>
      <c r="P15" s="67" t="str">
        <f aca="false">IF(OR(G15="",K15=""),"",G15-K15)</f>
        <v/>
      </c>
      <c r="Q15" s="67" t="str">
        <f aca="false">IF(OR(G15="",N15=""),"",G15-N15)</f>
        <v/>
      </c>
      <c r="R15" s="30" t="str">
        <f aca="false">IF(OR(E15="",P15=""),"",P15*E15)</f>
        <v/>
      </c>
      <c r="S15" s="30" t="str">
        <f aca="false">IF(OR(E15="",Q15=""),"",Q15*E15)</f>
        <v/>
      </c>
      <c r="T15" s="56" t="str">
        <f aca="false">IF(R15="","",R15/01_前提条件!$C$9)</f>
        <v/>
      </c>
      <c r="U15" s="56" t="str">
        <f aca="false">IF(S15="","",S15/01_前提条件!$C$9)</f>
        <v/>
      </c>
      <c r="V15" s="68" t="str">
        <f aca="false">IF(P15="","",IF(P15&gt;0,"サイクル短縮",IF(P15=0,"サイクル同等：拘束・品質で評価","サイクル増：拘束・品質で評価")))</f>
        <v/>
      </c>
      <c r="W15" s="21"/>
      <c r="X15" s="21"/>
      <c r="Y15" s="23"/>
      <c r="Z15" s="23"/>
    </row>
    <row r="16" customFormat="false" ht="15" hidden="false" customHeight="false" outlineLevel="0" collapsed="false">
      <c r="A16" s="15" t="n">
        <v>8</v>
      </c>
      <c r="B16" s="16"/>
      <c r="C16" s="16"/>
      <c r="D16" s="66"/>
      <c r="E16" s="21"/>
      <c r="F16" s="21"/>
      <c r="G16" s="21"/>
      <c r="H16" s="21"/>
      <c r="I16" s="21"/>
      <c r="J16" s="21"/>
      <c r="K16" s="21"/>
      <c r="L16" s="21"/>
      <c r="M16" s="21"/>
      <c r="N16" s="51" t="str">
        <f aca="false">IF(K16="","",K16-N(M16))</f>
        <v/>
      </c>
      <c r="O16" s="51" t="str">
        <f aca="false">IF(OR(F16="",J16=""),"",F16-J16)</f>
        <v/>
      </c>
      <c r="P16" s="67" t="str">
        <f aca="false">IF(OR(G16="",K16=""),"",G16-K16)</f>
        <v/>
      </c>
      <c r="Q16" s="67" t="str">
        <f aca="false">IF(OR(G16="",N16=""),"",G16-N16)</f>
        <v/>
      </c>
      <c r="R16" s="30" t="str">
        <f aca="false">IF(OR(E16="",P16=""),"",P16*E16)</f>
        <v/>
      </c>
      <c r="S16" s="30" t="str">
        <f aca="false">IF(OR(E16="",Q16=""),"",Q16*E16)</f>
        <v/>
      </c>
      <c r="T16" s="56" t="str">
        <f aca="false">IF(R16="","",R16/01_前提条件!$C$9)</f>
        <v/>
      </c>
      <c r="U16" s="56" t="str">
        <f aca="false">IF(S16="","",S16/01_前提条件!$C$9)</f>
        <v/>
      </c>
      <c r="V16" s="68" t="str">
        <f aca="false">IF(P16="","",IF(P16&gt;0,"サイクル短縮",IF(P16=0,"サイクル同等：拘束・品質で評価","サイクル増：拘束・品質で評価")))</f>
        <v/>
      </c>
      <c r="W16" s="21"/>
      <c r="X16" s="21"/>
      <c r="Y16" s="23"/>
      <c r="Z16" s="23"/>
    </row>
    <row r="17" customFormat="false" ht="15" hidden="false" customHeight="false" outlineLevel="0" collapsed="false">
      <c r="A17" s="15" t="n">
        <v>9</v>
      </c>
      <c r="B17" s="16"/>
      <c r="C17" s="16"/>
      <c r="D17" s="66"/>
      <c r="E17" s="21"/>
      <c r="F17" s="21"/>
      <c r="G17" s="21"/>
      <c r="H17" s="21"/>
      <c r="I17" s="21"/>
      <c r="J17" s="21"/>
      <c r="K17" s="21"/>
      <c r="L17" s="21"/>
      <c r="M17" s="21"/>
      <c r="N17" s="51" t="str">
        <f aca="false">IF(K17="","",K17-N(M17))</f>
        <v/>
      </c>
      <c r="O17" s="51" t="str">
        <f aca="false">IF(OR(F17="",J17=""),"",F17-J17)</f>
        <v/>
      </c>
      <c r="P17" s="67" t="str">
        <f aca="false">IF(OR(G17="",K17=""),"",G17-K17)</f>
        <v/>
      </c>
      <c r="Q17" s="67" t="str">
        <f aca="false">IF(OR(G17="",N17=""),"",G17-N17)</f>
        <v/>
      </c>
      <c r="R17" s="30" t="str">
        <f aca="false">IF(OR(E17="",P17=""),"",P17*E17)</f>
        <v/>
      </c>
      <c r="S17" s="30" t="str">
        <f aca="false">IF(OR(E17="",Q17=""),"",Q17*E17)</f>
        <v/>
      </c>
      <c r="T17" s="56" t="str">
        <f aca="false">IF(R17="","",R17/01_前提条件!$C$9)</f>
        <v/>
      </c>
      <c r="U17" s="56" t="str">
        <f aca="false">IF(S17="","",S17/01_前提条件!$C$9)</f>
        <v/>
      </c>
      <c r="V17" s="68" t="str">
        <f aca="false">IF(P17="","",IF(P17&gt;0,"サイクル短縮",IF(P17=0,"サイクル同等：拘束・品質で評価","サイクル増：拘束・品質で評価")))</f>
        <v/>
      </c>
      <c r="W17" s="21"/>
      <c r="X17" s="21"/>
      <c r="Y17" s="23"/>
      <c r="Z17" s="23"/>
    </row>
    <row r="18" customFormat="false" ht="15" hidden="false" customHeight="false" outlineLevel="0" collapsed="false">
      <c r="A18" s="15" t="n">
        <v>10</v>
      </c>
      <c r="B18" s="16"/>
      <c r="C18" s="16"/>
      <c r="D18" s="66"/>
      <c r="E18" s="21"/>
      <c r="F18" s="21"/>
      <c r="G18" s="21"/>
      <c r="H18" s="21"/>
      <c r="I18" s="21"/>
      <c r="J18" s="21"/>
      <c r="K18" s="21"/>
      <c r="L18" s="21"/>
      <c r="M18" s="21"/>
      <c r="N18" s="51" t="str">
        <f aca="false">IF(K18="","",K18-N(M18))</f>
        <v/>
      </c>
      <c r="O18" s="51" t="str">
        <f aca="false">IF(OR(F18="",J18=""),"",F18-J18)</f>
        <v/>
      </c>
      <c r="P18" s="67" t="str">
        <f aca="false">IF(OR(G18="",K18=""),"",G18-K18)</f>
        <v/>
      </c>
      <c r="Q18" s="67" t="str">
        <f aca="false">IF(OR(G18="",N18=""),"",G18-N18)</f>
        <v/>
      </c>
      <c r="R18" s="30" t="str">
        <f aca="false">IF(OR(E18="",P18=""),"",P18*E18)</f>
        <v/>
      </c>
      <c r="S18" s="30" t="str">
        <f aca="false">IF(OR(E18="",Q18=""),"",Q18*E18)</f>
        <v/>
      </c>
      <c r="T18" s="56" t="str">
        <f aca="false">IF(R18="","",R18/01_前提条件!$C$9)</f>
        <v/>
      </c>
      <c r="U18" s="56" t="str">
        <f aca="false">IF(S18="","",S18/01_前提条件!$C$9)</f>
        <v/>
      </c>
      <c r="V18" s="68" t="str">
        <f aca="false">IF(P18="","",IF(P18&gt;0,"サイクル短縮",IF(P18=0,"サイクル同等：拘束・品質で評価","サイクル増：拘束・品質で評価")))</f>
        <v/>
      </c>
      <c r="W18" s="21"/>
      <c r="X18" s="21"/>
      <c r="Y18" s="23"/>
      <c r="Z18" s="23"/>
    </row>
    <row r="19" customFormat="false" ht="15" hidden="false" customHeight="false" outlineLevel="0" collapsed="false">
      <c r="A19" s="15" t="n">
        <v>11</v>
      </c>
      <c r="B19" s="16"/>
      <c r="C19" s="16"/>
      <c r="D19" s="66"/>
      <c r="E19" s="21"/>
      <c r="F19" s="21"/>
      <c r="G19" s="21"/>
      <c r="H19" s="21"/>
      <c r="I19" s="21"/>
      <c r="J19" s="21"/>
      <c r="K19" s="21"/>
      <c r="L19" s="21"/>
      <c r="M19" s="21"/>
      <c r="N19" s="51" t="str">
        <f aca="false">IF(K19="","",K19-N(M19))</f>
        <v/>
      </c>
      <c r="O19" s="51" t="str">
        <f aca="false">IF(OR(F19="",J19=""),"",F19-J19)</f>
        <v/>
      </c>
      <c r="P19" s="67" t="str">
        <f aca="false">IF(OR(G19="",K19=""),"",G19-K19)</f>
        <v/>
      </c>
      <c r="Q19" s="67" t="str">
        <f aca="false">IF(OR(G19="",N19=""),"",G19-N19)</f>
        <v/>
      </c>
      <c r="R19" s="30" t="str">
        <f aca="false">IF(OR(E19="",P19=""),"",P19*E19)</f>
        <v/>
      </c>
      <c r="S19" s="30" t="str">
        <f aca="false">IF(OR(E19="",Q19=""),"",Q19*E19)</f>
        <v/>
      </c>
      <c r="T19" s="56" t="str">
        <f aca="false">IF(R19="","",R19/01_前提条件!$C$9)</f>
        <v/>
      </c>
      <c r="U19" s="56" t="str">
        <f aca="false">IF(S19="","",S19/01_前提条件!$C$9)</f>
        <v/>
      </c>
      <c r="V19" s="68" t="str">
        <f aca="false">IF(P19="","",IF(P19&gt;0,"サイクル短縮",IF(P19=0,"サイクル同等：拘束・品質で評価","サイクル増：拘束・品質で評価")))</f>
        <v/>
      </c>
      <c r="W19" s="21"/>
      <c r="X19" s="21"/>
      <c r="Y19" s="23"/>
      <c r="Z19" s="23"/>
    </row>
    <row r="20" customFormat="false" ht="15" hidden="false" customHeight="false" outlineLevel="0" collapsed="false">
      <c r="A20" s="15" t="n">
        <v>12</v>
      </c>
      <c r="B20" s="16"/>
      <c r="C20" s="16"/>
      <c r="D20" s="66"/>
      <c r="E20" s="21"/>
      <c r="F20" s="21"/>
      <c r="G20" s="21"/>
      <c r="H20" s="21"/>
      <c r="I20" s="21"/>
      <c r="J20" s="21"/>
      <c r="K20" s="21"/>
      <c r="L20" s="21"/>
      <c r="M20" s="21"/>
      <c r="N20" s="51" t="str">
        <f aca="false">IF(K20="","",K20-N(M20))</f>
        <v/>
      </c>
      <c r="O20" s="51" t="str">
        <f aca="false">IF(OR(F20="",J20=""),"",F20-J20)</f>
        <v/>
      </c>
      <c r="P20" s="67" t="str">
        <f aca="false">IF(OR(G20="",K20=""),"",G20-K20)</f>
        <v/>
      </c>
      <c r="Q20" s="67" t="str">
        <f aca="false">IF(OR(G20="",N20=""),"",G20-N20)</f>
        <v/>
      </c>
      <c r="R20" s="30" t="str">
        <f aca="false">IF(OR(E20="",P20=""),"",P20*E20)</f>
        <v/>
      </c>
      <c r="S20" s="30" t="str">
        <f aca="false">IF(OR(E20="",Q20=""),"",Q20*E20)</f>
        <v/>
      </c>
      <c r="T20" s="56" t="str">
        <f aca="false">IF(R20="","",R20/01_前提条件!$C$9)</f>
        <v/>
      </c>
      <c r="U20" s="56" t="str">
        <f aca="false">IF(S20="","",S20/01_前提条件!$C$9)</f>
        <v/>
      </c>
      <c r="V20" s="68" t="str">
        <f aca="false">IF(P20="","",IF(P20&gt;0,"サイクル短縮",IF(P20=0,"サイクル同等：拘束・品質で評価","サイクル増：拘束・品質で評価")))</f>
        <v/>
      </c>
      <c r="W20" s="21"/>
      <c r="X20" s="21"/>
      <c r="Y20" s="23"/>
      <c r="Z20" s="23"/>
    </row>
    <row r="21" customFormat="false" ht="15" hidden="false" customHeight="false" outlineLevel="0" collapsed="false">
      <c r="A21" s="15" t="n">
        <v>13</v>
      </c>
      <c r="B21" s="16"/>
      <c r="C21" s="16"/>
      <c r="D21" s="66"/>
      <c r="E21" s="21"/>
      <c r="F21" s="21"/>
      <c r="G21" s="21"/>
      <c r="H21" s="21"/>
      <c r="I21" s="21"/>
      <c r="J21" s="21"/>
      <c r="K21" s="21"/>
      <c r="L21" s="21"/>
      <c r="M21" s="21"/>
      <c r="N21" s="51" t="str">
        <f aca="false">IF(K21="","",K21-N(M21))</f>
        <v/>
      </c>
      <c r="O21" s="51" t="str">
        <f aca="false">IF(OR(F21="",J21=""),"",F21-J21)</f>
        <v/>
      </c>
      <c r="P21" s="67" t="str">
        <f aca="false">IF(OR(G21="",K21=""),"",G21-K21)</f>
        <v/>
      </c>
      <c r="Q21" s="67" t="str">
        <f aca="false">IF(OR(G21="",N21=""),"",G21-N21)</f>
        <v/>
      </c>
      <c r="R21" s="30" t="str">
        <f aca="false">IF(OR(E21="",P21=""),"",P21*E21)</f>
        <v/>
      </c>
      <c r="S21" s="30" t="str">
        <f aca="false">IF(OR(E21="",Q21=""),"",Q21*E21)</f>
        <v/>
      </c>
      <c r="T21" s="56" t="str">
        <f aca="false">IF(R21="","",R21/01_前提条件!$C$9)</f>
        <v/>
      </c>
      <c r="U21" s="56" t="str">
        <f aca="false">IF(S21="","",S21/01_前提条件!$C$9)</f>
        <v/>
      </c>
      <c r="V21" s="68" t="str">
        <f aca="false">IF(P21="","",IF(P21&gt;0,"サイクル短縮",IF(P21=0,"サイクル同等：拘束・品質で評価","サイクル増：拘束・品質で評価")))</f>
        <v/>
      </c>
      <c r="W21" s="21"/>
      <c r="X21" s="21"/>
      <c r="Y21" s="23"/>
      <c r="Z21" s="23"/>
    </row>
    <row r="22" customFormat="false" ht="15" hidden="false" customHeight="false" outlineLevel="0" collapsed="false">
      <c r="A22" s="15" t="n">
        <v>14</v>
      </c>
      <c r="B22" s="16"/>
      <c r="C22" s="16"/>
      <c r="D22" s="66"/>
      <c r="E22" s="21"/>
      <c r="F22" s="21"/>
      <c r="G22" s="21"/>
      <c r="H22" s="21"/>
      <c r="I22" s="21"/>
      <c r="J22" s="21"/>
      <c r="K22" s="21"/>
      <c r="L22" s="21"/>
      <c r="M22" s="21"/>
      <c r="N22" s="51" t="str">
        <f aca="false">IF(K22="","",K22-N(M22))</f>
        <v/>
      </c>
      <c r="O22" s="51" t="str">
        <f aca="false">IF(OR(F22="",J22=""),"",F22-J22)</f>
        <v/>
      </c>
      <c r="P22" s="67" t="str">
        <f aca="false">IF(OR(G22="",K22=""),"",G22-K22)</f>
        <v/>
      </c>
      <c r="Q22" s="67" t="str">
        <f aca="false">IF(OR(G22="",N22=""),"",G22-N22)</f>
        <v/>
      </c>
      <c r="R22" s="30" t="str">
        <f aca="false">IF(OR(E22="",P22=""),"",P22*E22)</f>
        <v/>
      </c>
      <c r="S22" s="30" t="str">
        <f aca="false">IF(OR(E22="",Q22=""),"",Q22*E22)</f>
        <v/>
      </c>
      <c r="T22" s="56" t="str">
        <f aca="false">IF(R22="","",R22/01_前提条件!$C$9)</f>
        <v/>
      </c>
      <c r="U22" s="56" t="str">
        <f aca="false">IF(S22="","",S22/01_前提条件!$C$9)</f>
        <v/>
      </c>
      <c r="V22" s="68" t="str">
        <f aca="false">IF(P22="","",IF(P22&gt;0,"サイクル短縮",IF(P22=0,"サイクル同等：拘束・品質で評価","サイクル増：拘束・品質で評価")))</f>
        <v/>
      </c>
      <c r="W22" s="21"/>
      <c r="X22" s="21"/>
      <c r="Y22" s="23"/>
      <c r="Z22" s="23"/>
    </row>
    <row r="23" customFormat="false" ht="15" hidden="false" customHeight="false" outlineLevel="0" collapsed="false">
      <c r="A23" s="15" t="n">
        <v>15</v>
      </c>
      <c r="B23" s="16"/>
      <c r="C23" s="16"/>
      <c r="D23" s="66"/>
      <c r="E23" s="21"/>
      <c r="F23" s="21"/>
      <c r="G23" s="21"/>
      <c r="H23" s="21"/>
      <c r="I23" s="21"/>
      <c r="J23" s="21"/>
      <c r="K23" s="21"/>
      <c r="L23" s="21"/>
      <c r="M23" s="21"/>
      <c r="N23" s="51" t="str">
        <f aca="false">IF(K23="","",K23-N(M23))</f>
        <v/>
      </c>
      <c r="O23" s="51" t="str">
        <f aca="false">IF(OR(F23="",J23=""),"",F23-J23)</f>
        <v/>
      </c>
      <c r="P23" s="67" t="str">
        <f aca="false">IF(OR(G23="",K23=""),"",G23-K23)</f>
        <v/>
      </c>
      <c r="Q23" s="67" t="str">
        <f aca="false">IF(OR(G23="",N23=""),"",G23-N23)</f>
        <v/>
      </c>
      <c r="R23" s="30" t="str">
        <f aca="false">IF(OR(E23="",P23=""),"",P23*E23)</f>
        <v/>
      </c>
      <c r="S23" s="30" t="str">
        <f aca="false">IF(OR(E23="",Q23=""),"",Q23*E23)</f>
        <v/>
      </c>
      <c r="T23" s="56" t="str">
        <f aca="false">IF(R23="","",R23/01_前提条件!$C$9)</f>
        <v/>
      </c>
      <c r="U23" s="56" t="str">
        <f aca="false">IF(S23="","",S23/01_前提条件!$C$9)</f>
        <v/>
      </c>
      <c r="V23" s="68" t="str">
        <f aca="false">IF(P23="","",IF(P23&gt;0,"サイクル短縮",IF(P23=0,"サイクル同等：拘束・品質で評価","サイクル増：拘束・品質で評価")))</f>
        <v/>
      </c>
      <c r="W23" s="21"/>
      <c r="X23" s="21"/>
      <c r="Y23" s="23"/>
      <c r="Z23" s="23"/>
    </row>
    <row r="24" customFormat="false" ht="15" hidden="false" customHeight="false" outlineLevel="0" collapsed="false">
      <c r="A24" s="15" t="n">
        <v>16</v>
      </c>
      <c r="B24" s="16"/>
      <c r="C24" s="16"/>
      <c r="D24" s="66"/>
      <c r="E24" s="21"/>
      <c r="F24" s="21"/>
      <c r="G24" s="21"/>
      <c r="H24" s="21"/>
      <c r="I24" s="21"/>
      <c r="J24" s="21"/>
      <c r="K24" s="21"/>
      <c r="L24" s="21"/>
      <c r="M24" s="21"/>
      <c r="N24" s="51" t="str">
        <f aca="false">IF(K24="","",K24-N(M24))</f>
        <v/>
      </c>
      <c r="O24" s="51" t="str">
        <f aca="false">IF(OR(F24="",J24=""),"",F24-J24)</f>
        <v/>
      </c>
      <c r="P24" s="67" t="str">
        <f aca="false">IF(OR(G24="",K24=""),"",G24-K24)</f>
        <v/>
      </c>
      <c r="Q24" s="67" t="str">
        <f aca="false">IF(OR(G24="",N24=""),"",G24-N24)</f>
        <v/>
      </c>
      <c r="R24" s="30" t="str">
        <f aca="false">IF(OR(E24="",P24=""),"",P24*E24)</f>
        <v/>
      </c>
      <c r="S24" s="30" t="str">
        <f aca="false">IF(OR(E24="",Q24=""),"",Q24*E24)</f>
        <v/>
      </c>
      <c r="T24" s="56" t="str">
        <f aca="false">IF(R24="","",R24/01_前提条件!$C$9)</f>
        <v/>
      </c>
      <c r="U24" s="56" t="str">
        <f aca="false">IF(S24="","",S24/01_前提条件!$C$9)</f>
        <v/>
      </c>
      <c r="V24" s="68" t="str">
        <f aca="false">IF(P24="","",IF(P24&gt;0,"サイクル短縮",IF(P24=0,"サイクル同等：拘束・品質で評価","サイクル増：拘束・品質で評価")))</f>
        <v/>
      </c>
      <c r="W24" s="21"/>
      <c r="X24" s="21"/>
      <c r="Y24" s="23"/>
      <c r="Z24" s="23"/>
    </row>
    <row r="25" customFormat="false" ht="15" hidden="false" customHeight="false" outlineLevel="0" collapsed="false">
      <c r="A25" s="15" t="n">
        <v>17</v>
      </c>
      <c r="B25" s="16"/>
      <c r="C25" s="16"/>
      <c r="D25" s="66"/>
      <c r="E25" s="21"/>
      <c r="F25" s="21"/>
      <c r="G25" s="21"/>
      <c r="H25" s="21"/>
      <c r="I25" s="21"/>
      <c r="J25" s="21"/>
      <c r="K25" s="21"/>
      <c r="L25" s="21"/>
      <c r="M25" s="21"/>
      <c r="N25" s="51" t="str">
        <f aca="false">IF(K25="","",K25-N(M25))</f>
        <v/>
      </c>
      <c r="O25" s="51" t="str">
        <f aca="false">IF(OR(F25="",J25=""),"",F25-J25)</f>
        <v/>
      </c>
      <c r="P25" s="67" t="str">
        <f aca="false">IF(OR(G25="",K25=""),"",G25-K25)</f>
        <v/>
      </c>
      <c r="Q25" s="67" t="str">
        <f aca="false">IF(OR(G25="",N25=""),"",G25-N25)</f>
        <v/>
      </c>
      <c r="R25" s="30" t="str">
        <f aca="false">IF(OR(E25="",P25=""),"",P25*E25)</f>
        <v/>
      </c>
      <c r="S25" s="30" t="str">
        <f aca="false">IF(OR(E25="",Q25=""),"",Q25*E25)</f>
        <v/>
      </c>
      <c r="T25" s="56" t="str">
        <f aca="false">IF(R25="","",R25/01_前提条件!$C$9)</f>
        <v/>
      </c>
      <c r="U25" s="56" t="str">
        <f aca="false">IF(S25="","",S25/01_前提条件!$C$9)</f>
        <v/>
      </c>
      <c r="V25" s="68" t="str">
        <f aca="false">IF(P25="","",IF(P25&gt;0,"サイクル短縮",IF(P25=0,"サイクル同等：拘束・品質で評価","サイクル増：拘束・品質で評価")))</f>
        <v/>
      </c>
      <c r="W25" s="21"/>
      <c r="X25" s="21"/>
      <c r="Y25" s="23"/>
      <c r="Z25" s="23"/>
    </row>
    <row r="26" customFormat="false" ht="15" hidden="false" customHeight="false" outlineLevel="0" collapsed="false">
      <c r="A26" s="15" t="n">
        <v>18</v>
      </c>
      <c r="B26" s="16"/>
      <c r="C26" s="16"/>
      <c r="D26" s="66"/>
      <c r="E26" s="21"/>
      <c r="F26" s="21"/>
      <c r="G26" s="21"/>
      <c r="H26" s="21"/>
      <c r="I26" s="21"/>
      <c r="J26" s="21"/>
      <c r="K26" s="21"/>
      <c r="L26" s="21"/>
      <c r="M26" s="21"/>
      <c r="N26" s="51" t="str">
        <f aca="false">IF(K26="","",K26-N(M26))</f>
        <v/>
      </c>
      <c r="O26" s="51" t="str">
        <f aca="false">IF(OR(F26="",J26=""),"",F26-J26)</f>
        <v/>
      </c>
      <c r="P26" s="67" t="str">
        <f aca="false">IF(OR(G26="",K26=""),"",G26-K26)</f>
        <v/>
      </c>
      <c r="Q26" s="67" t="str">
        <f aca="false">IF(OR(G26="",N26=""),"",G26-N26)</f>
        <v/>
      </c>
      <c r="R26" s="30" t="str">
        <f aca="false">IF(OR(E26="",P26=""),"",P26*E26)</f>
        <v/>
      </c>
      <c r="S26" s="30" t="str">
        <f aca="false">IF(OR(E26="",Q26=""),"",Q26*E26)</f>
        <v/>
      </c>
      <c r="T26" s="56" t="str">
        <f aca="false">IF(R26="","",R26/01_前提条件!$C$9)</f>
        <v/>
      </c>
      <c r="U26" s="56" t="str">
        <f aca="false">IF(S26="","",S26/01_前提条件!$C$9)</f>
        <v/>
      </c>
      <c r="V26" s="68" t="str">
        <f aca="false">IF(P26="","",IF(P26&gt;0,"サイクル短縮",IF(P26=0,"サイクル同等：拘束・品質で評価","サイクル増：拘束・品質で評価")))</f>
        <v/>
      </c>
      <c r="W26" s="21"/>
      <c r="X26" s="21"/>
      <c r="Y26" s="23"/>
      <c r="Z26" s="23"/>
    </row>
    <row r="27" customFormat="false" ht="15" hidden="false" customHeight="false" outlineLevel="0" collapsed="false">
      <c r="A27" s="15" t="n">
        <v>19</v>
      </c>
      <c r="B27" s="16"/>
      <c r="C27" s="16"/>
      <c r="D27" s="66"/>
      <c r="E27" s="21"/>
      <c r="F27" s="21"/>
      <c r="G27" s="21"/>
      <c r="H27" s="21"/>
      <c r="I27" s="21"/>
      <c r="J27" s="21"/>
      <c r="K27" s="21"/>
      <c r="L27" s="21"/>
      <c r="M27" s="21"/>
      <c r="N27" s="51" t="str">
        <f aca="false">IF(K27="","",K27-N(M27))</f>
        <v/>
      </c>
      <c r="O27" s="51" t="str">
        <f aca="false">IF(OR(F27="",J27=""),"",F27-J27)</f>
        <v/>
      </c>
      <c r="P27" s="67" t="str">
        <f aca="false">IF(OR(G27="",K27=""),"",G27-K27)</f>
        <v/>
      </c>
      <c r="Q27" s="67" t="str">
        <f aca="false">IF(OR(G27="",N27=""),"",G27-N27)</f>
        <v/>
      </c>
      <c r="R27" s="30" t="str">
        <f aca="false">IF(OR(E27="",P27=""),"",P27*E27)</f>
        <v/>
      </c>
      <c r="S27" s="30" t="str">
        <f aca="false">IF(OR(E27="",Q27=""),"",Q27*E27)</f>
        <v/>
      </c>
      <c r="T27" s="56" t="str">
        <f aca="false">IF(R27="","",R27/01_前提条件!$C$9)</f>
        <v/>
      </c>
      <c r="U27" s="56" t="str">
        <f aca="false">IF(S27="","",S27/01_前提条件!$C$9)</f>
        <v/>
      </c>
      <c r="V27" s="68" t="str">
        <f aca="false">IF(P27="","",IF(P27&gt;0,"サイクル短縮",IF(P27=0,"サイクル同等：拘束・品質で評価","サイクル増：拘束・品質で評価")))</f>
        <v/>
      </c>
      <c r="W27" s="21"/>
      <c r="X27" s="21"/>
      <c r="Y27" s="23"/>
      <c r="Z27" s="23"/>
    </row>
    <row r="28" customFormat="false" ht="15" hidden="false" customHeight="false" outlineLevel="0" collapsed="false">
      <c r="A28" s="15" t="n">
        <v>20</v>
      </c>
      <c r="B28" s="16"/>
      <c r="C28" s="16"/>
      <c r="D28" s="66"/>
      <c r="E28" s="21"/>
      <c r="F28" s="21"/>
      <c r="G28" s="21"/>
      <c r="H28" s="21"/>
      <c r="I28" s="21"/>
      <c r="J28" s="21"/>
      <c r="K28" s="21"/>
      <c r="L28" s="21"/>
      <c r="M28" s="21"/>
      <c r="N28" s="51" t="str">
        <f aca="false">IF(K28="","",K28-N(M28))</f>
        <v/>
      </c>
      <c r="O28" s="51" t="str">
        <f aca="false">IF(OR(F28="",J28=""),"",F28-J28)</f>
        <v/>
      </c>
      <c r="P28" s="67" t="str">
        <f aca="false">IF(OR(G28="",K28=""),"",G28-K28)</f>
        <v/>
      </c>
      <c r="Q28" s="67" t="str">
        <f aca="false">IF(OR(G28="",N28=""),"",G28-N28)</f>
        <v/>
      </c>
      <c r="R28" s="30" t="str">
        <f aca="false">IF(OR(E28="",P28=""),"",P28*E28)</f>
        <v/>
      </c>
      <c r="S28" s="30" t="str">
        <f aca="false">IF(OR(E28="",Q28=""),"",Q28*E28)</f>
        <v/>
      </c>
      <c r="T28" s="56" t="str">
        <f aca="false">IF(R28="","",R28/01_前提条件!$C$9)</f>
        <v/>
      </c>
      <c r="U28" s="56" t="str">
        <f aca="false">IF(S28="","",S28/01_前提条件!$C$9)</f>
        <v/>
      </c>
      <c r="V28" s="68" t="str">
        <f aca="false">IF(P28="","",IF(P28&gt;0,"サイクル短縮",IF(P28=0,"サイクル同等：拘束・品質で評価","サイクル増：拘束・品質で評価")))</f>
        <v/>
      </c>
      <c r="W28" s="21"/>
      <c r="X28" s="21"/>
      <c r="Y28" s="23"/>
      <c r="Z28" s="23"/>
    </row>
    <row r="29" customFormat="false" ht="15" hidden="false" customHeight="true" outlineLevel="0" collapsed="false">
      <c r="A29" s="37" t="s">
        <v>401</v>
      </c>
      <c r="B29" s="37"/>
      <c r="C29" s="37"/>
      <c r="D29" s="37"/>
      <c r="E29" s="37"/>
      <c r="F29" s="37"/>
      <c r="G29" s="37"/>
      <c r="H29" s="37"/>
      <c r="I29" s="37"/>
      <c r="J29" s="37"/>
      <c r="K29" s="37"/>
      <c r="L29" s="37"/>
      <c r="M29" s="37"/>
      <c r="N29" s="37"/>
      <c r="O29" s="37"/>
      <c r="P29" s="37"/>
      <c r="Q29" s="37"/>
      <c r="R29" s="39" t="n">
        <f aca="false">SUM(R9:R28)</f>
        <v>0</v>
      </c>
      <c r="S29" s="39" t="n">
        <f aca="false">SUM(S9:S28)</f>
        <v>0</v>
      </c>
      <c r="T29" s="69" t="n">
        <f aca="false">SUM(T9:T28)</f>
        <v>0</v>
      </c>
      <c r="U29" s="69" t="n">
        <f aca="false">SUM(U9:U28)</f>
        <v>0</v>
      </c>
      <c r="V29" s="40"/>
      <c r="W29" s="40"/>
      <c r="X29" s="40"/>
      <c r="Y29" s="40"/>
      <c r="Z29" s="40"/>
    </row>
    <row r="30" customFormat="false" ht="15" hidden="false" customHeight="false" outlineLevel="0" collapsed="false">
      <c r="A30" s="2" t="s">
        <v>402</v>
      </c>
    </row>
    <row r="32" customFormat="false" ht="19.5" hidden="false" customHeight="true" outlineLevel="0" collapsed="false">
      <c r="A32" s="3" t="s">
        <v>403</v>
      </c>
    </row>
    <row r="33" customFormat="false" ht="31.5" hidden="false" customHeight="true" outlineLevel="0" collapsed="false">
      <c r="A33" s="6" t="s">
        <v>375</v>
      </c>
      <c r="B33" s="5" t="s">
        <v>404</v>
      </c>
      <c r="C33" s="5"/>
      <c r="D33" s="5" t="s">
        <v>405</v>
      </c>
      <c r="E33" s="5" t="s">
        <v>406</v>
      </c>
      <c r="F33" s="5" t="s">
        <v>407</v>
      </c>
      <c r="G33" s="6" t="s">
        <v>408</v>
      </c>
      <c r="H33" s="6" t="s">
        <v>409</v>
      </c>
      <c r="I33" s="5" t="s">
        <v>410</v>
      </c>
      <c r="J33" s="5"/>
      <c r="K33" s="6" t="s">
        <v>411</v>
      </c>
      <c r="L33" s="6"/>
      <c r="M33" s="5" t="s">
        <v>412</v>
      </c>
      <c r="N33" s="5"/>
      <c r="O33" s="5" t="s">
        <v>413</v>
      </c>
      <c r="P33" s="5"/>
      <c r="Q33" s="5" t="s">
        <v>11</v>
      </c>
      <c r="R33" s="5"/>
      <c r="S33" s="5"/>
      <c r="T33" s="5"/>
      <c r="U33" s="5"/>
    </row>
    <row r="34" customFormat="false" ht="15" hidden="false" customHeight="true" outlineLevel="0" collapsed="false">
      <c r="A34" s="18" t="s">
        <v>397</v>
      </c>
      <c r="B34" s="70" t="s">
        <v>414</v>
      </c>
      <c r="C34" s="70"/>
      <c r="D34" s="61" t="n">
        <v>10000</v>
      </c>
      <c r="E34" s="61" t="n">
        <v>60</v>
      </c>
      <c r="F34" s="61" t="n">
        <v>2</v>
      </c>
      <c r="G34" s="61" t="n">
        <v>60</v>
      </c>
      <c r="H34" s="61" t="n">
        <v>1</v>
      </c>
      <c r="I34" s="71" t="n">
        <f aca="false">IF(OR(D34="",E34="",F34=""),"",E34*F34*D34)</f>
        <v>1200000</v>
      </c>
      <c r="J34" s="71"/>
      <c r="K34" s="71" t="n">
        <f aca="false">IF(OR(D34="",G34="",H34=""),"",G34*H34*D34)</f>
        <v>600000</v>
      </c>
      <c r="L34" s="71"/>
      <c r="M34" s="71" t="n">
        <f aca="false">IF(OR(I34="",K34=""),"",I34-K34)</f>
        <v>600000</v>
      </c>
      <c r="N34" s="71"/>
      <c r="O34" s="72" t="n">
        <f aca="false">IF(M34="","",M34/01_前提条件!$C$9)</f>
        <v>0.0706214689265537</v>
      </c>
      <c r="P34" s="72"/>
      <c r="Q34" s="70" t="s">
        <v>415</v>
      </c>
      <c r="R34" s="70"/>
      <c r="S34" s="70"/>
      <c r="T34" s="70"/>
      <c r="U34" s="70"/>
    </row>
    <row r="35" customFormat="false" ht="15" hidden="false" customHeight="false" outlineLevel="0" collapsed="false">
      <c r="A35" s="15" t="n">
        <v>1</v>
      </c>
      <c r="B35" s="73"/>
      <c r="C35" s="73"/>
      <c r="D35" s="21"/>
      <c r="E35" s="21"/>
      <c r="F35" s="21"/>
      <c r="G35" s="21"/>
      <c r="H35" s="21"/>
      <c r="I35" s="74" t="str">
        <f aca="false">IF(OR(D35="",E35="",F35=""),"",E35*F35*D35)</f>
        <v/>
      </c>
      <c r="J35" s="74"/>
      <c r="K35" s="74" t="str">
        <f aca="false">IF(OR(D35="",G35="",H35=""),"",G35*H35*D35)</f>
        <v/>
      </c>
      <c r="L35" s="74"/>
      <c r="M35" s="74" t="str">
        <f aca="false">IF(OR(I35="",K35=""),"",I35-K35)</f>
        <v/>
      </c>
      <c r="N35" s="74"/>
      <c r="O35" s="75" t="str">
        <f aca="false">IF(M35="","",M35/01_前提条件!$C$9)</f>
        <v/>
      </c>
      <c r="P35" s="75"/>
      <c r="Q35" s="73"/>
      <c r="R35" s="73"/>
      <c r="S35" s="73"/>
      <c r="T35" s="73"/>
      <c r="U35" s="73"/>
    </row>
    <row r="36" customFormat="false" ht="15" hidden="false" customHeight="false" outlineLevel="0" collapsed="false">
      <c r="A36" s="15" t="n">
        <v>2</v>
      </c>
      <c r="B36" s="73"/>
      <c r="C36" s="73"/>
      <c r="D36" s="21"/>
      <c r="E36" s="21"/>
      <c r="F36" s="21"/>
      <c r="G36" s="21"/>
      <c r="H36" s="21"/>
      <c r="I36" s="74" t="str">
        <f aca="false">IF(OR(D36="",E36="",F36=""),"",E36*F36*D36)</f>
        <v/>
      </c>
      <c r="J36" s="74"/>
      <c r="K36" s="74" t="str">
        <f aca="false">IF(OR(D36="",G36="",H36=""),"",G36*H36*D36)</f>
        <v/>
      </c>
      <c r="L36" s="74"/>
      <c r="M36" s="74" t="str">
        <f aca="false">IF(OR(I36="",K36=""),"",I36-K36)</f>
        <v/>
      </c>
      <c r="N36" s="74"/>
      <c r="O36" s="75" t="str">
        <f aca="false">IF(M36="","",M36/01_前提条件!$C$9)</f>
        <v/>
      </c>
      <c r="P36" s="75"/>
      <c r="Q36" s="73"/>
      <c r="R36" s="73"/>
      <c r="S36" s="73"/>
      <c r="T36" s="73"/>
      <c r="U36" s="73"/>
    </row>
    <row r="37" customFormat="false" ht="15" hidden="false" customHeight="false" outlineLevel="0" collapsed="false">
      <c r="A37" s="15" t="n">
        <v>3</v>
      </c>
      <c r="B37" s="73"/>
      <c r="C37" s="73"/>
      <c r="D37" s="21"/>
      <c r="E37" s="21"/>
      <c r="F37" s="21"/>
      <c r="G37" s="21"/>
      <c r="H37" s="21"/>
      <c r="I37" s="74" t="str">
        <f aca="false">IF(OR(D37="",E37="",F37=""),"",E37*F37*D37)</f>
        <v/>
      </c>
      <c r="J37" s="74"/>
      <c r="K37" s="74" t="str">
        <f aca="false">IF(OR(D37="",G37="",H37=""),"",G37*H37*D37)</f>
        <v/>
      </c>
      <c r="L37" s="74"/>
      <c r="M37" s="74" t="str">
        <f aca="false">IF(OR(I37="",K37=""),"",I37-K37)</f>
        <v/>
      </c>
      <c r="N37" s="74"/>
      <c r="O37" s="75" t="str">
        <f aca="false">IF(M37="","",M37/01_前提条件!$C$9)</f>
        <v/>
      </c>
      <c r="P37" s="75"/>
      <c r="Q37" s="73"/>
      <c r="R37" s="73"/>
      <c r="S37" s="73"/>
      <c r="T37" s="73"/>
      <c r="U37" s="73"/>
    </row>
    <row r="38" customFormat="false" ht="15" hidden="false" customHeight="false" outlineLevel="0" collapsed="false">
      <c r="A38" s="15" t="n">
        <v>4</v>
      </c>
      <c r="B38" s="73"/>
      <c r="C38" s="73"/>
      <c r="D38" s="21"/>
      <c r="E38" s="21"/>
      <c r="F38" s="21"/>
      <c r="G38" s="21"/>
      <c r="H38" s="21"/>
      <c r="I38" s="74" t="str">
        <f aca="false">IF(OR(D38="",E38="",F38=""),"",E38*F38*D38)</f>
        <v/>
      </c>
      <c r="J38" s="74"/>
      <c r="K38" s="74" t="str">
        <f aca="false">IF(OR(D38="",G38="",H38=""),"",G38*H38*D38)</f>
        <v/>
      </c>
      <c r="L38" s="74"/>
      <c r="M38" s="74" t="str">
        <f aca="false">IF(OR(I38="",K38=""),"",I38-K38)</f>
        <v/>
      </c>
      <c r="N38" s="74"/>
      <c r="O38" s="75" t="str">
        <f aca="false">IF(M38="","",M38/01_前提条件!$C$9)</f>
        <v/>
      </c>
      <c r="P38" s="75"/>
      <c r="Q38" s="73"/>
      <c r="R38" s="73"/>
      <c r="S38" s="73"/>
      <c r="T38" s="73"/>
      <c r="U38" s="73"/>
    </row>
    <row r="39" customFormat="false" ht="15" hidden="false" customHeight="false" outlineLevel="0" collapsed="false">
      <c r="A39" s="15" t="n">
        <v>5</v>
      </c>
      <c r="B39" s="73"/>
      <c r="C39" s="73"/>
      <c r="D39" s="21"/>
      <c r="E39" s="21"/>
      <c r="F39" s="21"/>
      <c r="G39" s="21"/>
      <c r="H39" s="21"/>
      <c r="I39" s="74" t="str">
        <f aca="false">IF(OR(D39="",E39="",F39=""),"",E39*F39*D39)</f>
        <v/>
      </c>
      <c r="J39" s="74"/>
      <c r="K39" s="74" t="str">
        <f aca="false">IF(OR(D39="",G39="",H39=""),"",G39*H39*D39)</f>
        <v/>
      </c>
      <c r="L39" s="74"/>
      <c r="M39" s="74" t="str">
        <f aca="false">IF(OR(I39="",K39=""),"",I39-K39)</f>
        <v/>
      </c>
      <c r="N39" s="74"/>
      <c r="O39" s="75" t="str">
        <f aca="false">IF(M39="","",M39/01_前提条件!$C$9)</f>
        <v/>
      </c>
      <c r="P39" s="75"/>
      <c r="Q39" s="73"/>
      <c r="R39" s="73"/>
      <c r="S39" s="73"/>
      <c r="T39" s="73"/>
      <c r="U39" s="73"/>
    </row>
    <row r="40" customFormat="false" ht="15" hidden="false" customHeight="false" outlineLevel="0" collapsed="false">
      <c r="A40" s="15" t="n">
        <v>6</v>
      </c>
      <c r="B40" s="73"/>
      <c r="C40" s="73"/>
      <c r="D40" s="21"/>
      <c r="E40" s="21"/>
      <c r="F40" s="21"/>
      <c r="G40" s="21"/>
      <c r="H40" s="21"/>
      <c r="I40" s="74" t="str">
        <f aca="false">IF(OR(D40="",E40="",F40=""),"",E40*F40*D40)</f>
        <v/>
      </c>
      <c r="J40" s="74"/>
      <c r="K40" s="74" t="str">
        <f aca="false">IF(OR(D40="",G40="",H40=""),"",G40*H40*D40)</f>
        <v/>
      </c>
      <c r="L40" s="74"/>
      <c r="M40" s="74" t="str">
        <f aca="false">IF(OR(I40="",K40=""),"",I40-K40)</f>
        <v/>
      </c>
      <c r="N40" s="74"/>
      <c r="O40" s="75" t="str">
        <f aca="false">IF(M40="","",M40/01_前提条件!$C$9)</f>
        <v/>
      </c>
      <c r="P40" s="75"/>
      <c r="Q40" s="73"/>
      <c r="R40" s="73"/>
      <c r="S40" s="73"/>
      <c r="T40" s="73"/>
      <c r="U40" s="73"/>
    </row>
    <row r="41" customFormat="false" ht="15" hidden="false" customHeight="false" outlineLevel="0" collapsed="false">
      <c r="A41" s="15" t="n">
        <v>7</v>
      </c>
      <c r="B41" s="73"/>
      <c r="C41" s="73"/>
      <c r="D41" s="21"/>
      <c r="E41" s="21"/>
      <c r="F41" s="21"/>
      <c r="G41" s="21"/>
      <c r="H41" s="21"/>
      <c r="I41" s="74" t="str">
        <f aca="false">IF(OR(D41="",E41="",F41=""),"",E41*F41*D41)</f>
        <v/>
      </c>
      <c r="J41" s="74"/>
      <c r="K41" s="74" t="str">
        <f aca="false">IF(OR(D41="",G41="",H41=""),"",G41*H41*D41)</f>
        <v/>
      </c>
      <c r="L41" s="74"/>
      <c r="M41" s="74" t="str">
        <f aca="false">IF(OR(I41="",K41=""),"",I41-K41)</f>
        <v/>
      </c>
      <c r="N41" s="74"/>
      <c r="O41" s="75" t="str">
        <f aca="false">IF(M41="","",M41/01_前提条件!$C$9)</f>
        <v/>
      </c>
      <c r="P41" s="75"/>
      <c r="Q41" s="73"/>
      <c r="R41" s="73"/>
      <c r="S41" s="73"/>
      <c r="T41" s="73"/>
      <c r="U41" s="73"/>
    </row>
    <row r="42" customFormat="false" ht="15" hidden="false" customHeight="false" outlineLevel="0" collapsed="false">
      <c r="A42" s="15" t="n">
        <v>8</v>
      </c>
      <c r="B42" s="73"/>
      <c r="C42" s="73"/>
      <c r="D42" s="21"/>
      <c r="E42" s="21"/>
      <c r="F42" s="21"/>
      <c r="G42" s="21"/>
      <c r="H42" s="21"/>
      <c r="I42" s="74" t="str">
        <f aca="false">IF(OR(D42="",E42="",F42=""),"",E42*F42*D42)</f>
        <v/>
      </c>
      <c r="J42" s="74"/>
      <c r="K42" s="74" t="str">
        <f aca="false">IF(OR(D42="",G42="",H42=""),"",G42*H42*D42)</f>
        <v/>
      </c>
      <c r="L42" s="74"/>
      <c r="M42" s="74" t="str">
        <f aca="false">IF(OR(I42="",K42=""),"",I42-K42)</f>
        <v/>
      </c>
      <c r="N42" s="74"/>
      <c r="O42" s="75" t="str">
        <f aca="false">IF(M42="","",M42/01_前提条件!$C$9)</f>
        <v/>
      </c>
      <c r="P42" s="75"/>
      <c r="Q42" s="73"/>
      <c r="R42" s="73"/>
      <c r="S42" s="73"/>
      <c r="T42" s="73"/>
      <c r="U42" s="73"/>
    </row>
    <row r="43" customFormat="false" ht="15" hidden="false" customHeight="true" outlineLevel="0" collapsed="false">
      <c r="A43" s="37" t="s">
        <v>401</v>
      </c>
      <c r="B43" s="37"/>
      <c r="C43" s="37"/>
      <c r="D43" s="37"/>
      <c r="E43" s="37"/>
      <c r="F43" s="37"/>
      <c r="G43" s="37"/>
      <c r="H43" s="37"/>
      <c r="I43" s="37"/>
      <c r="J43" s="37"/>
      <c r="K43" s="37"/>
      <c r="L43" s="37"/>
      <c r="M43" s="39" t="n">
        <f aca="false">SUM(M35:N42)</f>
        <v>0</v>
      </c>
      <c r="N43" s="39"/>
      <c r="O43" s="69" t="n">
        <f aca="false">SUM(O35:P42)</f>
        <v>0</v>
      </c>
      <c r="P43" s="69"/>
    </row>
    <row r="45" customFormat="false" ht="19.5" hidden="false" customHeight="true" outlineLevel="0" collapsed="false">
      <c r="A45" s="3" t="s">
        <v>416</v>
      </c>
    </row>
    <row r="46" customFormat="false" ht="31.5" hidden="false" customHeight="true" outlineLevel="0" collapsed="false">
      <c r="A46" s="5"/>
      <c r="B46" s="5" t="s">
        <v>8</v>
      </c>
      <c r="C46" s="5"/>
      <c r="D46" s="5"/>
      <c r="E46" s="5" t="s">
        <v>83</v>
      </c>
      <c r="F46" s="5"/>
      <c r="G46" s="5"/>
      <c r="H46" s="5"/>
      <c r="I46" s="5" t="s">
        <v>11</v>
      </c>
      <c r="J46" s="5"/>
      <c r="K46" s="5"/>
      <c r="L46" s="5"/>
      <c r="M46" s="5"/>
      <c r="N46" s="5"/>
      <c r="O46" s="5"/>
      <c r="P46" s="5"/>
      <c r="Q46" s="5"/>
      <c r="R46" s="5"/>
      <c r="S46" s="5"/>
      <c r="T46" s="5"/>
      <c r="U46" s="5"/>
    </row>
    <row r="47" customFormat="false" ht="15" hidden="false" customHeight="true" outlineLevel="0" collapsed="false">
      <c r="B47" s="10" t="s">
        <v>417</v>
      </c>
      <c r="C47" s="10"/>
      <c r="D47" s="10"/>
      <c r="E47" s="57" t="n">
        <f aca="false">SUMIF(D9:D28,"中",U9:U28)</f>
        <v>0</v>
      </c>
      <c r="F47" s="57"/>
      <c r="G47" s="57"/>
      <c r="H47" s="57"/>
      <c r="I47" s="9" t="s">
        <v>418</v>
      </c>
      <c r="J47" s="9"/>
      <c r="K47" s="9"/>
      <c r="L47" s="9"/>
      <c r="M47" s="9"/>
      <c r="N47" s="9"/>
      <c r="O47" s="9"/>
      <c r="P47" s="9"/>
      <c r="Q47" s="9"/>
      <c r="R47" s="9"/>
      <c r="S47" s="9"/>
      <c r="T47" s="9"/>
      <c r="U47" s="9"/>
    </row>
    <row r="48" customFormat="false" ht="15" hidden="false" customHeight="true" outlineLevel="0" collapsed="false">
      <c r="B48" s="10" t="s">
        <v>419</v>
      </c>
      <c r="C48" s="10"/>
      <c r="D48" s="10"/>
      <c r="E48" s="57" t="n">
        <f aca="false">SUMIF(D9:D28,"大",U9:U28)</f>
        <v>0</v>
      </c>
      <c r="F48" s="57"/>
      <c r="G48" s="57"/>
      <c r="H48" s="57"/>
      <c r="I48" s="9" t="s">
        <v>420</v>
      </c>
      <c r="J48" s="9"/>
      <c r="K48" s="9"/>
      <c r="L48" s="9"/>
      <c r="M48" s="9"/>
      <c r="N48" s="9"/>
      <c r="O48" s="9"/>
      <c r="P48" s="9"/>
      <c r="Q48" s="9"/>
      <c r="R48" s="9"/>
      <c r="S48" s="9"/>
      <c r="T48" s="9"/>
      <c r="U48" s="9"/>
    </row>
    <row r="49" customFormat="false" ht="15" hidden="false" customHeight="true" outlineLevel="0" collapsed="false">
      <c r="B49" s="9" t="s">
        <v>421</v>
      </c>
      <c r="C49" s="9"/>
      <c r="D49" s="9"/>
      <c r="E49" s="57" t="n">
        <f aca="false">O43</f>
        <v>0</v>
      </c>
      <c r="F49" s="57"/>
      <c r="G49" s="57"/>
      <c r="H49" s="57"/>
      <c r="I49" s="9" t="s">
        <v>422</v>
      </c>
      <c r="J49" s="9"/>
      <c r="K49" s="9"/>
      <c r="L49" s="9"/>
      <c r="M49" s="9"/>
      <c r="N49" s="9"/>
      <c r="O49" s="9"/>
      <c r="P49" s="9"/>
      <c r="Q49" s="9"/>
      <c r="R49" s="9"/>
      <c r="S49" s="9"/>
      <c r="T49" s="9"/>
      <c r="U49" s="9"/>
    </row>
    <row r="50" customFormat="false" ht="15" hidden="false" customHeight="true" outlineLevel="0" collapsed="false">
      <c r="B50" s="7" t="s">
        <v>423</v>
      </c>
      <c r="C50" s="7"/>
      <c r="D50" s="7"/>
      <c r="E50" s="58" t="n">
        <f aca="false">SUM(E47:E49)</f>
        <v>0</v>
      </c>
      <c r="F50" s="58"/>
      <c r="G50" s="58"/>
      <c r="H50" s="58"/>
      <c r="I50" s="9"/>
      <c r="J50" s="9"/>
      <c r="K50" s="9"/>
      <c r="L50" s="9"/>
      <c r="M50" s="9"/>
      <c r="N50" s="9"/>
      <c r="O50" s="9"/>
      <c r="P50" s="9"/>
      <c r="Q50" s="9"/>
      <c r="R50" s="9"/>
      <c r="S50" s="9"/>
      <c r="T50" s="9"/>
      <c r="U50" s="9"/>
    </row>
    <row r="51" customFormat="false" ht="15" hidden="false" customHeight="true" outlineLevel="0" collapsed="false">
      <c r="B51" s="7" t="s">
        <v>424</v>
      </c>
      <c r="C51" s="7"/>
      <c r="D51" s="7"/>
      <c r="E51" s="52" t="n">
        <f aca="false">ROUNDDOWN(E50,0)</f>
        <v>0</v>
      </c>
      <c r="F51" s="52"/>
      <c r="G51" s="52"/>
      <c r="H51" s="52"/>
      <c r="I51" s="10" t="s">
        <v>425</v>
      </c>
      <c r="J51" s="10"/>
      <c r="K51" s="10"/>
      <c r="L51" s="10"/>
      <c r="M51" s="10"/>
      <c r="N51" s="10"/>
      <c r="O51" s="10"/>
      <c r="P51" s="10"/>
      <c r="Q51" s="10"/>
      <c r="R51" s="10"/>
      <c r="S51" s="10"/>
      <c r="T51" s="10"/>
      <c r="U51" s="10"/>
    </row>
    <row r="52" customFormat="false" ht="15" hidden="false" customHeight="true" outlineLevel="0" collapsed="false">
      <c r="B52" s="10" t="s">
        <v>426</v>
      </c>
      <c r="C52" s="10"/>
      <c r="D52" s="10"/>
      <c r="E52" s="30" t="n">
        <f aca="false">IF(01_前提条件!$C$14="",0,E50*01_前提条件!$C$14)</f>
        <v>0</v>
      </c>
      <c r="F52" s="30"/>
      <c r="G52" s="30"/>
      <c r="H52" s="30"/>
      <c r="I52" s="10" t="s">
        <v>427</v>
      </c>
      <c r="J52" s="10"/>
      <c r="K52" s="10"/>
      <c r="L52" s="10"/>
      <c r="M52" s="10"/>
      <c r="N52" s="10"/>
      <c r="O52" s="10"/>
      <c r="P52" s="10"/>
      <c r="Q52" s="10"/>
      <c r="R52" s="10"/>
      <c r="S52" s="10"/>
      <c r="T52" s="10"/>
      <c r="U52" s="10"/>
    </row>
  </sheetData>
  <mergeCells count="91">
    <mergeCell ref="A6:E6"/>
    <mergeCell ref="F6:G6"/>
    <mergeCell ref="H6:I6"/>
    <mergeCell ref="J6:N6"/>
    <mergeCell ref="O6:U6"/>
    <mergeCell ref="W6:Z6"/>
    <mergeCell ref="A29:Q29"/>
    <mergeCell ref="B33:C33"/>
    <mergeCell ref="I33:J33"/>
    <mergeCell ref="K33:L33"/>
    <mergeCell ref="M33:N33"/>
    <mergeCell ref="O33:P33"/>
    <mergeCell ref="Q33:U33"/>
    <mergeCell ref="B34:C34"/>
    <mergeCell ref="I34:J34"/>
    <mergeCell ref="K34:L34"/>
    <mergeCell ref="M34:N34"/>
    <mergeCell ref="O34:P34"/>
    <mergeCell ref="Q34:U34"/>
    <mergeCell ref="B35:C35"/>
    <mergeCell ref="I35:J35"/>
    <mergeCell ref="K35:L35"/>
    <mergeCell ref="M35:N35"/>
    <mergeCell ref="O35:P35"/>
    <mergeCell ref="Q35:U35"/>
    <mergeCell ref="B36:C36"/>
    <mergeCell ref="I36:J36"/>
    <mergeCell ref="K36:L36"/>
    <mergeCell ref="M36:N36"/>
    <mergeCell ref="O36:P36"/>
    <mergeCell ref="Q36:U36"/>
    <mergeCell ref="B37:C37"/>
    <mergeCell ref="I37:J37"/>
    <mergeCell ref="K37:L37"/>
    <mergeCell ref="M37:N37"/>
    <mergeCell ref="O37:P37"/>
    <mergeCell ref="Q37:U37"/>
    <mergeCell ref="B38:C38"/>
    <mergeCell ref="I38:J38"/>
    <mergeCell ref="K38:L38"/>
    <mergeCell ref="M38:N38"/>
    <mergeCell ref="O38:P38"/>
    <mergeCell ref="Q38:U38"/>
    <mergeCell ref="B39:C39"/>
    <mergeCell ref="I39:J39"/>
    <mergeCell ref="K39:L39"/>
    <mergeCell ref="M39:N39"/>
    <mergeCell ref="O39:P39"/>
    <mergeCell ref="Q39:U39"/>
    <mergeCell ref="B40:C40"/>
    <mergeCell ref="I40:J40"/>
    <mergeCell ref="K40:L40"/>
    <mergeCell ref="M40:N40"/>
    <mergeCell ref="O40:P40"/>
    <mergeCell ref="Q40:U40"/>
    <mergeCell ref="B41:C41"/>
    <mergeCell ref="I41:J41"/>
    <mergeCell ref="K41:L41"/>
    <mergeCell ref="M41:N41"/>
    <mergeCell ref="O41:P41"/>
    <mergeCell ref="Q41:U41"/>
    <mergeCell ref="B42:C42"/>
    <mergeCell ref="I42:J42"/>
    <mergeCell ref="K42:L42"/>
    <mergeCell ref="M42:N42"/>
    <mergeCell ref="O42:P42"/>
    <mergeCell ref="Q42:U42"/>
    <mergeCell ref="A43:L43"/>
    <mergeCell ref="M43:N43"/>
    <mergeCell ref="O43:P43"/>
    <mergeCell ref="B46:D46"/>
    <mergeCell ref="E46:H46"/>
    <mergeCell ref="I46:U46"/>
    <mergeCell ref="B47:D47"/>
    <mergeCell ref="E47:H47"/>
    <mergeCell ref="I47:U47"/>
    <mergeCell ref="B48:D48"/>
    <mergeCell ref="E48:H48"/>
    <mergeCell ref="I48:U48"/>
    <mergeCell ref="B49:D49"/>
    <mergeCell ref="E49:H49"/>
    <mergeCell ref="I49:U49"/>
    <mergeCell ref="B50:D50"/>
    <mergeCell ref="E50:H50"/>
    <mergeCell ref="I50:U50"/>
    <mergeCell ref="B51:D51"/>
    <mergeCell ref="E51:H51"/>
    <mergeCell ref="I51:U51"/>
    <mergeCell ref="B52:D52"/>
    <mergeCell ref="E52:H52"/>
    <mergeCell ref="I52:U52"/>
  </mergeCells>
  <dataValidations count="1">
    <dataValidation allowBlank="true" errorStyle="stop" operator="between" showDropDown="false" showErrorMessage="false" showInputMessage="false" sqref="D9:D28" type="list">
      <formula1>"大,中"</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0"/>
    <col collapsed="false" customWidth="true" hidden="false" outlineLevel="0" max="4" min="4" style="0" width="38"/>
    <col collapsed="false" customWidth="true" hidden="false" outlineLevel="0" max="5" min="5" style="0" width="26"/>
  </cols>
  <sheetData>
    <row r="1" customFormat="false" ht="24" hidden="false" customHeight="true" outlineLevel="0" collapsed="false">
      <c r="A1" s="20" t="s">
        <v>428</v>
      </c>
    </row>
    <row r="2" customFormat="false" ht="15" hidden="false" customHeight="false" outlineLevel="0" collapsed="false">
      <c r="A2" s="2" t="s">
        <v>429</v>
      </c>
    </row>
    <row r="3" customFormat="false" ht="19.5" hidden="false" customHeight="true" outlineLevel="0" collapsed="false">
      <c r="A3" s="3" t="s">
        <v>430</v>
      </c>
    </row>
    <row r="4" customFormat="false" ht="31.5" hidden="false" customHeight="true" outlineLevel="0" collapsed="false">
      <c r="A4" s="5" t="s">
        <v>431</v>
      </c>
      <c r="B4" s="5" t="s">
        <v>23</v>
      </c>
      <c r="C4" s="5"/>
      <c r="D4" s="5"/>
      <c r="E4" s="5"/>
    </row>
    <row r="5" customFormat="false" ht="36" hidden="false" customHeight="true" outlineLevel="0" collapsed="false">
      <c r="A5" s="10" t="s">
        <v>432</v>
      </c>
      <c r="B5" s="10" t="s">
        <v>433</v>
      </c>
      <c r="C5" s="10"/>
      <c r="D5" s="10"/>
      <c r="E5" s="10"/>
    </row>
    <row r="6" customFormat="false" ht="36" hidden="false" customHeight="true" outlineLevel="0" collapsed="false">
      <c r="A6" s="9" t="s">
        <v>434</v>
      </c>
      <c r="B6" s="9" t="s">
        <v>435</v>
      </c>
      <c r="C6" s="9"/>
      <c r="D6" s="9"/>
      <c r="E6" s="9"/>
    </row>
    <row r="7" customFormat="false" ht="36" hidden="false" customHeight="true" outlineLevel="0" collapsed="false">
      <c r="A7" s="9" t="s">
        <v>436</v>
      </c>
      <c r="B7" s="10" t="s">
        <v>437</v>
      </c>
      <c r="C7" s="10"/>
      <c r="D7" s="10"/>
      <c r="E7" s="10"/>
    </row>
    <row r="8" customFormat="false" ht="36" hidden="false" customHeight="true" outlineLevel="0" collapsed="false">
      <c r="A8" s="10" t="s">
        <v>438</v>
      </c>
      <c r="B8" s="10" t="s">
        <v>439</v>
      </c>
      <c r="C8" s="10"/>
      <c r="D8" s="10"/>
      <c r="E8" s="10"/>
    </row>
    <row r="10" customFormat="false" ht="19.5" hidden="false" customHeight="true" outlineLevel="0" collapsed="false">
      <c r="A10" s="3" t="s">
        <v>440</v>
      </c>
    </row>
    <row r="11" customFormat="false" ht="31.5" hidden="false" customHeight="true" outlineLevel="0" collapsed="false">
      <c r="A11" s="5" t="s">
        <v>441</v>
      </c>
      <c r="B11" s="5" t="s">
        <v>442</v>
      </c>
      <c r="C11" s="5" t="s">
        <v>443</v>
      </c>
      <c r="D11" s="5" t="s">
        <v>444</v>
      </c>
      <c r="E11" s="5" t="s">
        <v>445</v>
      </c>
    </row>
    <row r="12" customFormat="false" ht="31.5" hidden="false" customHeight="true" outlineLevel="0" collapsed="false">
      <c r="A12" s="10" t="s">
        <v>446</v>
      </c>
      <c r="B12" s="10" t="s">
        <v>447</v>
      </c>
      <c r="C12" s="10" t="s">
        <v>448</v>
      </c>
      <c r="D12" s="10" t="s">
        <v>449</v>
      </c>
      <c r="E12" s="10" t="s">
        <v>450</v>
      </c>
    </row>
    <row r="13" customFormat="false" ht="31.5" hidden="false" customHeight="true" outlineLevel="0" collapsed="false">
      <c r="A13" s="10" t="s">
        <v>451</v>
      </c>
      <c r="B13" s="10" t="s">
        <v>452</v>
      </c>
      <c r="C13" s="10" t="s">
        <v>453</v>
      </c>
      <c r="D13" s="10" t="s">
        <v>454</v>
      </c>
      <c r="E13" s="10" t="s">
        <v>450</v>
      </c>
    </row>
    <row r="14" customFormat="false" ht="31.5" hidden="false" customHeight="true" outlineLevel="0" collapsed="false">
      <c r="A14" s="10" t="s">
        <v>455</v>
      </c>
      <c r="B14" s="10" t="s">
        <v>456</v>
      </c>
      <c r="C14" s="9" t="s">
        <v>457</v>
      </c>
      <c r="D14" s="10" t="s">
        <v>458</v>
      </c>
      <c r="E14" s="9" t="s">
        <v>459</v>
      </c>
    </row>
    <row r="15" customFormat="false" ht="31.5" hidden="false" customHeight="true" outlineLevel="0" collapsed="false">
      <c r="A15" s="10" t="s">
        <v>460</v>
      </c>
      <c r="B15" s="10" t="s">
        <v>461</v>
      </c>
      <c r="C15" s="10" t="s">
        <v>461</v>
      </c>
      <c r="D15" s="9" t="s">
        <v>462</v>
      </c>
      <c r="E15" s="10" t="s">
        <v>463</v>
      </c>
    </row>
    <row r="16" customFormat="false" ht="31.5" hidden="false" customHeight="true" outlineLevel="0" collapsed="false">
      <c r="A16" s="10" t="s">
        <v>464</v>
      </c>
      <c r="B16" s="10" t="s">
        <v>465</v>
      </c>
      <c r="C16" s="10" t="s">
        <v>466</v>
      </c>
      <c r="D16" s="10" t="s">
        <v>467</v>
      </c>
      <c r="E16" s="10" t="s">
        <v>450</v>
      </c>
    </row>
    <row r="18" customFormat="false" ht="19.5" hidden="false" customHeight="true" outlineLevel="0" collapsed="false">
      <c r="A18" s="3" t="s">
        <v>468</v>
      </c>
    </row>
    <row r="19" customFormat="false" ht="31.5" hidden="false" customHeight="true" outlineLevel="0" collapsed="false">
      <c r="A19" s="5" t="s">
        <v>469</v>
      </c>
      <c r="B19" s="5" t="s">
        <v>470</v>
      </c>
      <c r="C19" s="5" t="s">
        <v>471</v>
      </c>
      <c r="D19" s="5" t="s">
        <v>252</v>
      </c>
      <c r="E19" s="5" t="s">
        <v>472</v>
      </c>
    </row>
    <row r="20" customFormat="false" ht="39.75" hidden="false" customHeight="true" outlineLevel="0" collapsed="false">
      <c r="A20" s="10" t="s">
        <v>473</v>
      </c>
      <c r="B20" s="10" t="s">
        <v>474</v>
      </c>
      <c r="C20" s="10" t="s">
        <v>475</v>
      </c>
      <c r="D20" s="10" t="s">
        <v>476</v>
      </c>
      <c r="E20" s="10" t="s">
        <v>477</v>
      </c>
    </row>
    <row r="21" customFormat="false" ht="39.75" hidden="false" customHeight="true" outlineLevel="0" collapsed="false">
      <c r="A21" s="10" t="s">
        <v>478</v>
      </c>
      <c r="B21" s="10" t="s">
        <v>479</v>
      </c>
      <c r="C21" s="10" t="s">
        <v>480</v>
      </c>
      <c r="D21" s="10" t="s">
        <v>481</v>
      </c>
      <c r="E21" s="10" t="s">
        <v>482</v>
      </c>
    </row>
    <row r="22" customFormat="false" ht="39.75" hidden="false" customHeight="true" outlineLevel="0" collapsed="false">
      <c r="A22" s="10" t="s">
        <v>483</v>
      </c>
      <c r="B22" s="10" t="s">
        <v>484</v>
      </c>
      <c r="C22" s="10" t="s">
        <v>485</v>
      </c>
      <c r="D22" s="10" t="s">
        <v>486</v>
      </c>
      <c r="E22" s="10" t="s">
        <v>487</v>
      </c>
    </row>
    <row r="24" customFormat="false" ht="19.5" hidden="false" customHeight="true" outlineLevel="0" collapsed="false">
      <c r="A24" s="3" t="s">
        <v>488</v>
      </c>
    </row>
    <row r="25" customFormat="false" ht="31.5" hidden="false" customHeight="true" outlineLevel="0" collapsed="false">
      <c r="A25" s="5" t="s">
        <v>489</v>
      </c>
      <c r="B25" s="5" t="s">
        <v>490</v>
      </c>
      <c r="C25" s="5"/>
      <c r="D25" s="5"/>
      <c r="E25" s="5"/>
    </row>
    <row r="26" customFormat="false" ht="27.75" hidden="false" customHeight="true" outlineLevel="0" collapsed="false">
      <c r="A26" s="10" t="s">
        <v>491</v>
      </c>
      <c r="B26" s="9" t="s">
        <v>492</v>
      </c>
      <c r="C26" s="9"/>
      <c r="D26" s="9"/>
      <c r="E26" s="9"/>
    </row>
    <row r="27" customFormat="false" ht="27.75" hidden="false" customHeight="true" outlineLevel="0" collapsed="false">
      <c r="A27" s="9" t="s">
        <v>493</v>
      </c>
      <c r="B27" s="10" t="s">
        <v>494</v>
      </c>
      <c r="C27" s="10"/>
      <c r="D27" s="10"/>
      <c r="E27" s="10"/>
    </row>
    <row r="28" customFormat="false" ht="27.75" hidden="false" customHeight="true" outlineLevel="0" collapsed="false">
      <c r="A28" s="10" t="s">
        <v>495</v>
      </c>
      <c r="B28" s="9" t="s">
        <v>496</v>
      </c>
      <c r="C28" s="9"/>
      <c r="D28" s="9"/>
      <c r="E28" s="9"/>
    </row>
    <row r="30" customFormat="false" ht="19.5" hidden="false" customHeight="true" outlineLevel="0" collapsed="false">
      <c r="A30" s="3" t="s">
        <v>497</v>
      </c>
    </row>
    <row r="31" customFormat="false" ht="31.5" hidden="false" customHeight="true" outlineLevel="0" collapsed="false">
      <c r="A31" s="5" t="s">
        <v>498</v>
      </c>
      <c r="B31" s="5" t="s">
        <v>499</v>
      </c>
      <c r="C31" s="5" t="s">
        <v>500</v>
      </c>
      <c r="D31" s="5" t="s">
        <v>501</v>
      </c>
      <c r="E31" s="5" t="s">
        <v>502</v>
      </c>
    </row>
    <row r="32" customFormat="false" ht="27.75" hidden="false" customHeight="true" outlineLevel="0" collapsed="false">
      <c r="A32" s="10" t="s">
        <v>503</v>
      </c>
      <c r="B32" s="10" t="s">
        <v>504</v>
      </c>
      <c r="C32" s="10" t="s">
        <v>505</v>
      </c>
      <c r="D32" s="10" t="s">
        <v>506</v>
      </c>
      <c r="E32" s="9" t="s">
        <v>507</v>
      </c>
    </row>
    <row r="33" customFormat="false" ht="27.75" hidden="false" customHeight="true" outlineLevel="0" collapsed="false">
      <c r="A33" s="10" t="s">
        <v>508</v>
      </c>
      <c r="B33" s="10" t="s">
        <v>509</v>
      </c>
      <c r="C33" s="10" t="s">
        <v>200</v>
      </c>
      <c r="D33" s="10" t="s">
        <v>200</v>
      </c>
      <c r="E33" s="9" t="s">
        <v>510</v>
      </c>
    </row>
    <row r="34" customFormat="false" ht="27.75" hidden="false" customHeight="true" outlineLevel="0" collapsed="false">
      <c r="A34" s="10" t="s">
        <v>511</v>
      </c>
      <c r="B34" s="10" t="s">
        <v>512</v>
      </c>
      <c r="C34" s="10" t="s">
        <v>513</v>
      </c>
      <c r="D34" s="10" t="s">
        <v>514</v>
      </c>
      <c r="E34" s="10" t="s">
        <v>515</v>
      </c>
    </row>
    <row r="35" customFormat="false" ht="27.75" hidden="false" customHeight="true" outlineLevel="0" collapsed="false">
      <c r="A35" s="10" t="s">
        <v>516</v>
      </c>
      <c r="B35" s="10" t="s">
        <v>517</v>
      </c>
      <c r="C35" s="9" t="s">
        <v>518</v>
      </c>
      <c r="D35" s="10" t="s">
        <v>519</v>
      </c>
      <c r="E35" s="9" t="s">
        <v>520</v>
      </c>
    </row>
    <row r="36" customFormat="false" ht="27.75" hidden="false" customHeight="true" outlineLevel="0" collapsed="false">
      <c r="A36" s="10" t="s">
        <v>521</v>
      </c>
      <c r="B36" s="9" t="s">
        <v>522</v>
      </c>
      <c r="C36" s="10" t="s">
        <v>523</v>
      </c>
      <c r="D36" s="10" t="s">
        <v>514</v>
      </c>
      <c r="E36" s="10" t="s">
        <v>524</v>
      </c>
    </row>
  </sheetData>
  <mergeCells count="9">
    <mergeCell ref="B4:E4"/>
    <mergeCell ref="B5:E5"/>
    <mergeCell ref="B6:E6"/>
    <mergeCell ref="B7:E7"/>
    <mergeCell ref="B8:E8"/>
    <mergeCell ref="B25:E25"/>
    <mergeCell ref="B26:E26"/>
    <mergeCell ref="B27:E27"/>
    <mergeCell ref="B28:E2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5" min="5" style="0" width="30"/>
    <col collapsed="false" customWidth="true" hidden="false" outlineLevel="0" max="6" min="6" style="0" width="16"/>
    <col collapsed="false" customWidth="true" hidden="false" outlineLevel="0" max="7" min="7" style="0" width="36"/>
  </cols>
  <sheetData>
    <row r="1" customFormat="false" ht="24" hidden="false" customHeight="true" outlineLevel="0" collapsed="false">
      <c r="A1" s="20" t="s">
        <v>525</v>
      </c>
    </row>
    <row r="2" customFormat="false" ht="15" hidden="false" customHeight="false" outlineLevel="0" collapsed="false">
      <c r="A2" s="2" t="s">
        <v>526</v>
      </c>
    </row>
    <row r="3" customFormat="false" ht="19.5" hidden="false" customHeight="true" outlineLevel="0" collapsed="false">
      <c r="A3" s="3" t="s">
        <v>527</v>
      </c>
    </row>
    <row r="4" customFormat="false" ht="31.5" hidden="false" customHeight="true" outlineLevel="0" collapsed="false">
      <c r="A4" s="5" t="s">
        <v>528</v>
      </c>
      <c r="B4" s="5" t="s">
        <v>301</v>
      </c>
      <c r="C4" s="5" t="s">
        <v>529</v>
      </c>
      <c r="D4" s="5" t="s">
        <v>530</v>
      </c>
      <c r="E4" s="5" t="s">
        <v>531</v>
      </c>
      <c r="F4" s="5" t="s">
        <v>532</v>
      </c>
      <c r="G4" s="5" t="s">
        <v>11</v>
      </c>
    </row>
    <row r="5" customFormat="false" ht="26.85" hidden="false" customHeight="false" outlineLevel="0" collapsed="false">
      <c r="A5" s="10" t="s">
        <v>533</v>
      </c>
      <c r="B5" s="21"/>
      <c r="C5" s="10" t="s">
        <v>534</v>
      </c>
      <c r="D5" s="15" t="s">
        <v>535</v>
      </c>
      <c r="E5" s="10" t="s">
        <v>536</v>
      </c>
      <c r="F5" s="16"/>
      <c r="G5" s="10" t="s">
        <v>537</v>
      </c>
    </row>
    <row r="6" customFormat="false" ht="15" hidden="false" customHeight="false" outlineLevel="0" collapsed="false">
      <c r="A6" s="10" t="s">
        <v>538</v>
      </c>
      <c r="B6" s="21" t="n">
        <v>15</v>
      </c>
      <c r="C6" s="16"/>
      <c r="D6" s="15" t="s">
        <v>539</v>
      </c>
      <c r="E6" s="10" t="s">
        <v>461</v>
      </c>
      <c r="F6" s="10" t="s">
        <v>461</v>
      </c>
      <c r="G6" s="10" t="s">
        <v>540</v>
      </c>
    </row>
    <row r="8" customFormat="false" ht="19.5" hidden="false" customHeight="true" outlineLevel="0" collapsed="false">
      <c r="A8" s="3" t="s">
        <v>541</v>
      </c>
    </row>
    <row r="9" customFormat="false" ht="31.5" hidden="false" customHeight="true" outlineLevel="0" collapsed="false">
      <c r="A9" s="5" t="s">
        <v>8</v>
      </c>
      <c r="B9" s="5"/>
      <c r="C9" s="5" t="s">
        <v>83</v>
      </c>
      <c r="D9" s="5"/>
      <c r="E9" s="5" t="s">
        <v>11</v>
      </c>
      <c r="F9" s="5"/>
      <c r="G9" s="5"/>
    </row>
    <row r="10" customFormat="false" ht="15" hidden="false" customHeight="true" outlineLevel="0" collapsed="false">
      <c r="A10" s="76" t="s">
        <v>542</v>
      </c>
      <c r="B10" s="76"/>
      <c r="C10" s="21"/>
      <c r="D10" s="21"/>
      <c r="E10" s="76" t="s">
        <v>543</v>
      </c>
      <c r="F10" s="76"/>
      <c r="G10" s="76"/>
    </row>
    <row r="11" customFormat="false" ht="15" hidden="false" customHeight="true" outlineLevel="0" collapsed="false">
      <c r="A11" s="77" t="s">
        <v>544</v>
      </c>
      <c r="B11" s="77"/>
      <c r="C11" s="55"/>
      <c r="D11" s="55"/>
      <c r="E11" s="76" t="s">
        <v>545</v>
      </c>
      <c r="F11" s="76"/>
      <c r="G11" s="76"/>
    </row>
    <row r="12" customFormat="false" ht="15" hidden="false" customHeight="true" outlineLevel="0" collapsed="false">
      <c r="A12" s="76" t="s">
        <v>546</v>
      </c>
      <c r="B12" s="76"/>
      <c r="C12" s="51" t="str">
        <f aca="false">IF(OR(C10="",C11=""),"",C10*C11)</f>
        <v/>
      </c>
      <c r="D12" s="51"/>
      <c r="E12" s="76"/>
      <c r="F12" s="76"/>
      <c r="G12" s="76"/>
    </row>
    <row r="13" customFormat="false" ht="15" hidden="false" customHeight="true" outlineLevel="0" collapsed="false">
      <c r="A13" s="76" t="s">
        <v>547</v>
      </c>
      <c r="B13" s="76"/>
      <c r="C13" s="21"/>
      <c r="D13" s="21"/>
      <c r="E13" s="76"/>
      <c r="F13" s="76"/>
      <c r="G13" s="76"/>
    </row>
    <row r="14" customFormat="false" ht="15" hidden="false" customHeight="true" outlineLevel="0" collapsed="false">
      <c r="A14" s="76" t="s">
        <v>548</v>
      </c>
      <c r="B14" s="76"/>
      <c r="C14" s="21"/>
      <c r="D14" s="21"/>
      <c r="E14" s="76" t="s">
        <v>549</v>
      </c>
      <c r="F14" s="76"/>
      <c r="G14" s="76"/>
    </row>
    <row r="15" customFormat="false" ht="15" hidden="false" customHeight="true" outlineLevel="0" collapsed="false">
      <c r="A15" s="76" t="s">
        <v>550</v>
      </c>
      <c r="B15" s="76"/>
      <c r="C15" s="51" t="str">
        <f aca="false">IF(C12="","",ROUNDUP(C12+N(C13)+N(C14),0))</f>
        <v/>
      </c>
      <c r="D15" s="51"/>
      <c r="E15" s="76"/>
      <c r="F15" s="76"/>
      <c r="G15" s="76"/>
    </row>
    <row r="16" customFormat="false" ht="15" hidden="false" customHeight="true" outlineLevel="0" collapsed="false">
      <c r="A16" s="76" t="s">
        <v>551</v>
      </c>
      <c r="B16" s="76"/>
      <c r="C16" s="21" t="n">
        <v>45</v>
      </c>
      <c r="D16" s="21"/>
      <c r="E16" s="76" t="s">
        <v>552</v>
      </c>
      <c r="F16" s="76"/>
      <c r="G16" s="76"/>
    </row>
    <row r="17" customFormat="false" ht="15" hidden="false" customHeight="true" outlineLevel="0" collapsed="false">
      <c r="A17" s="78" t="s">
        <v>553</v>
      </c>
      <c r="B17" s="78"/>
      <c r="C17" s="52" t="n">
        <f aca="false">IF(C15="",C16,C15)</f>
        <v>45</v>
      </c>
      <c r="D17" s="52"/>
      <c r="E17" s="76" t="str">
        <f aca="false">IF(C15="","※暫定値を使用中：上の計算欄を入力すると自動で置き換わる","計算値を使用")</f>
        <v>※暫定値を使用中：上の計算欄を入力すると自動で置き換わる</v>
      </c>
      <c r="F17" s="76"/>
      <c r="G17" s="76"/>
    </row>
    <row r="18" customFormat="false" ht="15" hidden="false" customHeight="true" outlineLevel="0" collapsed="false">
      <c r="A18" s="76" t="s">
        <v>554</v>
      </c>
      <c r="B18" s="76"/>
      <c r="C18" s="51" t="n">
        <f aca="false">B6</f>
        <v>15</v>
      </c>
      <c r="D18" s="51"/>
      <c r="E18" s="76"/>
      <c r="F18" s="76"/>
      <c r="G18" s="76"/>
    </row>
    <row r="19" customFormat="false" ht="15" hidden="false" customHeight="true" outlineLevel="0" collapsed="false">
      <c r="A19" s="76" t="s">
        <v>555</v>
      </c>
      <c r="B19" s="76"/>
      <c r="C19" s="21" t="n">
        <v>10</v>
      </c>
      <c r="D19" s="21"/>
      <c r="E19" s="76"/>
      <c r="F19" s="76"/>
      <c r="G19" s="76"/>
    </row>
    <row r="20" customFormat="false" ht="15" hidden="false" customHeight="true" outlineLevel="0" collapsed="false">
      <c r="A20" s="79" t="s">
        <v>556</v>
      </c>
      <c r="B20" s="79"/>
      <c r="C20" s="52" t="n">
        <f aca="false">MAX(0,C17-C18)</f>
        <v>30</v>
      </c>
      <c r="D20" s="52"/>
      <c r="E20" s="77" t="s">
        <v>557</v>
      </c>
      <c r="F20" s="77"/>
      <c r="G20" s="77"/>
    </row>
    <row r="21" customFormat="false" ht="15" hidden="false" customHeight="true" outlineLevel="0" collapsed="false">
      <c r="A21" s="76" t="s">
        <v>558</v>
      </c>
      <c r="B21" s="76"/>
      <c r="C21" s="51" t="str">
        <f aca="false">IF(B5="","旧型台数入力待ち",MIN(C20,B5))</f>
        <v>旧型台数入力待ち</v>
      </c>
      <c r="D21" s="51"/>
      <c r="E21" s="76"/>
      <c r="F21" s="76"/>
      <c r="G21" s="76"/>
    </row>
    <row r="22" customFormat="false" ht="15" hidden="false" customHeight="true" outlineLevel="0" collapsed="false">
      <c r="A22" s="76" t="s">
        <v>310</v>
      </c>
      <c r="B22" s="76"/>
      <c r="C22" s="51" t="str">
        <f aca="false">IF(B5="","旧型台数入力待ち",C20-C21)</f>
        <v>旧型台数入力待ち</v>
      </c>
      <c r="D22" s="51"/>
      <c r="E22" s="76"/>
      <c r="F22" s="76"/>
      <c r="G22" s="76"/>
    </row>
    <row r="23" customFormat="false" ht="15" hidden="false" customHeight="true" outlineLevel="0" collapsed="false">
      <c r="A23" s="76" t="s">
        <v>559</v>
      </c>
      <c r="B23" s="76"/>
      <c r="C23" s="67" t="n">
        <f aca="false">C20-C19</f>
        <v>20</v>
      </c>
      <c r="D23" s="67"/>
      <c r="E23" s="76"/>
      <c r="F23" s="76"/>
      <c r="G23" s="76"/>
    </row>
    <row r="24" customFormat="false" ht="15" hidden="false" customHeight="true" outlineLevel="0" collapsed="false">
      <c r="A24" s="76" t="s">
        <v>560</v>
      </c>
      <c r="B24" s="76"/>
      <c r="C24" s="8" t="n">
        <f aca="false">02_投資総括!$F$15</f>
        <v>764</v>
      </c>
      <c r="D24" s="8"/>
      <c r="E24" s="77" t="s">
        <v>561</v>
      </c>
      <c r="F24" s="77"/>
      <c r="G24" s="77"/>
    </row>
    <row r="25" customFormat="false" ht="15" hidden="false" customHeight="true" outlineLevel="0" collapsed="false">
      <c r="A25" s="76" t="s">
        <v>562</v>
      </c>
      <c r="B25" s="76"/>
      <c r="C25" s="30" t="n">
        <f aca="false">C20*C24</f>
        <v>22920</v>
      </c>
      <c r="D25" s="30"/>
      <c r="E25" s="76"/>
      <c r="F25" s="76"/>
      <c r="G25" s="76"/>
    </row>
    <row r="26" customFormat="false" ht="15" hidden="false" customHeight="true" outlineLevel="0" collapsed="false">
      <c r="A26" s="76" t="s">
        <v>563</v>
      </c>
      <c r="B26" s="76"/>
      <c r="C26" s="30" t="n">
        <f aca="false">C25*01_前提条件!$C$5</f>
        <v>3667200</v>
      </c>
      <c r="D26" s="30"/>
      <c r="E26" s="76"/>
      <c r="F26" s="76"/>
      <c r="G26" s="76"/>
    </row>
    <row r="27" customFormat="false" ht="15" hidden="false" customHeight="true" outlineLevel="0" collapsed="false">
      <c r="A27" s="76" t="s">
        <v>564</v>
      </c>
      <c r="B27" s="76"/>
      <c r="C27" s="10" t="s">
        <v>565</v>
      </c>
      <c r="D27" s="10"/>
      <c r="E27" s="76" t="s">
        <v>566</v>
      </c>
      <c r="F27" s="76"/>
      <c r="G27" s="76"/>
    </row>
    <row r="29" customFormat="false" ht="19.5" hidden="false" customHeight="true" outlineLevel="0" collapsed="false">
      <c r="A29" s="3" t="s">
        <v>567</v>
      </c>
    </row>
    <row r="30" customFormat="false" ht="31.5" hidden="false" customHeight="true" outlineLevel="0" collapsed="false">
      <c r="A30" s="5" t="s">
        <v>568</v>
      </c>
      <c r="B30" s="5" t="s">
        <v>569</v>
      </c>
      <c r="C30" s="5" t="s">
        <v>570</v>
      </c>
      <c r="D30" s="5" t="s">
        <v>571</v>
      </c>
      <c r="E30" s="5" t="s">
        <v>268</v>
      </c>
      <c r="F30" s="5"/>
      <c r="G30" s="5" t="s">
        <v>11</v>
      </c>
    </row>
    <row r="31" customFormat="false" ht="15" hidden="false" customHeight="false" outlineLevel="0" collapsed="false">
      <c r="A31" s="16"/>
      <c r="B31" s="21"/>
      <c r="C31" s="21"/>
      <c r="D31" s="21"/>
      <c r="E31" s="66"/>
      <c r="F31" s="66"/>
      <c r="G31" s="16"/>
    </row>
    <row r="32" customFormat="false" ht="15" hidden="false" customHeight="false" outlineLevel="0" collapsed="false">
      <c r="A32" s="16"/>
      <c r="B32" s="21"/>
      <c r="C32" s="21"/>
      <c r="D32" s="21"/>
      <c r="E32" s="66"/>
      <c r="F32" s="66"/>
      <c r="G32" s="16"/>
    </row>
    <row r="33" customFormat="false" ht="15" hidden="false" customHeight="false" outlineLevel="0" collapsed="false">
      <c r="A33" s="16"/>
      <c r="B33" s="21"/>
      <c r="C33" s="21"/>
      <c r="D33" s="21"/>
      <c r="E33" s="66"/>
      <c r="F33" s="66"/>
      <c r="G33" s="16"/>
    </row>
    <row r="34" customFormat="false" ht="15" hidden="false" customHeight="false" outlineLevel="0" collapsed="false">
      <c r="A34" s="16"/>
      <c r="B34" s="21"/>
      <c r="C34" s="21"/>
      <c r="D34" s="21"/>
      <c r="E34" s="66"/>
      <c r="F34" s="66"/>
      <c r="G34" s="16"/>
    </row>
    <row r="35" customFormat="false" ht="15" hidden="false" customHeight="false" outlineLevel="0" collapsed="false">
      <c r="A35" s="16"/>
      <c r="B35" s="21"/>
      <c r="C35" s="21"/>
      <c r="D35" s="21"/>
      <c r="E35" s="66"/>
      <c r="F35" s="66"/>
      <c r="G35" s="16"/>
    </row>
    <row r="36" customFormat="false" ht="15" hidden="false" customHeight="false" outlineLevel="0" collapsed="false">
      <c r="A36" s="16"/>
      <c r="B36" s="21"/>
      <c r="C36" s="21"/>
      <c r="D36" s="21"/>
      <c r="E36" s="66"/>
      <c r="F36" s="66"/>
      <c r="G36" s="16"/>
    </row>
    <row r="37" customFormat="false" ht="15" hidden="false" customHeight="false" outlineLevel="0" collapsed="false">
      <c r="A37" s="16"/>
      <c r="B37" s="21"/>
      <c r="C37" s="21"/>
      <c r="D37" s="21"/>
      <c r="E37" s="66"/>
      <c r="F37" s="66"/>
      <c r="G37" s="16"/>
    </row>
    <row r="38" customFormat="false" ht="15" hidden="false" customHeight="false" outlineLevel="0" collapsed="false">
      <c r="A38" s="16"/>
      <c r="B38" s="21"/>
      <c r="C38" s="21"/>
      <c r="D38" s="21"/>
      <c r="E38" s="66"/>
      <c r="F38" s="66"/>
      <c r="G38" s="16"/>
    </row>
    <row r="39" customFormat="false" ht="15" hidden="false" customHeight="false" outlineLevel="0" collapsed="false">
      <c r="A39" s="16"/>
      <c r="B39" s="21"/>
      <c r="C39" s="21"/>
      <c r="D39" s="21"/>
      <c r="E39" s="66"/>
      <c r="F39" s="66"/>
      <c r="G39" s="16"/>
    </row>
    <row r="40" customFormat="false" ht="15" hidden="false" customHeight="false" outlineLevel="0" collapsed="false">
      <c r="A40" s="16"/>
      <c r="B40" s="21"/>
      <c r="C40" s="21"/>
      <c r="D40" s="21"/>
      <c r="E40" s="66"/>
      <c r="F40" s="66"/>
      <c r="G40" s="16"/>
    </row>
    <row r="41" customFormat="false" ht="15" hidden="false" customHeight="false" outlineLevel="0" collapsed="false">
      <c r="A41" s="16"/>
      <c r="B41" s="21"/>
      <c r="C41" s="21"/>
      <c r="D41" s="21"/>
      <c r="E41" s="66"/>
      <c r="F41" s="66"/>
      <c r="G41" s="16"/>
    </row>
    <row r="42" customFormat="false" ht="15" hidden="false" customHeight="false" outlineLevel="0" collapsed="false">
      <c r="A42" s="16"/>
      <c r="B42" s="21"/>
      <c r="C42" s="21"/>
      <c r="D42" s="21"/>
      <c r="E42" s="66"/>
      <c r="F42" s="66"/>
      <c r="G42" s="16"/>
    </row>
    <row r="43" customFormat="false" ht="15" hidden="false" customHeight="false" outlineLevel="0" collapsed="false">
      <c r="A43" s="37" t="s">
        <v>231</v>
      </c>
      <c r="B43" s="38" t="n">
        <f aca="false">SUM(B31:B42)</f>
        <v>0</v>
      </c>
      <c r="C43" s="38" t="n">
        <f aca="false">SUM(C31:C42)</f>
        <v>0</v>
      </c>
      <c r="D43" s="38" t="n">
        <f aca="false">SUM(D31:D42)</f>
        <v>0</v>
      </c>
    </row>
    <row r="45" customFormat="false" ht="19.5" hidden="false" customHeight="true" outlineLevel="0" collapsed="false">
      <c r="A45" s="3" t="s">
        <v>572</v>
      </c>
    </row>
    <row r="46" customFormat="false" ht="31.5" hidden="false" customHeight="true" outlineLevel="0" collapsed="false">
      <c r="A46" s="5" t="s">
        <v>573</v>
      </c>
      <c r="B46" s="5" t="s">
        <v>23</v>
      </c>
      <c r="C46" s="5" t="s">
        <v>574</v>
      </c>
    </row>
    <row r="47" customFormat="false" ht="52.2" hidden="false" customHeight="false" outlineLevel="0" collapsed="false">
      <c r="A47" s="10" t="s">
        <v>575</v>
      </c>
      <c r="B47" s="10" t="s">
        <v>576</v>
      </c>
      <c r="C47" s="16"/>
    </row>
    <row r="48" customFormat="false" ht="52.2" hidden="false" customHeight="false" outlineLevel="0" collapsed="false">
      <c r="A48" s="10" t="s">
        <v>577</v>
      </c>
      <c r="B48" s="10" t="s">
        <v>578</v>
      </c>
      <c r="C48" s="16"/>
    </row>
    <row r="49" customFormat="false" ht="26.85" hidden="false" customHeight="false" outlineLevel="0" collapsed="false">
      <c r="A49" s="10" t="s">
        <v>579</v>
      </c>
      <c r="B49" s="10" t="s">
        <v>580</v>
      </c>
      <c r="C49" s="16"/>
    </row>
    <row r="50" customFormat="false" ht="26.85" hidden="false" customHeight="false" outlineLevel="0" collapsed="false">
      <c r="A50" s="10" t="s">
        <v>581</v>
      </c>
      <c r="B50" s="10" t="s">
        <v>582</v>
      </c>
      <c r="C50" s="16"/>
    </row>
    <row r="51" customFormat="false" ht="39.55" hidden="false" customHeight="false" outlineLevel="0" collapsed="false">
      <c r="A51" s="10" t="s">
        <v>583</v>
      </c>
      <c r="B51" s="10" t="s">
        <v>584</v>
      </c>
      <c r="C51" s="16"/>
    </row>
    <row r="52" customFormat="false" ht="52.2" hidden="false" customHeight="false" outlineLevel="0" collapsed="false">
      <c r="A52" s="10" t="s">
        <v>585</v>
      </c>
      <c r="B52" s="10" t="s">
        <v>586</v>
      </c>
      <c r="C52" s="16"/>
    </row>
    <row r="54" customFormat="false" ht="19.5" hidden="false" customHeight="true" outlineLevel="0" collapsed="false">
      <c r="A54" s="3" t="s">
        <v>587</v>
      </c>
    </row>
    <row r="55" customFormat="false" ht="30" hidden="false" customHeight="true" outlineLevel="0" collapsed="false">
      <c r="A55" s="4" t="s">
        <v>588</v>
      </c>
      <c r="B55" s="4"/>
      <c r="C55" s="4"/>
      <c r="D55" s="4"/>
      <c r="E55" s="4"/>
      <c r="F55" s="4"/>
      <c r="G55" s="4"/>
    </row>
    <row r="56" customFormat="false" ht="15" hidden="false" customHeight="false" outlineLevel="0" collapsed="false">
      <c r="A56" s="4"/>
      <c r="B56" s="4"/>
      <c r="C56" s="4"/>
      <c r="D56" s="4"/>
      <c r="E56" s="4"/>
      <c r="F56" s="4"/>
      <c r="G56" s="4"/>
    </row>
    <row r="57" customFormat="false" ht="15" hidden="false" customHeight="false" outlineLevel="0" collapsed="false">
      <c r="A57" s="4"/>
      <c r="B57" s="4"/>
      <c r="C57" s="4"/>
      <c r="D57" s="4"/>
      <c r="E57" s="4"/>
      <c r="F57" s="4"/>
      <c r="G57" s="4"/>
    </row>
  </sheetData>
  <mergeCells count="69">
    <mergeCell ref="A9:B9"/>
    <mergeCell ref="E9:G9"/>
    <mergeCell ref="A10:B10"/>
    <mergeCell ref="C10:D10"/>
    <mergeCell ref="E10:G10"/>
    <mergeCell ref="A11:B11"/>
    <mergeCell ref="C11:D11"/>
    <mergeCell ref="E11:G11"/>
    <mergeCell ref="A12:B12"/>
    <mergeCell ref="C12:D12"/>
    <mergeCell ref="E12:G12"/>
    <mergeCell ref="A13:B13"/>
    <mergeCell ref="C13:D13"/>
    <mergeCell ref="E13:G13"/>
    <mergeCell ref="A14:B14"/>
    <mergeCell ref="C14:D14"/>
    <mergeCell ref="E14:G14"/>
    <mergeCell ref="A15:B15"/>
    <mergeCell ref="C15:D15"/>
    <mergeCell ref="E15:G15"/>
    <mergeCell ref="A16:B16"/>
    <mergeCell ref="C16:D16"/>
    <mergeCell ref="E16:G16"/>
    <mergeCell ref="A17:B17"/>
    <mergeCell ref="C17:D17"/>
    <mergeCell ref="E17:G17"/>
    <mergeCell ref="A18:B18"/>
    <mergeCell ref="C18:D18"/>
    <mergeCell ref="E18:G18"/>
    <mergeCell ref="A19:B19"/>
    <mergeCell ref="C19:D19"/>
    <mergeCell ref="E19:G19"/>
    <mergeCell ref="A20:B20"/>
    <mergeCell ref="C20:D20"/>
    <mergeCell ref="E20:G20"/>
    <mergeCell ref="A21:B21"/>
    <mergeCell ref="C21:D21"/>
    <mergeCell ref="E21:G21"/>
    <mergeCell ref="A22:B22"/>
    <mergeCell ref="C22:D22"/>
    <mergeCell ref="E22:G22"/>
    <mergeCell ref="A23:B23"/>
    <mergeCell ref="C23:D23"/>
    <mergeCell ref="E23:G23"/>
    <mergeCell ref="A24:B24"/>
    <mergeCell ref="C24:D24"/>
    <mergeCell ref="E24:G24"/>
    <mergeCell ref="A25:B25"/>
    <mergeCell ref="C25:D25"/>
    <mergeCell ref="E25:G25"/>
    <mergeCell ref="A26:B26"/>
    <mergeCell ref="C26:D26"/>
    <mergeCell ref="E26:G26"/>
    <mergeCell ref="A27:B27"/>
    <mergeCell ref="C27:D27"/>
    <mergeCell ref="E27:G27"/>
    <mergeCell ref="E31:F31"/>
    <mergeCell ref="E32:F32"/>
    <mergeCell ref="E33:F33"/>
    <mergeCell ref="E34:F34"/>
    <mergeCell ref="E35:F35"/>
    <mergeCell ref="E36:F36"/>
    <mergeCell ref="E37:F37"/>
    <mergeCell ref="E38:F38"/>
    <mergeCell ref="E39:F39"/>
    <mergeCell ref="E40:F40"/>
    <mergeCell ref="E41:F41"/>
    <mergeCell ref="E42:F42"/>
    <mergeCell ref="A55:G5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36"/>
    <col collapsed="false" customWidth="true" hidden="false" outlineLevel="0" max="4" min="4" style="0" width="22"/>
    <col collapsed="false" customWidth="true" hidden="false" outlineLevel="0" max="5" min="5" style="0" width="14"/>
  </cols>
  <sheetData>
    <row r="1" customFormat="false" ht="24" hidden="false" customHeight="true" outlineLevel="0" collapsed="false">
      <c r="A1" s="1" t="s">
        <v>589</v>
      </c>
    </row>
    <row r="2" customFormat="false" ht="15" hidden="false" customHeight="false" outlineLevel="0" collapsed="false">
      <c r="A2" s="2" t="s">
        <v>590</v>
      </c>
    </row>
    <row r="3" customFormat="false" ht="31.5" hidden="false" customHeight="true" outlineLevel="0" collapsed="false">
      <c r="A3" s="5" t="s">
        <v>591</v>
      </c>
      <c r="B3" s="5" t="s">
        <v>592</v>
      </c>
      <c r="C3" s="5" t="s">
        <v>593</v>
      </c>
      <c r="D3" s="5" t="s">
        <v>594</v>
      </c>
      <c r="E3" s="5" t="s">
        <v>502</v>
      </c>
    </row>
    <row r="4" customFormat="false" ht="39.75" hidden="false" customHeight="true" outlineLevel="0" collapsed="false">
      <c r="A4" s="10" t="s">
        <v>595</v>
      </c>
      <c r="B4" s="10" t="s">
        <v>596</v>
      </c>
      <c r="C4" s="9" t="s">
        <v>597</v>
      </c>
      <c r="D4" s="10" t="s">
        <v>598</v>
      </c>
      <c r="E4" s="10" t="s">
        <v>599</v>
      </c>
    </row>
    <row r="5" customFormat="false" ht="39.75" hidden="false" customHeight="true" outlineLevel="0" collapsed="false">
      <c r="A5" s="10" t="s">
        <v>600</v>
      </c>
      <c r="B5" s="10" t="s">
        <v>601</v>
      </c>
      <c r="C5" s="10" t="s">
        <v>602</v>
      </c>
      <c r="D5" s="10" t="s">
        <v>603</v>
      </c>
      <c r="E5" s="10" t="s">
        <v>487</v>
      </c>
    </row>
    <row r="6" customFormat="false" ht="39.75" hidden="false" customHeight="true" outlineLevel="0" collapsed="false">
      <c r="A6" s="10" t="s">
        <v>604</v>
      </c>
      <c r="B6" s="10" t="s">
        <v>605</v>
      </c>
      <c r="C6" s="10" t="s">
        <v>606</v>
      </c>
      <c r="D6" s="10" t="s">
        <v>607</v>
      </c>
      <c r="E6" s="10" t="s">
        <v>608</v>
      </c>
    </row>
    <row r="7" customFormat="false" ht="39.75" hidden="false" customHeight="true" outlineLevel="0" collapsed="false">
      <c r="A7" s="10" t="s">
        <v>609</v>
      </c>
      <c r="B7" s="10" t="s">
        <v>610</v>
      </c>
      <c r="C7" s="10" t="s">
        <v>611</v>
      </c>
      <c r="D7" s="10" t="s">
        <v>612</v>
      </c>
      <c r="E7" s="10" t="s">
        <v>613</v>
      </c>
    </row>
    <row r="8" customFormat="false" ht="39.75" hidden="false" customHeight="true" outlineLevel="0" collapsed="false">
      <c r="A8" s="10" t="s">
        <v>614</v>
      </c>
      <c r="B8" s="10" t="s">
        <v>615</v>
      </c>
      <c r="C8" s="10" t="s">
        <v>616</v>
      </c>
      <c r="D8" s="10" t="s">
        <v>617</v>
      </c>
      <c r="E8" s="10" t="s">
        <v>618</v>
      </c>
    </row>
    <row r="9" customFormat="false" ht="39.75" hidden="false" customHeight="true" outlineLevel="0" collapsed="false">
      <c r="A9" s="10" t="s">
        <v>619</v>
      </c>
      <c r="B9" s="10" t="s">
        <v>620</v>
      </c>
      <c r="C9" s="10" t="s">
        <v>621</v>
      </c>
      <c r="D9" s="10" t="s">
        <v>622</v>
      </c>
      <c r="E9" s="10" t="s">
        <v>623</v>
      </c>
    </row>
    <row r="10" customFormat="false" ht="39.75" hidden="false" customHeight="true" outlineLevel="0" collapsed="false">
      <c r="A10" s="10" t="s">
        <v>624</v>
      </c>
      <c r="B10" s="10" t="s">
        <v>625</v>
      </c>
      <c r="C10" s="10" t="s">
        <v>626</v>
      </c>
      <c r="D10" s="10" t="s">
        <v>627</v>
      </c>
      <c r="E10" s="10" t="s">
        <v>628</v>
      </c>
    </row>
    <row r="12" customFormat="false" ht="15" hidden="false" customHeight="false" outlineLevel="0" collapsed="false">
      <c r="A12" s="2" t="s">
        <v>629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6"/>
    <col collapsed="false" customWidth="true" hidden="false" outlineLevel="0" max="4" min="4" style="0" width="34"/>
    <col collapsed="false" customWidth="true" hidden="false" outlineLevel="0" max="5" min="5" style="0" width="16"/>
    <col collapsed="false" customWidth="true" hidden="false" outlineLevel="0" max="6" min="6" style="0" width="12"/>
  </cols>
  <sheetData>
    <row r="1" customFormat="false" ht="24" hidden="false" customHeight="true" outlineLevel="0" collapsed="false">
      <c r="A1" s="20" t="s">
        <v>630</v>
      </c>
    </row>
    <row r="2" customFormat="false" ht="15" hidden="false" customHeight="false" outlineLevel="0" collapsed="false">
      <c r="A2" s="2" t="s">
        <v>631</v>
      </c>
    </row>
    <row r="3" customFormat="false" ht="31.5" hidden="false" customHeight="true" outlineLevel="0" collapsed="false">
      <c r="A3" s="6" t="s">
        <v>375</v>
      </c>
      <c r="B3" s="5" t="s">
        <v>441</v>
      </c>
      <c r="C3" s="5" t="s">
        <v>23</v>
      </c>
      <c r="D3" s="5" t="s">
        <v>632</v>
      </c>
      <c r="E3" s="5" t="s">
        <v>502</v>
      </c>
      <c r="F3" s="5" t="s">
        <v>574</v>
      </c>
    </row>
    <row r="4" customFormat="false" ht="30" hidden="false" customHeight="true" outlineLevel="0" collapsed="false">
      <c r="A4" s="10" t="n">
        <v>1</v>
      </c>
      <c r="B4" s="9" t="s">
        <v>633</v>
      </c>
      <c r="C4" s="9" t="s">
        <v>634</v>
      </c>
      <c r="D4" s="10" t="s">
        <v>635</v>
      </c>
      <c r="E4" s="9" t="s">
        <v>636</v>
      </c>
      <c r="F4" s="16"/>
    </row>
    <row r="5" customFormat="false" ht="30" hidden="false" customHeight="true" outlineLevel="0" collapsed="false">
      <c r="A5" s="10" t="n">
        <v>2</v>
      </c>
      <c r="B5" s="10" t="s">
        <v>637</v>
      </c>
      <c r="C5" s="9" t="s">
        <v>638</v>
      </c>
      <c r="D5" s="10" t="s">
        <v>639</v>
      </c>
      <c r="E5" s="9" t="s">
        <v>640</v>
      </c>
      <c r="F5" s="16"/>
    </row>
    <row r="6" customFormat="false" ht="30" hidden="false" customHeight="true" outlineLevel="0" collapsed="false">
      <c r="A6" s="10" t="n">
        <v>3</v>
      </c>
      <c r="B6" s="10" t="s">
        <v>641</v>
      </c>
      <c r="C6" s="10" t="s">
        <v>642</v>
      </c>
      <c r="D6" s="10" t="s">
        <v>643</v>
      </c>
      <c r="E6" s="9" t="s">
        <v>644</v>
      </c>
      <c r="F6" s="16"/>
    </row>
    <row r="7" customFormat="false" ht="30" hidden="false" customHeight="true" outlineLevel="0" collapsed="false">
      <c r="A7" s="10" t="n">
        <v>4</v>
      </c>
      <c r="B7" s="10" t="s">
        <v>645</v>
      </c>
      <c r="C7" s="10" t="s">
        <v>646</v>
      </c>
      <c r="D7" s="10" t="s">
        <v>647</v>
      </c>
      <c r="E7" s="9" t="s">
        <v>640</v>
      </c>
      <c r="F7" s="16"/>
    </row>
    <row r="8" customFormat="false" ht="30" hidden="false" customHeight="true" outlineLevel="0" collapsed="false">
      <c r="A8" s="10" t="n">
        <v>5</v>
      </c>
      <c r="B8" s="9" t="s">
        <v>648</v>
      </c>
      <c r="C8" s="10" t="s">
        <v>649</v>
      </c>
      <c r="D8" s="10" t="s">
        <v>650</v>
      </c>
      <c r="E8" s="9" t="s">
        <v>651</v>
      </c>
      <c r="F8" s="16"/>
    </row>
    <row r="9" customFormat="false" ht="30" hidden="false" customHeight="true" outlineLevel="0" collapsed="false">
      <c r="A9" s="10" t="n">
        <v>6</v>
      </c>
      <c r="B9" s="10" t="s">
        <v>652</v>
      </c>
      <c r="C9" s="9" t="s">
        <v>653</v>
      </c>
      <c r="D9" s="9" t="s">
        <v>654</v>
      </c>
      <c r="E9" s="9" t="s">
        <v>655</v>
      </c>
      <c r="F9" s="16"/>
    </row>
    <row r="10" customFormat="false" ht="30" hidden="false" customHeight="true" outlineLevel="0" collapsed="false">
      <c r="A10" s="10" t="n">
        <v>7</v>
      </c>
      <c r="B10" s="10" t="s">
        <v>656</v>
      </c>
      <c r="C10" s="10" t="s">
        <v>657</v>
      </c>
      <c r="D10" s="10" t="s">
        <v>461</v>
      </c>
      <c r="E10" s="9" t="s">
        <v>658</v>
      </c>
      <c r="F10" s="16"/>
    </row>
    <row r="12" customFormat="false" ht="15" hidden="false" customHeight="false" outlineLevel="0" collapsed="false">
      <c r="A12" s="2" t="s">
        <v>659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8"/>
    <col collapsed="false" customWidth="true" hidden="false" outlineLevel="0" max="6" min="4" style="0" width="12"/>
    <col collapsed="false" customWidth="true" hidden="false" outlineLevel="0" max="7" min="7" style="0" width="10"/>
    <col collapsed="false" customWidth="true" hidden="false" outlineLevel="0" max="8" min="8" style="0" width="13"/>
    <col collapsed="false" customWidth="true" hidden="false" outlineLevel="0" max="9" min="9" style="0" width="60"/>
  </cols>
  <sheetData>
    <row r="1" customFormat="false" ht="24" hidden="false" customHeight="true" outlineLevel="0" collapsed="false">
      <c r="A1" s="20" t="s">
        <v>660</v>
      </c>
    </row>
    <row r="2" customFormat="false" ht="15" hidden="false" customHeight="false" outlineLevel="0" collapsed="false">
      <c r="A2" s="2" t="s">
        <v>661</v>
      </c>
    </row>
    <row r="3" customFormat="false" ht="15" hidden="false" customHeight="false" outlineLevel="0" collapsed="false">
      <c r="B3" s="12" t="s">
        <v>662</v>
      </c>
      <c r="D3" s="80" t="n">
        <v>4890.75</v>
      </c>
      <c r="E3" s="80"/>
      <c r="F3" s="2" t="s">
        <v>663</v>
      </c>
    </row>
    <row r="5" customFormat="false" ht="31.5" hidden="false" customHeight="true" outlineLevel="0" collapsed="false">
      <c r="A5" s="5" t="s">
        <v>102</v>
      </c>
      <c r="B5" s="5" t="s">
        <v>664</v>
      </c>
      <c r="C5" s="5" t="s">
        <v>301</v>
      </c>
      <c r="D5" s="5" t="s">
        <v>665</v>
      </c>
      <c r="E5" s="5" t="s">
        <v>666</v>
      </c>
      <c r="F5" s="5" t="s">
        <v>667</v>
      </c>
      <c r="G5" s="5" t="s">
        <v>668</v>
      </c>
      <c r="H5" s="5" t="s">
        <v>669</v>
      </c>
      <c r="I5" s="5" t="s">
        <v>84</v>
      </c>
    </row>
    <row r="6" customFormat="false" ht="30" hidden="false" customHeight="true" outlineLevel="0" collapsed="false">
      <c r="A6" s="14" t="s">
        <v>670</v>
      </c>
      <c r="B6" s="10" t="s">
        <v>671</v>
      </c>
      <c r="C6" s="21"/>
      <c r="D6" s="16"/>
      <c r="E6" s="80" t="n">
        <v>3016.54</v>
      </c>
      <c r="F6" s="66" t="s">
        <v>672</v>
      </c>
      <c r="G6" s="23" t="n">
        <v>1</v>
      </c>
      <c r="H6" s="57" t="n">
        <f aca="false">IF(OR(E6="",G6=""),"",E6*G6)</f>
        <v>3016.54</v>
      </c>
      <c r="I6" s="10" t="s">
        <v>673</v>
      </c>
    </row>
    <row r="7" customFormat="false" ht="30" hidden="false" customHeight="true" outlineLevel="0" collapsed="false">
      <c r="A7" s="14" t="s">
        <v>670</v>
      </c>
      <c r="B7" s="10" t="s">
        <v>674</v>
      </c>
      <c r="C7" s="21"/>
      <c r="D7" s="16"/>
      <c r="E7" s="57" t="n">
        <f aca="false">D3-E6</f>
        <v>1874.21</v>
      </c>
      <c r="F7" s="16"/>
      <c r="G7" s="23" t="n">
        <v>0</v>
      </c>
      <c r="H7" s="57" t="n">
        <f aca="false">IF(OR(E7="",G7=""),"",E7*G7)</f>
        <v>0</v>
      </c>
      <c r="I7" s="10" t="s">
        <v>675</v>
      </c>
    </row>
    <row r="8" customFormat="false" ht="30" hidden="false" customHeight="true" outlineLevel="0" collapsed="false">
      <c r="A8" s="14" t="s">
        <v>676</v>
      </c>
      <c r="B8" s="10" t="s">
        <v>677</v>
      </c>
      <c r="C8" s="21" t="n">
        <v>10</v>
      </c>
      <c r="D8" s="66" t="s">
        <v>678</v>
      </c>
      <c r="E8" s="80"/>
      <c r="F8" s="16" t="s">
        <v>679</v>
      </c>
      <c r="G8" s="23"/>
      <c r="H8" s="57" t="str">
        <f aca="false">IF(OR(E8="",G8=""),"",E8*G8)</f>
        <v/>
      </c>
      <c r="I8" s="10" t="s">
        <v>680</v>
      </c>
    </row>
    <row r="9" customFormat="false" ht="30" hidden="false" customHeight="true" outlineLevel="0" collapsed="false">
      <c r="A9" s="14" t="s">
        <v>676</v>
      </c>
      <c r="B9" s="10" t="s">
        <v>681</v>
      </c>
      <c r="C9" s="21"/>
      <c r="D9" s="16"/>
      <c r="E9" s="80"/>
      <c r="F9" s="16"/>
      <c r="G9" s="23"/>
      <c r="H9" s="57" t="str">
        <f aca="false">IF(OR(E9="",G9=""),"",E9*G9)</f>
        <v/>
      </c>
      <c r="I9" s="10"/>
    </row>
    <row r="10" customFormat="false" ht="30" hidden="false" customHeight="true" outlineLevel="0" collapsed="false">
      <c r="A10" s="14" t="s">
        <v>682</v>
      </c>
      <c r="B10" s="10" t="s">
        <v>683</v>
      </c>
      <c r="C10" s="21"/>
      <c r="D10" s="16"/>
      <c r="E10" s="80"/>
      <c r="F10" s="16"/>
      <c r="G10" s="23"/>
      <c r="H10" s="57" t="str">
        <f aca="false">IF(OR(E10="",G10=""),"",E10*G10)</f>
        <v/>
      </c>
      <c r="I10" s="10"/>
    </row>
    <row r="11" customFormat="false" ht="15" hidden="false" customHeight="false" outlineLevel="0" collapsed="false">
      <c r="A11" s="16"/>
      <c r="B11" s="16"/>
      <c r="C11" s="21"/>
      <c r="D11" s="16"/>
      <c r="E11" s="80"/>
      <c r="F11" s="16"/>
      <c r="G11" s="23"/>
      <c r="H11" s="57" t="str">
        <f aca="false">IF(OR(E11="",G11=""),"",E11*G11)</f>
        <v/>
      </c>
      <c r="I11" s="16"/>
    </row>
    <row r="12" customFormat="false" ht="15" hidden="false" customHeight="false" outlineLevel="0" collapsed="false">
      <c r="A12" s="16"/>
      <c r="B12" s="16"/>
      <c r="C12" s="21"/>
      <c r="D12" s="16"/>
      <c r="E12" s="80"/>
      <c r="F12" s="16"/>
      <c r="G12" s="23"/>
      <c r="H12" s="57" t="str">
        <f aca="false">IF(OR(E12="",G12=""),"",E12*G12)</f>
        <v/>
      </c>
      <c r="I12" s="16"/>
    </row>
    <row r="13" customFormat="false" ht="15" hidden="false" customHeight="false" outlineLevel="0" collapsed="false">
      <c r="A13" s="16"/>
      <c r="B13" s="16"/>
      <c r="C13" s="21"/>
      <c r="D13" s="16"/>
      <c r="E13" s="80"/>
      <c r="F13" s="16"/>
      <c r="G13" s="23"/>
      <c r="H13" s="57" t="str">
        <f aca="false">IF(OR(E13="",G13=""),"",E13*G13)</f>
        <v/>
      </c>
      <c r="I13" s="16"/>
    </row>
    <row r="14" customFormat="false" ht="15" hidden="false" customHeight="false" outlineLevel="0" collapsed="false">
      <c r="A14" s="16"/>
      <c r="B14" s="16"/>
      <c r="C14" s="21"/>
      <c r="D14" s="16"/>
      <c r="E14" s="80"/>
      <c r="F14" s="16"/>
      <c r="G14" s="23"/>
      <c r="H14" s="57" t="str">
        <f aca="false">IF(OR(E14="",G14=""),"",E14*G14)</f>
        <v/>
      </c>
      <c r="I14" s="16"/>
    </row>
    <row r="15" customFormat="false" ht="15" hidden="false" customHeight="true" outlineLevel="0" collapsed="false">
      <c r="A15" s="37" t="s">
        <v>231</v>
      </c>
      <c r="B15" s="37"/>
      <c r="C15" s="37"/>
      <c r="D15" s="37"/>
      <c r="E15" s="81" t="n">
        <f aca="false">SUM(E6:E14)</f>
        <v>4890.75</v>
      </c>
      <c r="F15" s="40"/>
      <c r="G15" s="40"/>
      <c r="H15" s="81" t="n">
        <f aca="false">SUM(H6:H14)</f>
        <v>3016.54</v>
      </c>
      <c r="I15" s="82" t="s">
        <v>684</v>
      </c>
    </row>
    <row r="16" customFormat="false" ht="15" hidden="false" customHeight="false" outlineLevel="0" collapsed="false">
      <c r="A16" s="2" t="s">
        <v>685</v>
      </c>
    </row>
    <row r="18" customFormat="false" ht="19.5" hidden="false" customHeight="true" outlineLevel="0" collapsed="false">
      <c r="A18" s="41" t="s">
        <v>686</v>
      </c>
    </row>
    <row r="19" customFormat="false" ht="31.5" hidden="false" customHeight="true" outlineLevel="0" collapsed="false">
      <c r="A19" s="5" t="s">
        <v>687</v>
      </c>
      <c r="B19" s="6" t="s">
        <v>688</v>
      </c>
      <c r="C19" s="5" t="s">
        <v>301</v>
      </c>
      <c r="D19" s="5" t="s">
        <v>689</v>
      </c>
      <c r="E19" s="5" t="s">
        <v>666</v>
      </c>
      <c r="F19" s="5" t="s">
        <v>690</v>
      </c>
      <c r="G19" s="6" t="s">
        <v>691</v>
      </c>
      <c r="H19" s="6" t="s">
        <v>692</v>
      </c>
      <c r="I19" s="5" t="s">
        <v>693</v>
      </c>
    </row>
    <row r="20" customFormat="false" ht="15" hidden="false" customHeight="false" outlineLevel="0" collapsed="false">
      <c r="A20" s="16"/>
      <c r="B20" s="16"/>
      <c r="C20" s="21"/>
      <c r="D20" s="21"/>
      <c r="E20" s="80"/>
      <c r="F20" s="16"/>
      <c r="G20" s="16"/>
      <c r="H20" s="16"/>
      <c r="I20" s="16"/>
    </row>
    <row r="21" customFormat="false" ht="15" hidden="false" customHeight="false" outlineLevel="0" collapsed="false">
      <c r="A21" s="16"/>
      <c r="B21" s="16"/>
      <c r="C21" s="21"/>
      <c r="D21" s="21"/>
      <c r="E21" s="80"/>
      <c r="F21" s="16"/>
      <c r="G21" s="16"/>
      <c r="H21" s="16"/>
      <c r="I21" s="16"/>
    </row>
    <row r="22" customFormat="false" ht="15" hidden="false" customHeight="false" outlineLevel="0" collapsed="false">
      <c r="A22" s="16"/>
      <c r="B22" s="16"/>
      <c r="C22" s="21"/>
      <c r="D22" s="21"/>
      <c r="E22" s="80"/>
      <c r="F22" s="16"/>
      <c r="G22" s="16"/>
      <c r="H22" s="16"/>
      <c r="I22" s="16"/>
    </row>
    <row r="23" customFormat="false" ht="15" hidden="false" customHeight="false" outlineLevel="0" collapsed="false">
      <c r="A23" s="16"/>
      <c r="B23" s="16"/>
      <c r="C23" s="21"/>
      <c r="D23" s="21"/>
      <c r="E23" s="80"/>
      <c r="F23" s="16"/>
      <c r="G23" s="16"/>
      <c r="H23" s="16"/>
      <c r="I23" s="16"/>
    </row>
    <row r="24" customFormat="false" ht="15" hidden="false" customHeight="false" outlineLevel="0" collapsed="false">
      <c r="A24" s="16"/>
      <c r="B24" s="16"/>
      <c r="C24" s="21"/>
      <c r="D24" s="21"/>
      <c r="E24" s="80"/>
      <c r="F24" s="16"/>
      <c r="G24" s="16"/>
      <c r="H24" s="16"/>
      <c r="I24" s="16"/>
    </row>
    <row r="25" customFormat="false" ht="15" hidden="false" customHeight="false" outlineLevel="0" collapsed="false">
      <c r="A25" s="16"/>
      <c r="B25" s="16"/>
      <c r="C25" s="21"/>
      <c r="D25" s="21"/>
      <c r="E25" s="80"/>
      <c r="F25" s="16"/>
      <c r="G25" s="16"/>
      <c r="H25" s="16"/>
      <c r="I25" s="16"/>
    </row>
    <row r="26" customFormat="false" ht="15" hidden="false" customHeight="false" outlineLevel="0" collapsed="false">
      <c r="A26" s="16"/>
      <c r="B26" s="16"/>
      <c r="C26" s="21"/>
      <c r="D26" s="21"/>
      <c r="E26" s="80"/>
      <c r="F26" s="16"/>
      <c r="G26" s="16"/>
      <c r="H26" s="16"/>
      <c r="I26" s="16"/>
    </row>
    <row r="27" customFormat="false" ht="15" hidden="false" customHeight="false" outlineLevel="0" collapsed="false">
      <c r="A27" s="16"/>
      <c r="B27" s="16"/>
      <c r="C27" s="21"/>
      <c r="D27" s="21"/>
      <c r="E27" s="80"/>
      <c r="F27" s="16"/>
      <c r="G27" s="16"/>
      <c r="H27" s="16"/>
      <c r="I27" s="16"/>
    </row>
    <row r="28" customFormat="false" ht="15" hidden="false" customHeight="false" outlineLevel="0" collapsed="false">
      <c r="A28" s="16"/>
      <c r="B28" s="16"/>
      <c r="C28" s="21"/>
      <c r="D28" s="21"/>
      <c r="E28" s="80"/>
      <c r="F28" s="16"/>
      <c r="G28" s="16"/>
      <c r="H28" s="16"/>
      <c r="I28" s="16"/>
    </row>
    <row r="29" customFormat="false" ht="15" hidden="false" customHeight="false" outlineLevel="0" collapsed="false">
      <c r="A29" s="16"/>
      <c r="B29" s="16"/>
      <c r="C29" s="21"/>
      <c r="D29" s="21"/>
      <c r="E29" s="80"/>
      <c r="F29" s="16"/>
      <c r="G29" s="16"/>
      <c r="H29" s="16"/>
      <c r="I29" s="16"/>
    </row>
    <row r="30" customFormat="false" ht="15" hidden="false" customHeight="false" outlineLevel="0" collapsed="false">
      <c r="A30" s="16"/>
      <c r="B30" s="16"/>
      <c r="C30" s="21"/>
      <c r="D30" s="21"/>
      <c r="E30" s="80"/>
      <c r="F30" s="16"/>
      <c r="G30" s="16"/>
      <c r="H30" s="16"/>
      <c r="I30" s="16"/>
    </row>
    <row r="31" customFormat="false" ht="15" hidden="false" customHeight="false" outlineLevel="0" collapsed="false">
      <c r="A31" s="16"/>
      <c r="B31" s="16"/>
      <c r="C31" s="21"/>
      <c r="D31" s="21"/>
      <c r="E31" s="80"/>
      <c r="F31" s="16"/>
      <c r="G31" s="16"/>
      <c r="H31" s="16"/>
      <c r="I31" s="16"/>
    </row>
    <row r="32" customFormat="false" ht="15" hidden="false" customHeight="false" outlineLevel="0" collapsed="false">
      <c r="A32" s="16"/>
      <c r="B32" s="16"/>
      <c r="C32" s="21"/>
      <c r="D32" s="21"/>
      <c r="E32" s="80"/>
      <c r="F32" s="16"/>
      <c r="G32" s="16"/>
      <c r="H32" s="16"/>
      <c r="I32" s="16"/>
    </row>
    <row r="33" customFormat="false" ht="15" hidden="false" customHeight="false" outlineLevel="0" collapsed="false">
      <c r="A33" s="16"/>
      <c r="B33" s="16"/>
      <c r="C33" s="21"/>
      <c r="D33" s="21"/>
      <c r="E33" s="80"/>
      <c r="F33" s="16"/>
      <c r="G33" s="16"/>
      <c r="H33" s="16"/>
      <c r="I33" s="16"/>
    </row>
    <row r="34" customFormat="false" ht="15" hidden="false" customHeight="false" outlineLevel="0" collapsed="false">
      <c r="A34" s="16"/>
      <c r="B34" s="16"/>
      <c r="C34" s="21"/>
      <c r="D34" s="21"/>
      <c r="E34" s="80"/>
      <c r="F34" s="16"/>
      <c r="G34" s="16"/>
      <c r="H34" s="16"/>
      <c r="I34" s="16"/>
    </row>
    <row r="35" customFormat="false" ht="15" hidden="false" customHeight="false" outlineLevel="0" collapsed="false">
      <c r="A35" s="16"/>
      <c r="B35" s="16"/>
      <c r="C35" s="21"/>
      <c r="D35" s="21"/>
      <c r="E35" s="80"/>
      <c r="F35" s="16"/>
      <c r="G35" s="16"/>
      <c r="H35" s="16"/>
      <c r="I35" s="16"/>
    </row>
    <row r="36" customFormat="false" ht="15" hidden="false" customHeight="false" outlineLevel="0" collapsed="false">
      <c r="A36" s="16"/>
      <c r="B36" s="16"/>
      <c r="C36" s="21"/>
      <c r="D36" s="21"/>
      <c r="E36" s="80"/>
      <c r="F36" s="16"/>
      <c r="G36" s="16"/>
      <c r="H36" s="16"/>
      <c r="I36" s="16"/>
    </row>
    <row r="37" customFormat="false" ht="15" hidden="false" customHeight="false" outlineLevel="0" collapsed="false">
      <c r="A37" s="16"/>
      <c r="B37" s="16"/>
      <c r="C37" s="21"/>
      <c r="D37" s="21"/>
      <c r="E37" s="80"/>
      <c r="F37" s="16"/>
      <c r="G37" s="16"/>
      <c r="H37" s="16"/>
      <c r="I37" s="16"/>
    </row>
    <row r="38" customFormat="false" ht="15" hidden="false" customHeight="false" outlineLevel="0" collapsed="false">
      <c r="A38" s="16"/>
      <c r="B38" s="16"/>
      <c r="C38" s="21"/>
      <c r="D38" s="21"/>
      <c r="E38" s="80"/>
      <c r="F38" s="16"/>
      <c r="G38" s="16"/>
      <c r="H38" s="16"/>
      <c r="I38" s="16"/>
    </row>
    <row r="39" customFormat="false" ht="15" hidden="false" customHeight="false" outlineLevel="0" collapsed="false">
      <c r="A39" s="16"/>
      <c r="B39" s="16"/>
      <c r="C39" s="21"/>
      <c r="D39" s="21"/>
      <c r="E39" s="80"/>
      <c r="F39" s="16"/>
      <c r="G39" s="16"/>
      <c r="H39" s="16"/>
      <c r="I39" s="16"/>
    </row>
    <row r="40" customFormat="false" ht="15" hidden="false" customHeight="false" outlineLevel="0" collapsed="false">
      <c r="A40" s="16"/>
      <c r="B40" s="16"/>
      <c r="C40" s="21"/>
      <c r="D40" s="21"/>
      <c r="E40" s="80"/>
      <c r="F40" s="16"/>
      <c r="G40" s="16"/>
      <c r="H40" s="16"/>
      <c r="I40" s="16"/>
    </row>
    <row r="41" customFormat="false" ht="15" hidden="false" customHeight="false" outlineLevel="0" collapsed="false">
      <c r="A41" s="16"/>
      <c r="B41" s="16"/>
      <c r="C41" s="21"/>
      <c r="D41" s="21"/>
      <c r="E41" s="80"/>
      <c r="F41" s="16"/>
      <c r="G41" s="16"/>
      <c r="H41" s="16"/>
      <c r="I41" s="16"/>
    </row>
    <row r="42" customFormat="false" ht="15" hidden="false" customHeight="false" outlineLevel="0" collapsed="false">
      <c r="A42" s="16"/>
      <c r="B42" s="16"/>
      <c r="C42" s="21"/>
      <c r="D42" s="21"/>
      <c r="E42" s="80"/>
      <c r="F42" s="16"/>
      <c r="G42" s="16"/>
      <c r="H42" s="16"/>
      <c r="I42" s="16"/>
    </row>
    <row r="43" customFormat="false" ht="15" hidden="false" customHeight="false" outlineLevel="0" collapsed="false">
      <c r="A43" s="16"/>
      <c r="B43" s="16"/>
      <c r="C43" s="21"/>
      <c r="D43" s="21"/>
      <c r="E43" s="80"/>
      <c r="F43" s="16"/>
      <c r="G43" s="16"/>
      <c r="H43" s="16"/>
      <c r="I43" s="16"/>
    </row>
    <row r="44" customFormat="false" ht="15" hidden="false" customHeight="false" outlineLevel="0" collapsed="false">
      <c r="A44" s="16"/>
      <c r="B44" s="16"/>
      <c r="C44" s="21"/>
      <c r="D44" s="21"/>
      <c r="E44" s="80"/>
      <c r="F44" s="16"/>
      <c r="G44" s="16"/>
      <c r="H44" s="16"/>
      <c r="I44" s="16"/>
    </row>
    <row r="45" customFormat="false" ht="15" hidden="false" customHeight="true" outlineLevel="0" collapsed="false">
      <c r="A45" s="37" t="s">
        <v>231</v>
      </c>
      <c r="B45" s="37"/>
      <c r="C45" s="37"/>
      <c r="D45" s="37"/>
      <c r="E45" s="81" t="n">
        <f aca="false">SUM(E20:E44)</f>
        <v>0</v>
      </c>
    </row>
  </sheetData>
  <mergeCells count="3">
    <mergeCell ref="D3:E3"/>
    <mergeCell ref="A15:D15"/>
    <mergeCell ref="A45:D4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12"/>
    <col collapsed="false" customWidth="true" hidden="false" outlineLevel="0" max="6" min="6" style="0" width="10"/>
    <col collapsed="false" customWidth="true" hidden="false" outlineLevel="0" max="8" min="7" style="0" width="12"/>
    <col collapsed="false" customWidth="true" hidden="false" outlineLevel="0" max="9" min="9" style="0" width="11"/>
    <col collapsed="false" customWidth="true" hidden="false" outlineLevel="0" max="12" min="10" style="0" width="12"/>
    <col collapsed="false" customWidth="true" hidden="false" outlineLevel="0" max="13" min="13" style="0" width="50"/>
  </cols>
  <sheetData>
    <row r="1" customFormat="false" ht="24" hidden="false" customHeight="true" outlineLevel="0" collapsed="false">
      <c r="A1" s="20" t="s">
        <v>694</v>
      </c>
    </row>
    <row r="2" customFormat="false" ht="15" hidden="false" customHeight="false" outlineLevel="0" collapsed="false">
      <c r="A2" s="2" t="s">
        <v>695</v>
      </c>
    </row>
    <row r="4" customFormat="false" ht="31.5" hidden="false" customHeight="true" outlineLevel="0" collapsed="false">
      <c r="A4" s="5" t="s">
        <v>696</v>
      </c>
      <c r="B4" s="5" t="s">
        <v>118</v>
      </c>
      <c r="C4" s="5" t="s">
        <v>697</v>
      </c>
      <c r="D4" s="5" t="s">
        <v>698</v>
      </c>
      <c r="E4" s="5" t="s">
        <v>699</v>
      </c>
      <c r="F4" s="5" t="s">
        <v>413</v>
      </c>
      <c r="G4" s="5" t="s">
        <v>700</v>
      </c>
      <c r="H4" s="5" t="s">
        <v>701</v>
      </c>
      <c r="I4" s="5" t="s">
        <v>702</v>
      </c>
      <c r="J4" s="5" t="s">
        <v>703</v>
      </c>
      <c r="K4" s="5" t="s">
        <v>704</v>
      </c>
      <c r="L4" s="5" t="s">
        <v>705</v>
      </c>
      <c r="M4" s="5" t="s">
        <v>706</v>
      </c>
    </row>
    <row r="5" customFormat="false" ht="30" hidden="false" customHeight="true" outlineLevel="0" collapsed="false">
      <c r="A5" s="10" t="s">
        <v>707</v>
      </c>
      <c r="B5" s="14" t="s">
        <v>708</v>
      </c>
      <c r="C5" s="8" t="n">
        <f aca="false">02_投資総括!$J$5+02_投資総括!$J$6</f>
        <v>7200</v>
      </c>
      <c r="D5" s="83" t="n">
        <f aca="false">SUMIF(12_レンタル費!$F$6:$F$14,"ロック",12_レンタル費!$H$6:$H$14)</f>
        <v>0</v>
      </c>
      <c r="E5" s="80"/>
      <c r="F5" s="80"/>
      <c r="G5" s="57" t="n">
        <f aca="false">IF(OR(01_前提条件!$C$14="",F5=""),0,F5*01_前提条件!$C$14)</f>
        <v>0</v>
      </c>
      <c r="H5" s="80"/>
      <c r="I5" s="83" t="n">
        <f aca="false">06_サーボ電力!$B$21</f>
        <v>262.9984</v>
      </c>
      <c r="J5" s="80"/>
      <c r="K5" s="84" t="n">
        <f aca="false">N(D5)+N(E5)+N(G5)+N(H5)+N(I5)-N(J5)</f>
        <v>262.9984</v>
      </c>
      <c r="L5" s="85" t="str">
        <f aca="false">IF(D5=0,"レンタル実績額 入力待ち",C5/K5)</f>
        <v>レンタル実績額 入力待ち</v>
      </c>
      <c r="M5" s="10" t="s">
        <v>709</v>
      </c>
    </row>
    <row r="6" customFormat="false" ht="30" hidden="false" customHeight="true" outlineLevel="0" collapsed="false">
      <c r="A6" s="10" t="s">
        <v>710</v>
      </c>
      <c r="B6" s="14" t="s">
        <v>151</v>
      </c>
      <c r="C6" s="8" t="n">
        <f aca="false">02_投資総括!$J$8</f>
        <v>13350</v>
      </c>
      <c r="D6" s="83" t="n">
        <f aca="false">SUMIF(12_レンタル費!$F$6:$F$14,"PS中",12_レンタル費!$H$6:$H$14)</f>
        <v>0</v>
      </c>
      <c r="E6" s="80"/>
      <c r="F6" s="83" t="n">
        <f aca="false">07_省人効果!$E$47</f>
        <v>0</v>
      </c>
      <c r="G6" s="57" t="n">
        <f aca="false">IF(01_前提条件!$C$14="",0,F6*01_前提条件!$C$14)</f>
        <v>0</v>
      </c>
      <c r="H6" s="80"/>
      <c r="I6" s="80"/>
      <c r="J6" s="80"/>
      <c r="K6" s="84" t="n">
        <f aca="false">N(D6)+N(E6)+N(G6)+N(H6)+N(I6)-N(J6)</f>
        <v>0</v>
      </c>
      <c r="L6" s="85" t="str">
        <f aca="false">IF(K6&gt;0,C6/K6,"効果データ待ち")</f>
        <v>効果データ待ち</v>
      </c>
      <c r="M6" s="10" t="s">
        <v>711</v>
      </c>
    </row>
    <row r="7" customFormat="false" ht="30" hidden="false" customHeight="true" outlineLevel="0" collapsed="false">
      <c r="A7" s="10" t="s">
        <v>712</v>
      </c>
      <c r="B7" s="14" t="s">
        <v>157</v>
      </c>
      <c r="C7" s="8" t="n">
        <f aca="false">02_投資総括!$J$9</f>
        <v>26000</v>
      </c>
      <c r="D7" s="83" t="n">
        <f aca="false">SUMIF(12_レンタル費!$F$6:$F$14,"PS大",12_レンタル費!$H$6:$H$14)</f>
        <v>3016.54</v>
      </c>
      <c r="E7" s="80" t="n">
        <v>3000</v>
      </c>
      <c r="F7" s="83" t="n">
        <f aca="false">07_省人効果!$E$48</f>
        <v>0</v>
      </c>
      <c r="G7" s="57" t="n">
        <f aca="false">IF(01_前提条件!$C$14="",0,F7*01_前提条件!$C$14)</f>
        <v>0</v>
      </c>
      <c r="H7" s="80"/>
      <c r="I7" s="80"/>
      <c r="J7" s="80"/>
      <c r="K7" s="84" t="n">
        <f aca="false">N(D7)+N(E7)+N(G7)+N(H7)+N(I7)-N(J7)</f>
        <v>6016.54</v>
      </c>
      <c r="L7" s="85" t="n">
        <f aca="false">IF(K7&gt;0,C7/K7,"効果データ待ち")</f>
        <v>4.32142061716535</v>
      </c>
      <c r="M7" s="10" t="s">
        <v>713</v>
      </c>
    </row>
    <row r="8" customFormat="false" ht="30" hidden="false" customHeight="true" outlineLevel="0" collapsed="false">
      <c r="A8" s="10" t="s">
        <v>714</v>
      </c>
      <c r="B8" s="14" t="s">
        <v>161</v>
      </c>
      <c r="C8" s="8" t="n">
        <f aca="false">02_投資総括!$J$10</f>
        <v>8800</v>
      </c>
      <c r="D8" s="83" t="n">
        <f aca="false">SUMIF(12_レンタル費!$F$6:$F$14,"DUMA",12_レンタル費!$H$6:$H$14)</f>
        <v>0</v>
      </c>
      <c r="E8" s="80"/>
      <c r="F8" s="80"/>
      <c r="G8" s="57" t="n">
        <f aca="false">IF(OR(01_前提条件!$C$14="",F8=""),0,F8*01_前提条件!$C$14)</f>
        <v>0</v>
      </c>
      <c r="H8" s="80"/>
      <c r="I8" s="80"/>
      <c r="J8" s="80"/>
      <c r="K8" s="84" t="n">
        <f aca="false">N(D8)+N(E8)+N(G8)+N(H8)+N(I8)-N(J8)</f>
        <v>0</v>
      </c>
      <c r="L8" s="85" t="str">
        <f aca="false">IF(K8&gt;0,C8/K8,"効果データ待ち")</f>
        <v>効果データ待ち</v>
      </c>
      <c r="M8" s="10" t="s">
        <v>715</v>
      </c>
    </row>
    <row r="9" customFormat="false" ht="30" hidden="false" customHeight="true" outlineLevel="0" collapsed="false">
      <c r="A9" s="10" t="s">
        <v>716</v>
      </c>
      <c r="B9" s="14" t="s">
        <v>166</v>
      </c>
      <c r="C9" s="8" t="n">
        <f aca="false">02_投資総括!$J$11</f>
        <v>19400</v>
      </c>
      <c r="D9" s="83" t="n">
        <f aca="false">SUMIF(12_レンタル費!$F$6:$F$14,"SpecD",12_レンタル費!$H$6:$H$14)</f>
        <v>0</v>
      </c>
      <c r="E9" s="80"/>
      <c r="F9" s="83" t="n">
        <f aca="false">07_省人効果!$E$49</f>
        <v>0</v>
      </c>
      <c r="G9" s="57" t="n">
        <f aca="false">IF(01_前提条件!$C$14="",0,F9*01_前提条件!$C$14)</f>
        <v>0</v>
      </c>
      <c r="H9" s="80"/>
      <c r="I9" s="80"/>
      <c r="J9" s="80"/>
      <c r="K9" s="84" t="n">
        <f aca="false">N(D9)+N(E9)+N(G9)+N(H9)+N(I9)-N(J9)</f>
        <v>0</v>
      </c>
      <c r="L9" s="85" t="str">
        <f aca="false">IF(K9&gt;0,C9/K9,"効果データ待ち")</f>
        <v>効果データ待ち</v>
      </c>
      <c r="M9" s="9" t="s">
        <v>717</v>
      </c>
    </row>
    <row r="10" customFormat="false" ht="30" hidden="false" customHeight="true" outlineLevel="0" collapsed="false">
      <c r="A10" s="10" t="s">
        <v>718</v>
      </c>
      <c r="B10" s="14" t="s">
        <v>176</v>
      </c>
      <c r="C10" s="8" t="n">
        <f aca="false">02_投資総括!$J$13</f>
        <v>24900</v>
      </c>
      <c r="D10" s="83" t="n">
        <f aca="false">SUMIF(12_レンタル費!$F$6:$F$14,"温冷",12_レンタル費!$H$6:$H$14)</f>
        <v>0</v>
      </c>
      <c r="E10" s="80"/>
      <c r="F10" s="80"/>
      <c r="G10" s="57" t="n">
        <f aca="false">IF(OR(01_前提条件!$C$14="",F10=""),0,F10*01_前提条件!$C$14)</f>
        <v>0</v>
      </c>
      <c r="H10" s="80"/>
      <c r="I10" s="80"/>
      <c r="J10" s="80"/>
      <c r="K10" s="84" t="n">
        <f aca="false">N(D10)+N(E10)+N(G10)+N(H10)+N(I10)-N(J10)</f>
        <v>0</v>
      </c>
      <c r="L10" s="85" t="str">
        <f aca="false">IF(K10&gt;0,C10/K10,"効果データ待ち")</f>
        <v>効果データ待ち</v>
      </c>
      <c r="M10" s="10" t="s">
        <v>719</v>
      </c>
    </row>
    <row r="11" customFormat="false" ht="30" hidden="false" customHeight="true" outlineLevel="0" collapsed="false">
      <c r="A11" s="10" t="s">
        <v>720</v>
      </c>
      <c r="B11" s="14" t="s">
        <v>181</v>
      </c>
      <c r="C11" s="8" t="n">
        <f aca="false">02_投資総括!$J$14</f>
        <v>13000</v>
      </c>
      <c r="D11" s="83" t="n">
        <f aca="false">SUMIF(12_レンタル費!$F$6:$F$14,"平プレス",12_レンタル費!$H$6:$H$14)</f>
        <v>0</v>
      </c>
      <c r="E11" s="80"/>
      <c r="F11" s="80"/>
      <c r="G11" s="57" t="n">
        <f aca="false">IF(OR(01_前提条件!$C$14="",F11=""),0,F11*01_前提条件!$C$14)</f>
        <v>0</v>
      </c>
      <c r="H11" s="80"/>
      <c r="I11" s="80"/>
      <c r="J11" s="80"/>
      <c r="K11" s="84" t="n">
        <f aca="false">N(D11)+N(E11)+N(G11)+N(H11)+N(I11)-N(J11)</f>
        <v>0</v>
      </c>
      <c r="L11" s="85" t="str">
        <f aca="false">IF(K11&gt;0,C11/K11,"効果データ待ち")</f>
        <v>効果データ待ち</v>
      </c>
      <c r="M11" s="10" t="s">
        <v>721</v>
      </c>
    </row>
    <row r="12" customFormat="false" ht="26.85" hidden="false" customHeight="false" outlineLevel="0" collapsed="false">
      <c r="A12" s="37" t="s">
        <v>722</v>
      </c>
      <c r="B12" s="82"/>
      <c r="C12" s="81" t="n">
        <f aca="false">SUM(C5:C11)</f>
        <v>112650</v>
      </c>
      <c r="D12" s="81" t="n">
        <f aca="false">SUM(D5:D11)</f>
        <v>3016.54</v>
      </c>
      <c r="E12" s="81" t="n">
        <f aca="false">SUM(E5:E11)</f>
        <v>3000</v>
      </c>
      <c r="F12" s="81" t="n">
        <f aca="false">SUM(F5:F11)</f>
        <v>0</v>
      </c>
      <c r="G12" s="81" t="n">
        <f aca="false">SUM(G5:G11)</f>
        <v>0</v>
      </c>
      <c r="H12" s="81" t="n">
        <f aca="false">SUM(H5:H11)</f>
        <v>0</v>
      </c>
      <c r="I12" s="81" t="n">
        <f aca="false">SUM(I5:I11)</f>
        <v>262.9984</v>
      </c>
      <c r="J12" s="81" t="n">
        <f aca="false">SUM(J5:J11)</f>
        <v>0</v>
      </c>
      <c r="K12" s="81" t="n">
        <f aca="false">SUM(K5:K11)</f>
        <v>6279.5384</v>
      </c>
      <c r="L12" s="86" t="str">
        <f aca="false">IF(COUNTIF(L5:L11,"*待ち")&gt;0,"一部データ待ち",C12/K12)</f>
        <v>一部データ待ち</v>
      </c>
      <c r="M12" s="82"/>
    </row>
    <row r="13" customFormat="false" ht="15" hidden="false" customHeight="false" outlineLevel="0" collapsed="false">
      <c r="A13" s="2" t="s">
        <v>723</v>
      </c>
    </row>
    <row r="15" customFormat="false" ht="19.5" hidden="false" customHeight="true" outlineLevel="0" collapsed="false">
      <c r="A15" s="3" t="s">
        <v>724</v>
      </c>
    </row>
    <row r="16" customFormat="false" ht="31.5" hidden="false" customHeight="true" outlineLevel="0" collapsed="false">
      <c r="A16" s="5" t="s">
        <v>696</v>
      </c>
      <c r="B16" s="5" t="s">
        <v>118</v>
      </c>
      <c r="C16" s="5" t="s">
        <v>697</v>
      </c>
      <c r="D16" s="5" t="s">
        <v>725</v>
      </c>
      <c r="E16" s="5"/>
      <c r="F16" s="5"/>
      <c r="G16" s="5"/>
      <c r="H16" s="5"/>
      <c r="I16" s="5"/>
      <c r="J16" s="5"/>
      <c r="K16" s="5"/>
      <c r="L16" s="5"/>
      <c r="M16" s="5"/>
    </row>
    <row r="17" customFormat="false" ht="15" hidden="false" customHeight="true" outlineLevel="0" collapsed="false">
      <c r="A17" s="10" t="s">
        <v>726</v>
      </c>
      <c r="B17" s="9" t="s">
        <v>186</v>
      </c>
      <c r="C17" s="8" t="n">
        <f aca="false">02_投資総括!$J$15</f>
        <v>22920</v>
      </c>
      <c r="D17" s="10" t="s">
        <v>727</v>
      </c>
      <c r="E17" s="10"/>
      <c r="F17" s="10"/>
      <c r="G17" s="10"/>
      <c r="H17" s="10"/>
      <c r="I17" s="10"/>
      <c r="J17" s="10"/>
      <c r="K17" s="10"/>
      <c r="L17" s="10"/>
      <c r="M17" s="10"/>
    </row>
    <row r="18" customFormat="false" ht="15" hidden="false" customHeight="true" outlineLevel="0" collapsed="false">
      <c r="A18" s="9" t="s">
        <v>728</v>
      </c>
      <c r="B18" s="9" t="s">
        <v>729</v>
      </c>
      <c r="C18" s="8" t="n">
        <f aca="false">02_投資総括!$J$16+02_投資総括!$J$17+02_投資総括!$J$18+02_投資総括!$J$19</f>
        <v>98253</v>
      </c>
      <c r="D18" s="10" t="s">
        <v>730</v>
      </c>
      <c r="E18" s="10"/>
      <c r="F18" s="10"/>
      <c r="G18" s="10"/>
      <c r="H18" s="10"/>
      <c r="I18" s="10"/>
      <c r="J18" s="10"/>
      <c r="K18" s="10"/>
      <c r="L18" s="10"/>
      <c r="M18" s="10"/>
    </row>
    <row r="19" customFormat="false" ht="15" hidden="false" customHeight="true" outlineLevel="0" collapsed="false">
      <c r="A19" s="9" t="s">
        <v>731</v>
      </c>
      <c r="B19" s="9" t="s">
        <v>732</v>
      </c>
      <c r="C19" s="8" t="n">
        <f aca="false">02_投資総括!$J$12+02_投資総括!$J$22</f>
        <v>13100</v>
      </c>
      <c r="D19" s="10" t="s">
        <v>733</v>
      </c>
      <c r="E19" s="10"/>
      <c r="F19" s="10"/>
      <c r="G19" s="10"/>
      <c r="H19" s="10"/>
      <c r="I19" s="10"/>
      <c r="J19" s="10"/>
      <c r="K19" s="10"/>
      <c r="L19" s="10"/>
      <c r="M19" s="10"/>
    </row>
    <row r="21" customFormat="false" ht="19.5" hidden="false" customHeight="true" outlineLevel="0" collapsed="false">
      <c r="A21" s="41" t="s">
        <v>734</v>
      </c>
    </row>
    <row r="22" customFormat="false" ht="15" hidden="false" customHeight="false" outlineLevel="0" collapsed="false">
      <c r="A22" s="2" t="s">
        <v>735</v>
      </c>
    </row>
    <row r="23" customFormat="false" ht="31.5" hidden="false" customHeight="true" outlineLevel="0" collapsed="false">
      <c r="A23" s="5" t="s">
        <v>8</v>
      </c>
      <c r="B23" s="5"/>
      <c r="C23" s="5" t="s">
        <v>736</v>
      </c>
      <c r="D23" s="5" t="s">
        <v>737</v>
      </c>
      <c r="E23" s="5"/>
      <c r="F23" s="5" t="s">
        <v>11</v>
      </c>
      <c r="G23" s="5"/>
      <c r="H23" s="5"/>
      <c r="I23" s="5"/>
      <c r="J23" s="5"/>
      <c r="K23" s="5"/>
      <c r="L23" s="5"/>
      <c r="M23" s="5"/>
    </row>
    <row r="24" customFormat="false" ht="18" hidden="false" customHeight="true" outlineLevel="0" collapsed="false">
      <c r="A24" s="10" t="s">
        <v>738</v>
      </c>
      <c r="B24" s="10"/>
      <c r="C24" s="8" t="n">
        <f aca="false">02_投資総括!$J$26</f>
        <v>246923</v>
      </c>
      <c r="D24" s="8" t="n">
        <f aca="false">02_投資総括!$J$26</f>
        <v>246923</v>
      </c>
      <c r="E24" s="10"/>
      <c r="F24" s="9" t="s">
        <v>561</v>
      </c>
      <c r="G24" s="9"/>
      <c r="H24" s="9"/>
      <c r="I24" s="9"/>
      <c r="J24" s="9"/>
      <c r="K24" s="9"/>
      <c r="L24" s="9"/>
      <c r="M24" s="9"/>
    </row>
    <row r="25" customFormat="false" ht="30" hidden="false" customHeight="true" outlineLevel="0" collapsed="false">
      <c r="A25" s="10" t="s">
        <v>739</v>
      </c>
      <c r="B25" s="10"/>
      <c r="C25" s="30" t="n">
        <f aca="false">C24</f>
        <v>246923</v>
      </c>
      <c r="D25" s="30" t="n">
        <f aca="false">C24-01_前提条件!$C$12</f>
        <v>196923</v>
      </c>
      <c r="E25" s="10"/>
      <c r="F25" s="9" t="s">
        <v>740</v>
      </c>
      <c r="G25" s="9"/>
      <c r="H25" s="9"/>
      <c r="I25" s="9"/>
      <c r="J25" s="9"/>
      <c r="K25" s="9"/>
      <c r="L25" s="9"/>
      <c r="M25" s="9"/>
    </row>
    <row r="26" customFormat="false" ht="18" hidden="false" customHeight="true" outlineLevel="0" collapsed="false">
      <c r="A26" s="10" t="s">
        <v>741</v>
      </c>
      <c r="B26" s="10"/>
      <c r="C26" s="30" t="n">
        <f aca="false">C25*01_前提条件!$C$5/01_前提条件!$C$11</f>
        <v>5643954.28571429</v>
      </c>
      <c r="D26" s="30" t="n">
        <f aca="false">D25*01_前提条件!$C$5/01_前提条件!$C$11</f>
        <v>4501097.14285714</v>
      </c>
      <c r="E26" s="10"/>
      <c r="F26" s="10" t="s">
        <v>742</v>
      </c>
      <c r="G26" s="10"/>
      <c r="H26" s="10"/>
      <c r="I26" s="10"/>
      <c r="J26" s="10"/>
      <c r="K26" s="10"/>
      <c r="L26" s="10"/>
      <c r="M26" s="10"/>
    </row>
    <row r="27" customFormat="false" ht="30" hidden="false" customHeight="true" outlineLevel="0" collapsed="false">
      <c r="A27" s="10" t="s">
        <v>743</v>
      </c>
      <c r="B27" s="10"/>
      <c r="C27" s="26"/>
      <c r="D27" s="30" t="n">
        <f aca="false">C27</f>
        <v>0</v>
      </c>
      <c r="E27" s="10"/>
      <c r="F27" s="10" t="s">
        <v>744</v>
      </c>
      <c r="G27" s="10"/>
      <c r="H27" s="10"/>
      <c r="I27" s="10"/>
      <c r="J27" s="10"/>
      <c r="K27" s="10"/>
      <c r="L27" s="10"/>
      <c r="M27" s="10"/>
    </row>
    <row r="28" customFormat="false" ht="18" hidden="false" customHeight="true" outlineLevel="0" collapsed="false">
      <c r="A28" s="10" t="s">
        <v>745</v>
      </c>
      <c r="B28" s="10"/>
      <c r="C28" s="30" t="n">
        <f aca="false">K12*01_前提条件!$C$5</f>
        <v>1004726.144</v>
      </c>
      <c r="D28" s="30" t="n">
        <f aca="false">C28</f>
        <v>1004726.144</v>
      </c>
      <c r="E28" s="10"/>
      <c r="F28" s="10" t="s">
        <v>746</v>
      </c>
      <c r="G28" s="10"/>
      <c r="H28" s="10"/>
      <c r="I28" s="10"/>
      <c r="J28" s="10"/>
      <c r="K28" s="10"/>
      <c r="L28" s="10"/>
      <c r="M28" s="10"/>
    </row>
    <row r="29" customFormat="false" ht="18" hidden="false" customHeight="true" outlineLevel="0" collapsed="false">
      <c r="A29" s="7" t="s">
        <v>747</v>
      </c>
      <c r="B29" s="7"/>
      <c r="C29" s="42" t="n">
        <f aca="false">C26-N(C27)-C28</f>
        <v>4639228.14171429</v>
      </c>
      <c r="D29" s="42" t="n">
        <f aca="false">D26-N(D27)-D28</f>
        <v>3496370.99885714</v>
      </c>
      <c r="E29" s="10"/>
      <c r="F29" s="10"/>
      <c r="G29" s="10"/>
      <c r="H29" s="10"/>
      <c r="I29" s="10"/>
      <c r="J29" s="10"/>
      <c r="K29" s="10"/>
      <c r="L29" s="10"/>
      <c r="M29" s="10"/>
    </row>
    <row r="30" customFormat="false" ht="18" hidden="false" customHeight="true" outlineLevel="0" collapsed="false">
      <c r="A30" s="7" t="s">
        <v>373</v>
      </c>
      <c r="B30" s="7"/>
      <c r="C30" s="19" t="str">
        <f aca="false">IF(C29&gt;0,"費用増：安全・顧客要求・生産継続で説明","P/L改善")</f>
        <v>費用増：安全・顧客要求・生産継続で説明</v>
      </c>
      <c r="D30" s="19" t="str">
        <f aca="false">IF(D29&gt;0,"費用増：安全・顧客要求・生産継続で説明","P/L改善")</f>
        <v>費用増：安全・顧客要求・生産継続で説明</v>
      </c>
      <c r="E30" s="10"/>
      <c r="F30" s="10"/>
      <c r="G30" s="10"/>
      <c r="H30" s="10"/>
      <c r="I30" s="10"/>
      <c r="J30" s="10"/>
      <c r="K30" s="10"/>
      <c r="L30" s="10"/>
      <c r="M30" s="10"/>
    </row>
  </sheetData>
  <mergeCells count="20">
    <mergeCell ref="D16:M16"/>
    <mergeCell ref="D17:M17"/>
    <mergeCell ref="D18:M18"/>
    <mergeCell ref="D19:M19"/>
    <mergeCell ref="A23:B23"/>
    <mergeCell ref="F23:M23"/>
    <mergeCell ref="A24:B24"/>
    <mergeCell ref="F24:M24"/>
    <mergeCell ref="A25:B25"/>
    <mergeCell ref="F25:M25"/>
    <mergeCell ref="A26:B26"/>
    <mergeCell ref="F26:M26"/>
    <mergeCell ref="A27:B27"/>
    <mergeCell ref="F27:M27"/>
    <mergeCell ref="A28:B28"/>
    <mergeCell ref="F28:M28"/>
    <mergeCell ref="A29:B29"/>
    <mergeCell ref="F29:M29"/>
    <mergeCell ref="A30:B30"/>
    <mergeCell ref="F30:M3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4"/>
    <col collapsed="false" customWidth="true" hidden="false" outlineLevel="0" max="4" min="4" style="0" width="40"/>
    <col collapsed="false" customWidth="true" hidden="false" outlineLevel="0" max="5" min="5" style="0" width="44"/>
  </cols>
  <sheetData>
    <row r="1" customFormat="false" ht="24" hidden="false" customHeight="true" outlineLevel="0" collapsed="false">
      <c r="A1" s="20" t="s">
        <v>748</v>
      </c>
    </row>
    <row r="2" customFormat="false" ht="15" hidden="false" customHeight="false" outlineLevel="0" collapsed="false">
      <c r="A2" s="87" t="s">
        <v>749</v>
      </c>
    </row>
    <row r="3" customFormat="false" ht="31.5" hidden="false" customHeight="true" outlineLevel="0" collapsed="false">
      <c r="A3" s="6" t="s">
        <v>375</v>
      </c>
      <c r="B3" s="5" t="s">
        <v>750</v>
      </c>
      <c r="C3" s="5" t="s">
        <v>23</v>
      </c>
      <c r="D3" s="5" t="s">
        <v>751</v>
      </c>
      <c r="E3" s="5" t="s">
        <v>752</v>
      </c>
    </row>
    <row r="4" customFormat="false" ht="48" hidden="false" customHeight="true" outlineLevel="0" collapsed="false">
      <c r="A4" s="10" t="n">
        <v>1</v>
      </c>
      <c r="B4" s="9" t="s">
        <v>753</v>
      </c>
      <c r="C4" s="10" t="s">
        <v>754</v>
      </c>
      <c r="D4" s="9" t="s">
        <v>755</v>
      </c>
      <c r="E4" s="9" t="s">
        <v>756</v>
      </c>
    </row>
    <row r="5" customFormat="false" ht="48" hidden="false" customHeight="true" outlineLevel="0" collapsed="false">
      <c r="A5" s="10" t="n">
        <v>2</v>
      </c>
      <c r="B5" s="9" t="s">
        <v>757</v>
      </c>
      <c r="C5" s="10" t="s">
        <v>758</v>
      </c>
      <c r="D5" s="9" t="s">
        <v>759</v>
      </c>
      <c r="E5" s="10" t="s">
        <v>760</v>
      </c>
    </row>
    <row r="6" customFormat="false" ht="48" hidden="false" customHeight="true" outlineLevel="0" collapsed="false">
      <c r="A6" s="10" t="n">
        <v>3</v>
      </c>
      <c r="B6" s="9" t="s">
        <v>761</v>
      </c>
      <c r="C6" s="10" t="s">
        <v>762</v>
      </c>
      <c r="D6" s="10" t="s">
        <v>763</v>
      </c>
      <c r="E6" s="10" t="s">
        <v>764</v>
      </c>
    </row>
    <row r="7" customFormat="false" ht="48" hidden="false" customHeight="true" outlineLevel="0" collapsed="false">
      <c r="A7" s="10" t="n">
        <v>4</v>
      </c>
      <c r="B7" s="9" t="s">
        <v>765</v>
      </c>
      <c r="C7" s="9" t="s">
        <v>766</v>
      </c>
      <c r="D7" s="10" t="s">
        <v>767</v>
      </c>
      <c r="E7" s="10" t="s">
        <v>768</v>
      </c>
    </row>
    <row r="8" customFormat="false" ht="48" hidden="false" customHeight="true" outlineLevel="0" collapsed="false">
      <c r="A8" s="10" t="n">
        <v>5</v>
      </c>
      <c r="B8" s="9" t="s">
        <v>769</v>
      </c>
      <c r="C8" s="10" t="s">
        <v>770</v>
      </c>
      <c r="D8" s="10" t="s">
        <v>771</v>
      </c>
      <c r="E8" s="10" t="s">
        <v>772</v>
      </c>
    </row>
    <row r="9" customFormat="false" ht="48" hidden="false" customHeight="true" outlineLevel="0" collapsed="false">
      <c r="A9" s="10" t="n">
        <v>6</v>
      </c>
      <c r="B9" s="9" t="s">
        <v>773</v>
      </c>
      <c r="C9" s="9" t="s">
        <v>774</v>
      </c>
      <c r="D9" s="10" t="s">
        <v>775</v>
      </c>
      <c r="E9" s="10" t="s">
        <v>776</v>
      </c>
    </row>
    <row r="10" customFormat="false" ht="48" hidden="false" customHeight="true" outlineLevel="0" collapsed="false">
      <c r="A10" s="10" t="n">
        <v>7</v>
      </c>
      <c r="B10" s="9" t="s">
        <v>777</v>
      </c>
      <c r="C10" s="9" t="s">
        <v>778</v>
      </c>
      <c r="D10" s="10" t="s">
        <v>779</v>
      </c>
      <c r="E10" s="10" t="s">
        <v>780</v>
      </c>
    </row>
    <row r="11" customFormat="false" ht="48" hidden="false" customHeight="true" outlineLevel="0" collapsed="false">
      <c r="A11" s="10" t="n">
        <v>8</v>
      </c>
      <c r="B11" s="9" t="s">
        <v>781</v>
      </c>
      <c r="C11" s="10" t="s">
        <v>782</v>
      </c>
      <c r="D11" s="10" t="s">
        <v>783</v>
      </c>
      <c r="E11" s="9" t="s">
        <v>784</v>
      </c>
    </row>
    <row r="12" customFormat="false" ht="48" hidden="false" customHeight="true" outlineLevel="0" collapsed="false">
      <c r="A12" s="10" t="n">
        <v>9</v>
      </c>
      <c r="B12" s="9" t="s">
        <v>785</v>
      </c>
      <c r="C12" s="10" t="s">
        <v>786</v>
      </c>
      <c r="D12" s="10" t="s">
        <v>787</v>
      </c>
      <c r="E12" s="9" t="s">
        <v>788</v>
      </c>
    </row>
    <row r="13" customFormat="false" ht="48" hidden="false" customHeight="true" outlineLevel="0" collapsed="false">
      <c r="A13" s="10" t="n">
        <v>10</v>
      </c>
      <c r="B13" s="9" t="s">
        <v>789</v>
      </c>
      <c r="C13" s="10" t="s">
        <v>790</v>
      </c>
      <c r="D13" s="10" t="s">
        <v>791</v>
      </c>
      <c r="E13" s="9" t="s">
        <v>792</v>
      </c>
    </row>
    <row r="14" customFormat="false" ht="48" hidden="false" customHeight="true" outlineLevel="0" collapsed="false">
      <c r="A14" s="10" t="n">
        <v>11</v>
      </c>
      <c r="B14" s="9" t="s">
        <v>793</v>
      </c>
      <c r="C14" s="10" t="s">
        <v>794</v>
      </c>
      <c r="D14" s="10" t="s">
        <v>795</v>
      </c>
      <c r="E14" s="9" t="s">
        <v>796</v>
      </c>
    </row>
    <row r="15" customFormat="false" ht="48" hidden="false" customHeight="true" outlineLevel="0" collapsed="false">
      <c r="A15" s="10" t="n">
        <v>12</v>
      </c>
      <c r="B15" s="10" t="s">
        <v>797</v>
      </c>
      <c r="C15" s="10" t="s">
        <v>798</v>
      </c>
      <c r="D15" s="10" t="s">
        <v>799</v>
      </c>
      <c r="E15" s="10" t="s">
        <v>800</v>
      </c>
    </row>
    <row r="16" customFormat="false" ht="48" hidden="false" customHeight="true" outlineLevel="0" collapsed="false">
      <c r="A16" s="10" t="n">
        <v>13</v>
      </c>
      <c r="B16" s="9" t="s">
        <v>801</v>
      </c>
      <c r="C16" s="10" t="s">
        <v>802</v>
      </c>
      <c r="D16" s="9" t="s">
        <v>803</v>
      </c>
      <c r="E16" s="10" t="s">
        <v>804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0"/>
    <col collapsed="false" customWidth="true" hidden="false" outlineLevel="0" max="4" min="4" style="0" width="40"/>
    <col collapsed="false" customWidth="true" hidden="false" outlineLevel="0" max="5" min="5" style="0" width="18"/>
    <col collapsed="false" customWidth="true" hidden="false" outlineLevel="0" max="6" min="6" style="0" width="36"/>
    <col collapsed="false" customWidth="true" hidden="false" outlineLevel="0" max="7" min="7" style="0" width="16"/>
  </cols>
  <sheetData>
    <row r="1" customFormat="false" ht="24" hidden="false" customHeight="true" outlineLevel="0" collapsed="false">
      <c r="A1" s="20" t="s">
        <v>805</v>
      </c>
    </row>
    <row r="2" customFormat="false" ht="15" hidden="false" customHeight="false" outlineLevel="0" collapsed="false">
      <c r="A2" s="2" t="s">
        <v>806</v>
      </c>
    </row>
    <row r="3" customFormat="false" ht="31.5" hidden="false" customHeight="true" outlineLevel="0" collapsed="false">
      <c r="A3" s="6" t="s">
        <v>375</v>
      </c>
      <c r="B3" s="5" t="s">
        <v>807</v>
      </c>
      <c r="C3" s="5" t="s">
        <v>808</v>
      </c>
      <c r="D3" s="5" t="s">
        <v>809</v>
      </c>
      <c r="E3" s="5" t="s">
        <v>134</v>
      </c>
      <c r="F3" s="5" t="s">
        <v>810</v>
      </c>
      <c r="G3" s="5" t="s">
        <v>574</v>
      </c>
    </row>
    <row r="4" customFormat="false" ht="79.5" hidden="false" customHeight="true" outlineLevel="0" collapsed="false">
      <c r="A4" s="14" t="s">
        <v>37</v>
      </c>
      <c r="B4" s="10" t="s">
        <v>811</v>
      </c>
      <c r="C4" s="10" t="s">
        <v>812</v>
      </c>
      <c r="D4" s="9" t="s">
        <v>813</v>
      </c>
      <c r="E4" s="9" t="s">
        <v>814</v>
      </c>
      <c r="F4" s="9" t="s">
        <v>815</v>
      </c>
      <c r="G4" s="15" t="s">
        <v>816</v>
      </c>
    </row>
    <row r="5" customFormat="false" ht="79.5" hidden="false" customHeight="true" outlineLevel="0" collapsed="false">
      <c r="A5" s="14" t="s">
        <v>44</v>
      </c>
      <c r="B5" s="10" t="s">
        <v>817</v>
      </c>
      <c r="C5" s="10" t="s">
        <v>818</v>
      </c>
      <c r="D5" s="9" t="s">
        <v>819</v>
      </c>
      <c r="E5" s="9" t="s">
        <v>820</v>
      </c>
      <c r="F5" s="10" t="s">
        <v>821</v>
      </c>
      <c r="G5" s="15" t="s">
        <v>822</v>
      </c>
    </row>
    <row r="6" customFormat="false" ht="79.5" hidden="false" customHeight="true" outlineLevel="0" collapsed="false">
      <c r="A6" s="14" t="s">
        <v>47</v>
      </c>
      <c r="B6" s="10" t="s">
        <v>823</v>
      </c>
      <c r="C6" s="10" t="s">
        <v>824</v>
      </c>
      <c r="D6" s="10" t="str">
        <f aca="false">"暫定：必要"&amp;TEXT(09_スポットプレス!$C$17,"0")&amp;"台−新型現有"&amp;TEXT(09_スポットプレス!$C$18,"0")&amp;"台＝購入"&amp;TEXT(09_スポットプレス!$C$20,"0")&amp;"台（原案10台）"</f>
        <v>暫定：必要45台−新型現有15台＝購入30台（原案10台）</v>
      </c>
      <c r="E6" s="9" t="s">
        <v>191</v>
      </c>
      <c r="F6" s="10" t="s">
        <v>825</v>
      </c>
      <c r="G6" s="15" t="s">
        <v>826</v>
      </c>
    </row>
    <row r="7" customFormat="false" ht="79.5" hidden="false" customHeight="true" outlineLevel="0" collapsed="false">
      <c r="A7" s="14" t="s">
        <v>827</v>
      </c>
      <c r="B7" s="10" t="s">
        <v>828</v>
      </c>
      <c r="C7" s="9" t="s">
        <v>829</v>
      </c>
      <c r="D7" s="10" t="s">
        <v>461</v>
      </c>
      <c r="E7" s="9" t="s">
        <v>561</v>
      </c>
      <c r="F7" s="10" t="s">
        <v>461</v>
      </c>
      <c r="G7" s="15" t="s">
        <v>830</v>
      </c>
    </row>
    <row r="8" customFormat="false" ht="79.5" hidden="false" customHeight="true" outlineLevel="0" collapsed="false">
      <c r="A8" s="14" t="s">
        <v>50</v>
      </c>
      <c r="B8" s="9" t="s">
        <v>831</v>
      </c>
      <c r="C8" s="10" t="s">
        <v>832</v>
      </c>
      <c r="D8" s="10" t="s">
        <v>833</v>
      </c>
      <c r="E8" s="9" t="s">
        <v>185</v>
      </c>
      <c r="F8" s="10" t="s">
        <v>834</v>
      </c>
      <c r="G8" s="15" t="s">
        <v>835</v>
      </c>
    </row>
    <row r="9" customFormat="false" ht="79.5" hidden="false" customHeight="true" outlineLevel="0" collapsed="false">
      <c r="A9" s="14" t="s">
        <v>836</v>
      </c>
      <c r="B9" s="10" t="s">
        <v>837</v>
      </c>
      <c r="C9" s="10" t="s">
        <v>838</v>
      </c>
      <c r="D9" s="10" t="s">
        <v>461</v>
      </c>
      <c r="E9" s="10" t="s">
        <v>461</v>
      </c>
      <c r="F9" s="10" t="s">
        <v>461</v>
      </c>
      <c r="G9" s="14" t="s">
        <v>839</v>
      </c>
    </row>
    <row r="10" customFormat="false" ht="79.5" hidden="false" customHeight="true" outlineLevel="0" collapsed="false">
      <c r="A10" s="14" t="s">
        <v>53</v>
      </c>
      <c r="B10" s="10" t="s">
        <v>840</v>
      </c>
      <c r="C10" s="9" t="s">
        <v>841</v>
      </c>
      <c r="D10" s="9" t="s">
        <v>842</v>
      </c>
      <c r="E10" s="9" t="s">
        <v>843</v>
      </c>
      <c r="F10" s="9" t="s">
        <v>844</v>
      </c>
      <c r="G10" s="15" t="s">
        <v>845</v>
      </c>
    </row>
    <row r="11" customFormat="false" ht="79.5" hidden="false" customHeight="true" outlineLevel="0" collapsed="false">
      <c r="A11" s="15" t="s">
        <v>846</v>
      </c>
      <c r="B11" s="9" t="s">
        <v>847</v>
      </c>
      <c r="C11" s="10" t="s">
        <v>848</v>
      </c>
      <c r="D11" s="10" t="str">
        <f aca="false">"TI負担＝調整案"&amp;TEXT(02_投資総括!$J$26,"#,##0")&amp;"USD−50,000USD"</f>
        <v>TI負担＝調整案246,923USD−50,000USD</v>
      </c>
      <c r="E11" s="9" t="s">
        <v>849</v>
      </c>
      <c r="F11" s="10" t="s">
        <v>850</v>
      </c>
      <c r="G11" s="15" t="s">
        <v>851</v>
      </c>
    </row>
    <row r="12" customFormat="false" ht="79.5" hidden="false" customHeight="true" outlineLevel="0" collapsed="false">
      <c r="A12" s="15" t="s">
        <v>846</v>
      </c>
      <c r="B12" s="10" t="s">
        <v>852</v>
      </c>
      <c r="C12" s="10" t="s">
        <v>853</v>
      </c>
      <c r="D12" s="10" t="str">
        <f aca="false">"調整案 "&amp;TEXT(02_投資総括!$K$26/1000000,"0.00")&amp;"百万円（原案① "&amp;TEXT(02_投資総括!$H$26*01_前提条件!$C$5/1000000,"0.00")&amp;"百万円）"</f>
        <v>調整案 39.51百万円（原案① 42.77百万円）</v>
      </c>
      <c r="E12" s="9" t="s">
        <v>561</v>
      </c>
      <c r="F12" s="10" t="s">
        <v>854</v>
      </c>
      <c r="G12" s="15" t="s">
        <v>855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20"/>
    <col collapsed="false" customWidth="true" hidden="false" outlineLevel="0" max="4" min="4" style="0" width="13"/>
    <col collapsed="false" customWidth="true" hidden="false" outlineLevel="0" max="5" min="5" style="0" width="36"/>
    <col collapsed="false" customWidth="true" hidden="false" outlineLevel="0" max="6" min="6" style="0" width="32"/>
    <col collapsed="false" customWidth="true" hidden="false" outlineLevel="0" max="7" min="7" style="0" width="22"/>
    <col collapsed="false" customWidth="true" hidden="false" outlineLevel="0" max="8" min="8" style="0" width="30"/>
    <col collapsed="false" customWidth="true" hidden="false" outlineLevel="0" max="9" min="9" style="0" width="32"/>
    <col collapsed="false" customWidth="true" hidden="false" outlineLevel="0" max="10" min="10" style="0" width="24"/>
    <col collapsed="false" customWidth="true" hidden="false" outlineLevel="0" max="11" min="11" style="0" width="14"/>
  </cols>
  <sheetData>
    <row r="1" customFormat="false" ht="24" hidden="false" customHeight="true" outlineLevel="0" collapsed="false">
      <c r="A1" s="20" t="s">
        <v>856</v>
      </c>
    </row>
    <row r="2" customFormat="false" ht="15" hidden="false" customHeight="false" outlineLevel="0" collapsed="false">
      <c r="A2" s="2" t="s">
        <v>857</v>
      </c>
    </row>
    <row r="3" customFormat="false" ht="31.5" hidden="false" customHeight="true" outlineLevel="0" collapsed="false">
      <c r="A3" s="5" t="s">
        <v>858</v>
      </c>
      <c r="B3" s="5" t="s">
        <v>118</v>
      </c>
      <c r="C3" s="5" t="s">
        <v>859</v>
      </c>
      <c r="D3" s="5" t="s">
        <v>121</v>
      </c>
      <c r="E3" s="5" t="s">
        <v>860</v>
      </c>
      <c r="F3" s="5" t="s">
        <v>861</v>
      </c>
      <c r="G3" s="5" t="s">
        <v>862</v>
      </c>
      <c r="H3" s="5" t="s">
        <v>863</v>
      </c>
      <c r="I3" s="5" t="s">
        <v>864</v>
      </c>
      <c r="J3" s="5" t="s">
        <v>865</v>
      </c>
      <c r="K3" s="5" t="s">
        <v>134</v>
      </c>
    </row>
    <row r="4" customFormat="false" ht="87.75" hidden="false" customHeight="true" outlineLevel="0" collapsed="false">
      <c r="A4" s="15" t="n">
        <v>1</v>
      </c>
      <c r="B4" s="14" t="s">
        <v>186</v>
      </c>
      <c r="C4" s="10" t="s">
        <v>726</v>
      </c>
      <c r="D4" s="34" t="s">
        <v>189</v>
      </c>
      <c r="E4" s="10" t="s">
        <v>866</v>
      </c>
      <c r="F4" s="10" t="s">
        <v>867</v>
      </c>
      <c r="G4" s="9" t="s">
        <v>868</v>
      </c>
      <c r="H4" s="10" t="s">
        <v>869</v>
      </c>
      <c r="I4" s="10" t="s">
        <v>870</v>
      </c>
      <c r="J4" s="10" t="s">
        <v>871</v>
      </c>
      <c r="K4" s="9" t="s">
        <v>191</v>
      </c>
    </row>
    <row r="5" customFormat="false" ht="87.75" hidden="false" customHeight="true" outlineLevel="0" collapsed="false">
      <c r="A5" s="15" t="n">
        <v>2</v>
      </c>
      <c r="B5" s="14" t="s">
        <v>729</v>
      </c>
      <c r="C5" s="9" t="s">
        <v>728</v>
      </c>
      <c r="D5" s="36" t="s">
        <v>195</v>
      </c>
      <c r="E5" s="10" t="s">
        <v>872</v>
      </c>
      <c r="F5" s="9" t="s">
        <v>873</v>
      </c>
      <c r="G5" s="9" t="s">
        <v>874</v>
      </c>
      <c r="H5" s="10" t="s">
        <v>875</v>
      </c>
      <c r="I5" s="10" t="s">
        <v>876</v>
      </c>
      <c r="J5" s="9" t="s">
        <v>877</v>
      </c>
      <c r="K5" s="9" t="s">
        <v>561</v>
      </c>
    </row>
    <row r="6" customFormat="false" ht="87.75" hidden="false" customHeight="true" outlineLevel="0" collapsed="false">
      <c r="A6" s="15" t="n">
        <v>3</v>
      </c>
      <c r="B6" s="14" t="s">
        <v>878</v>
      </c>
      <c r="C6" s="10" t="s">
        <v>879</v>
      </c>
      <c r="D6" s="27" t="s">
        <v>138</v>
      </c>
      <c r="E6" s="9" t="s">
        <v>880</v>
      </c>
      <c r="F6" s="10" t="s">
        <v>881</v>
      </c>
      <c r="G6" s="9" t="s">
        <v>882</v>
      </c>
      <c r="H6" s="10" t="s">
        <v>883</v>
      </c>
      <c r="I6" s="10" t="s">
        <v>884</v>
      </c>
      <c r="J6" s="9" t="s">
        <v>885</v>
      </c>
      <c r="K6" s="9" t="s">
        <v>886</v>
      </c>
    </row>
    <row r="7" customFormat="false" ht="87.75" hidden="false" customHeight="true" outlineLevel="0" collapsed="false">
      <c r="A7" s="15" t="n">
        <v>4</v>
      </c>
      <c r="B7" s="14" t="s">
        <v>151</v>
      </c>
      <c r="C7" s="10" t="s">
        <v>152</v>
      </c>
      <c r="D7" s="32" t="s">
        <v>154</v>
      </c>
      <c r="E7" s="10" t="s">
        <v>887</v>
      </c>
      <c r="F7" s="10" t="s">
        <v>888</v>
      </c>
      <c r="G7" s="9" t="s">
        <v>889</v>
      </c>
      <c r="H7" s="9" t="s">
        <v>890</v>
      </c>
      <c r="I7" s="10" t="s">
        <v>891</v>
      </c>
      <c r="J7" s="9" t="s">
        <v>892</v>
      </c>
      <c r="K7" s="9" t="s">
        <v>893</v>
      </c>
    </row>
    <row r="8" customFormat="false" ht="87.75" hidden="false" customHeight="true" outlineLevel="0" collapsed="false">
      <c r="A8" s="15" t="n">
        <v>5</v>
      </c>
      <c r="B8" s="14" t="s">
        <v>157</v>
      </c>
      <c r="C8" s="10" t="s">
        <v>894</v>
      </c>
      <c r="D8" s="32" t="s">
        <v>154</v>
      </c>
      <c r="E8" s="10" t="s">
        <v>895</v>
      </c>
      <c r="F8" s="10" t="s">
        <v>896</v>
      </c>
      <c r="G8" s="9" t="s">
        <v>897</v>
      </c>
      <c r="H8" s="10" t="s">
        <v>898</v>
      </c>
      <c r="I8" s="10" t="s">
        <v>899</v>
      </c>
      <c r="J8" s="9" t="s">
        <v>900</v>
      </c>
      <c r="K8" s="9" t="s">
        <v>901</v>
      </c>
    </row>
    <row r="9" customFormat="false" ht="87.75" hidden="false" customHeight="true" outlineLevel="0" collapsed="false">
      <c r="A9" s="15" t="n">
        <v>6</v>
      </c>
      <c r="B9" s="14" t="s">
        <v>161</v>
      </c>
      <c r="C9" s="10" t="s">
        <v>162</v>
      </c>
      <c r="D9" s="27" t="s">
        <v>138</v>
      </c>
      <c r="E9" s="10" t="s">
        <v>902</v>
      </c>
      <c r="F9" s="9" t="s">
        <v>903</v>
      </c>
      <c r="G9" s="9" t="s">
        <v>904</v>
      </c>
      <c r="H9" s="10" t="s">
        <v>905</v>
      </c>
      <c r="I9" s="10" t="s">
        <v>906</v>
      </c>
      <c r="J9" s="9" t="s">
        <v>907</v>
      </c>
      <c r="K9" s="9" t="s">
        <v>908</v>
      </c>
    </row>
    <row r="10" customFormat="false" ht="87.75" hidden="false" customHeight="true" outlineLevel="0" collapsed="false">
      <c r="A10" s="15" t="n">
        <v>7</v>
      </c>
      <c r="B10" s="14" t="s">
        <v>176</v>
      </c>
      <c r="C10" s="10" t="s">
        <v>718</v>
      </c>
      <c r="D10" s="27" t="s">
        <v>138</v>
      </c>
      <c r="E10" s="9" t="s">
        <v>909</v>
      </c>
      <c r="F10" s="10" t="s">
        <v>910</v>
      </c>
      <c r="G10" s="9" t="s">
        <v>911</v>
      </c>
      <c r="H10" s="9" t="s">
        <v>912</v>
      </c>
      <c r="I10" s="10" t="s">
        <v>913</v>
      </c>
      <c r="J10" s="9" t="s">
        <v>914</v>
      </c>
      <c r="K10" s="9" t="s">
        <v>180</v>
      </c>
    </row>
    <row r="11" customFormat="false" ht="87.75" hidden="false" customHeight="true" outlineLevel="0" collapsed="false">
      <c r="A11" s="15" t="n">
        <v>8</v>
      </c>
      <c r="B11" s="14" t="s">
        <v>166</v>
      </c>
      <c r="C11" s="10" t="s">
        <v>716</v>
      </c>
      <c r="D11" s="32" t="s">
        <v>154</v>
      </c>
      <c r="E11" s="10" t="s">
        <v>915</v>
      </c>
      <c r="F11" s="10" t="s">
        <v>916</v>
      </c>
      <c r="G11" s="9" t="s">
        <v>168</v>
      </c>
      <c r="H11" s="10" t="s">
        <v>917</v>
      </c>
      <c r="I11" s="9" t="s">
        <v>918</v>
      </c>
      <c r="J11" s="9" t="s">
        <v>919</v>
      </c>
      <c r="K11" s="9" t="s">
        <v>156</v>
      </c>
    </row>
    <row r="12" customFormat="false" ht="87.75" hidden="false" customHeight="true" outlineLevel="0" collapsed="false">
      <c r="A12" s="15" t="n">
        <v>9</v>
      </c>
      <c r="B12" s="14" t="s">
        <v>181</v>
      </c>
      <c r="C12" s="10" t="s">
        <v>720</v>
      </c>
      <c r="D12" s="32" t="s">
        <v>154</v>
      </c>
      <c r="E12" s="10" t="s">
        <v>920</v>
      </c>
      <c r="F12" s="10" t="s">
        <v>921</v>
      </c>
      <c r="G12" s="9" t="s">
        <v>922</v>
      </c>
      <c r="H12" s="10" t="s">
        <v>923</v>
      </c>
      <c r="I12" s="10" t="s">
        <v>924</v>
      </c>
      <c r="J12" s="9" t="s">
        <v>925</v>
      </c>
      <c r="K12" s="9" t="s">
        <v>185</v>
      </c>
    </row>
    <row r="13" customFormat="false" ht="87.75" hidden="false" customHeight="true" outlineLevel="0" collapsed="false">
      <c r="A13" s="15" t="n">
        <v>10</v>
      </c>
      <c r="B13" s="14" t="s">
        <v>170</v>
      </c>
      <c r="C13" s="10" t="s">
        <v>926</v>
      </c>
      <c r="D13" s="33" t="s">
        <v>173</v>
      </c>
      <c r="E13" s="10" t="s">
        <v>927</v>
      </c>
      <c r="F13" s="10" t="s">
        <v>461</v>
      </c>
      <c r="G13" s="9" t="s">
        <v>172</v>
      </c>
      <c r="H13" s="10" t="s">
        <v>928</v>
      </c>
      <c r="I13" s="10" t="s">
        <v>929</v>
      </c>
      <c r="J13" s="9" t="s">
        <v>930</v>
      </c>
      <c r="K13" s="10" t="s">
        <v>461</v>
      </c>
    </row>
    <row r="14" customFormat="false" ht="87.75" hidden="false" customHeight="true" outlineLevel="0" collapsed="false">
      <c r="A14" s="15" t="n">
        <v>11</v>
      </c>
      <c r="B14" s="14" t="s">
        <v>217</v>
      </c>
      <c r="C14" s="10" t="s">
        <v>931</v>
      </c>
      <c r="D14" s="33" t="s">
        <v>173</v>
      </c>
      <c r="E14" s="9" t="s">
        <v>932</v>
      </c>
      <c r="F14" s="10" t="s">
        <v>461</v>
      </c>
      <c r="G14" s="9" t="s">
        <v>933</v>
      </c>
      <c r="H14" s="10" t="s">
        <v>934</v>
      </c>
      <c r="I14" s="10" t="s">
        <v>935</v>
      </c>
      <c r="J14" s="9" t="s">
        <v>936</v>
      </c>
      <c r="K14" s="10" t="s">
        <v>461</v>
      </c>
    </row>
    <row r="15" customFormat="false" ht="87.75" hidden="false" customHeight="true" outlineLevel="0" collapsed="false">
      <c r="A15" s="15" t="n">
        <v>12</v>
      </c>
      <c r="B15" s="15" t="s">
        <v>461</v>
      </c>
      <c r="C15" s="10" t="s">
        <v>937</v>
      </c>
      <c r="D15" s="33" t="s">
        <v>173</v>
      </c>
      <c r="E15" s="10" t="s">
        <v>938</v>
      </c>
      <c r="F15" s="10" t="s">
        <v>461</v>
      </c>
      <c r="G15" s="10" t="s">
        <v>939</v>
      </c>
      <c r="H15" s="10" t="s">
        <v>461</v>
      </c>
      <c r="I15" s="10" t="s">
        <v>940</v>
      </c>
      <c r="J15" s="9" t="s">
        <v>248</v>
      </c>
      <c r="K15" s="9" t="s">
        <v>843</v>
      </c>
    </row>
    <row r="16" customFormat="false" ht="87.75" hidden="false" customHeight="true" outlineLevel="0" collapsed="false">
      <c r="A16" s="15" t="s">
        <v>461</v>
      </c>
      <c r="B16" s="14" t="s">
        <v>941</v>
      </c>
      <c r="C16" s="10" t="s">
        <v>942</v>
      </c>
      <c r="D16" s="31" t="s">
        <v>148</v>
      </c>
      <c r="E16" s="10" t="s">
        <v>461</v>
      </c>
      <c r="F16" s="10" t="s">
        <v>461</v>
      </c>
      <c r="G16" s="10" t="s">
        <v>461</v>
      </c>
      <c r="H16" s="10" t="s">
        <v>461</v>
      </c>
      <c r="I16" s="10" t="s">
        <v>461</v>
      </c>
      <c r="J16" s="9" t="s">
        <v>943</v>
      </c>
      <c r="K16" s="9" t="s">
        <v>561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2026-10-29T08:59:50Z</dcterms:created>
  <dc:creator>openpyxl</dc:creator>
  <dc:description/>
  <dc:language>en-US</dc:language>
  <cp:lastModifiedBy/>
  <dcterms:modified xsi:type="dcterms:W3CDTF">2026-10-29T08:59:50Z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